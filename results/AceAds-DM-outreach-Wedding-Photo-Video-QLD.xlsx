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Tracker" sheetId="2" state="visible" r:id="rId2"/>
    <sheet name="How to work this list" sheetId="3" state="visible" r:id="rId3"/>
  </sheets>
  <definedNames>
    <definedName name="_xlnm._FilterDatabase" localSheetId="0" hidden="1">'Leads'!$A$1:$S$28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b val="1"/>
      <sz val="13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3" borderId="0" pivotButton="0" quotePrefix="0" xfId="0"/>
    <xf numFmtId="9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thelight.photoandfilm" TargetMode="External" Id="rId1" /><Relationship Type="http://schemas.openxmlformats.org/officeDocument/2006/relationships/hyperlink" Target="https://thelightphotoandfilm.com.au/" TargetMode="External" Id="rId2" /><Relationship Type="http://schemas.openxmlformats.org/officeDocument/2006/relationships/hyperlink" Target="https://www.google.com/maps/search/?api=1&amp;query=The+Light+Photo+and+Film+Brisbane" TargetMode="External" Id="rId3" /><Relationship Type="http://schemas.openxmlformats.org/officeDocument/2006/relationships/hyperlink" Target="https://www.instagram.com/verona_media" TargetMode="External" Id="rId4" /><Relationship Type="http://schemas.openxmlformats.org/officeDocument/2006/relationships/hyperlink" Target="https://www.facebook.com/veronamedia" TargetMode="External" Id="rId5" /><Relationship Type="http://schemas.openxmlformats.org/officeDocument/2006/relationships/hyperlink" Target="https://www.veronamedia.com.au/" TargetMode="External" Id="rId6" /><Relationship Type="http://schemas.openxmlformats.org/officeDocument/2006/relationships/hyperlink" Target="https://www.google.com/maps/search/?api=1&amp;query=Verona+Media+Brisbane" TargetMode="External" Id="rId7" /><Relationship Type="http://schemas.openxmlformats.org/officeDocument/2006/relationships/hyperlink" Target="https://www.facebook.com/athousandmilesphotography" TargetMode="External" Id="rId8" /><Relationship Type="http://schemas.openxmlformats.org/officeDocument/2006/relationships/hyperlink" Target="https://www.athousandmilesphotography.com.au/" TargetMode="External" Id="rId9" /><Relationship Type="http://schemas.openxmlformats.org/officeDocument/2006/relationships/hyperlink" Target="https://www.google.com/maps/search/?api=1&amp;query=A+Thousand+Miles+Photography+Brisbane" TargetMode="External" Id="rId10" /><Relationship Type="http://schemas.openxmlformats.org/officeDocument/2006/relationships/hyperlink" Target="https://www.instagram.com/alisoncookephotography" TargetMode="External" Id="rId11" /><Relationship Type="http://schemas.openxmlformats.org/officeDocument/2006/relationships/hyperlink" Target="https://www.facebook.com/alisoncookephotographybrisbane" TargetMode="External" Id="rId12" /><Relationship Type="http://schemas.openxmlformats.org/officeDocument/2006/relationships/hyperlink" Target="https://alisoncookephotography.com/" TargetMode="External" Id="rId13" /><Relationship Type="http://schemas.openxmlformats.org/officeDocument/2006/relationships/hyperlink" Target="https://www.google.com/maps/search/?api=1&amp;query=Alison+Cooke+Photography+Brisbane" TargetMode="External" Id="rId14" /><Relationship Type="http://schemas.openxmlformats.org/officeDocument/2006/relationships/hyperlink" Target="https://www.instagram.com/willideastudio" TargetMode="External" Id="rId15" /><Relationship Type="http://schemas.openxmlformats.org/officeDocument/2006/relationships/hyperlink" Target="https://www.facebook.com/willideastudio" TargetMode="External" Id="rId16" /><Relationship Type="http://schemas.openxmlformats.org/officeDocument/2006/relationships/hyperlink" Target="https://willidea.net/" TargetMode="External" Id="rId17" /><Relationship Type="http://schemas.openxmlformats.org/officeDocument/2006/relationships/hyperlink" Target="https://www.google.com/maps/search/?api=1&amp;query=Willidea+Studio+Brisbane" TargetMode="External" Id="rId18" /><Relationship Type="http://schemas.openxmlformats.org/officeDocument/2006/relationships/hyperlink" Target="https://www.instagram.com/nikki_blades_photos" TargetMode="External" Id="rId19" /><Relationship Type="http://schemas.openxmlformats.org/officeDocument/2006/relationships/hyperlink" Target="https://www.facebook.com/NikkiBladesPhotos" TargetMode="External" Id="rId20" /><Relationship Type="http://schemas.openxmlformats.org/officeDocument/2006/relationships/hyperlink" Target="https://www.nikkibladesphotography.com.au/" TargetMode="External" Id="rId21" /><Relationship Type="http://schemas.openxmlformats.org/officeDocument/2006/relationships/hyperlink" Target="https://www.google.com/maps/search/?api=1&amp;query=Nikki+Blades+Photography+Bundaberg" TargetMode="External" Id="rId22" /><Relationship Type="http://schemas.openxmlformats.org/officeDocument/2006/relationships/hyperlink" Target="https://instagram.com/sharondawnphotography" TargetMode="External" Id="rId23" /><Relationship Type="http://schemas.openxmlformats.org/officeDocument/2006/relationships/hyperlink" Target="https://www.facebook.com/sharondawnphotography" TargetMode="External" Id="rId24" /><Relationship Type="http://schemas.openxmlformats.org/officeDocument/2006/relationships/hyperlink" Target="https://sharondawnphotography.queensberryworkspace.com/" TargetMode="External" Id="rId25" /><Relationship Type="http://schemas.openxmlformats.org/officeDocument/2006/relationships/hyperlink" Target="https://www.google.com/maps/search/?api=1&amp;query=Sharon+Dawn+Photography+Bundaberg" TargetMode="External" Id="rId26" /><Relationship Type="http://schemas.openxmlformats.org/officeDocument/2006/relationships/hyperlink" Target="https://www.instagram.com/lifetime_in_a_day_films" TargetMode="External" Id="rId27" /><Relationship Type="http://schemas.openxmlformats.org/officeDocument/2006/relationships/hyperlink" Target="https://www.facebook.com/lifetimeinaday" TargetMode="External" Id="rId28" /><Relationship Type="http://schemas.openxmlformats.org/officeDocument/2006/relationships/hyperlink" Target="https://lifetimeinaday.com.au/" TargetMode="External" Id="rId29" /><Relationship Type="http://schemas.openxmlformats.org/officeDocument/2006/relationships/hyperlink" Target="https://www.google.com/maps/search/?api=1&amp;query=Lifetime+in+a+Day+Films+Bundaberg" TargetMode="External" Id="rId30" /><Relationship Type="http://schemas.openxmlformats.org/officeDocument/2006/relationships/hyperlink" Target="https://www.instagram.com/desiren_photography_video" TargetMode="External" Id="rId31" /><Relationship Type="http://schemas.openxmlformats.org/officeDocument/2006/relationships/hyperlink" Target="https://www.facebook.com/melbourne.wedding.photography.and.video" TargetMode="External" Id="rId32" /><Relationship Type="http://schemas.openxmlformats.org/officeDocument/2006/relationships/hyperlink" Target="https://desiren.com.au/" TargetMode="External" Id="rId33" /><Relationship Type="http://schemas.openxmlformats.org/officeDocument/2006/relationships/hyperlink" Target="https://www.google.com/maps/search/?api=1&amp;query=Desiren+Photography+%26+Video+Cairns" TargetMode="External" Id="rId34" /><Relationship Type="http://schemas.openxmlformats.org/officeDocument/2006/relationships/hyperlink" Target="https://www.instagram.com/luminosity.studios" TargetMode="External" Id="rId35" /><Relationship Type="http://schemas.openxmlformats.org/officeDocument/2006/relationships/hyperlink" Target="https://www.facebook.com/luminosityfilmstudios" TargetMode="External" Id="rId36" /><Relationship Type="http://schemas.openxmlformats.org/officeDocument/2006/relationships/hyperlink" Target="https://luminosityfilmstudios.com/" TargetMode="External" Id="rId37" /><Relationship Type="http://schemas.openxmlformats.org/officeDocument/2006/relationships/hyperlink" Target="https://www.google.com/maps/search/?api=1&amp;query=Luminosity+Film+Studios+Cairns" TargetMode="External" Id="rId38" /><Relationship Type="http://schemas.openxmlformats.org/officeDocument/2006/relationships/hyperlink" Target="https://www.instagram.com/styleproductionscairns" TargetMode="External" Id="rId39" /><Relationship Type="http://schemas.openxmlformats.org/officeDocument/2006/relationships/hyperlink" Target="https://www.facebook.com/styleproductionscairns" TargetMode="External" Id="rId40" /><Relationship Type="http://schemas.openxmlformats.org/officeDocument/2006/relationships/hyperlink" Target="https://www.styleproductions.com.au/" TargetMode="External" Id="rId41" /><Relationship Type="http://schemas.openxmlformats.org/officeDocument/2006/relationships/hyperlink" Target="https://www.google.com/maps/search/?api=1&amp;query=Style+Productions+Cairns" TargetMode="External" Id="rId42" /><Relationship Type="http://schemas.openxmlformats.org/officeDocument/2006/relationships/hyperlink" Target="https://www.instagram.com/emmagphotographycairns" TargetMode="External" Id="rId43" /><Relationship Type="http://schemas.openxmlformats.org/officeDocument/2006/relationships/hyperlink" Target="https://www.facebook.com/egphotoscairns" TargetMode="External" Id="rId44" /><Relationship Type="http://schemas.openxmlformats.org/officeDocument/2006/relationships/hyperlink" Target="https://emmagphotos.com/" TargetMode="External" Id="rId45" /><Relationship Type="http://schemas.openxmlformats.org/officeDocument/2006/relationships/hyperlink" Target="https://www.google.com/maps/search/?api=1&amp;query=Emma+G+Photos+Cairns" TargetMode="External" Id="rId46" /><Relationship Type="http://schemas.openxmlformats.org/officeDocument/2006/relationships/hyperlink" Target="https://www.instagram.com/matthew_evans_photography" TargetMode="External" Id="rId47" /><Relationship Type="http://schemas.openxmlformats.org/officeDocument/2006/relationships/hyperlink" Target="https://www.facebook.com/cairnsphotography" TargetMode="External" Id="rId48" /><Relationship Type="http://schemas.openxmlformats.org/officeDocument/2006/relationships/hyperlink" Target="https://www.matthewevansphotography.com.au/" TargetMode="External" Id="rId49" /><Relationship Type="http://schemas.openxmlformats.org/officeDocument/2006/relationships/hyperlink" Target="https://www.google.com/maps/search/?api=1&amp;query=Matthew+Evans+Photography+Cairns" TargetMode="External" Id="rId50" /><Relationship Type="http://schemas.openxmlformats.org/officeDocument/2006/relationships/hyperlink" Target="https://www.instagram.com/zenphotography_au" TargetMode="External" Id="rId51" /><Relationship Type="http://schemas.openxmlformats.org/officeDocument/2006/relationships/hyperlink" Target="https://facebook.com/zen.theartofseeing" TargetMode="External" Id="rId52" /><Relationship Type="http://schemas.openxmlformats.org/officeDocument/2006/relationships/hyperlink" Target="https://www.zenphotography.com.au/" TargetMode="External" Id="rId53" /><Relationship Type="http://schemas.openxmlformats.org/officeDocument/2006/relationships/hyperlink" Target="https://www.google.com/maps/search/?api=1&amp;query=Zen+Photography+Cairns" TargetMode="External" Id="rId54" /><Relationship Type="http://schemas.openxmlformats.org/officeDocument/2006/relationships/hyperlink" Target="https://www.instagram.com/clover__studios" TargetMode="External" Id="rId55" /><Relationship Type="http://schemas.openxmlformats.org/officeDocument/2006/relationships/hyperlink" Target="https://www.facebook.com/cloverstudiosphotography" TargetMode="External" Id="rId56" /><Relationship Type="http://schemas.openxmlformats.org/officeDocument/2006/relationships/hyperlink" Target="https://www.clover-studios.com/" TargetMode="External" Id="rId57" /><Relationship Type="http://schemas.openxmlformats.org/officeDocument/2006/relationships/hyperlink" Target="https://www.google.com/maps/search/?api=1&amp;query=Clover+Studios+Gold+Coast" TargetMode="External" Id="rId58" /><Relationship Type="http://schemas.openxmlformats.org/officeDocument/2006/relationships/hyperlink" Target="https://www.instagram.com/jennifermccuephotography" TargetMode="External" Id="rId59" /><Relationship Type="http://schemas.openxmlformats.org/officeDocument/2006/relationships/hyperlink" Target="https://www.facebook.com/Jennifer-McCue-Photography-141676235860814" TargetMode="External" Id="rId60" /><Relationship Type="http://schemas.openxmlformats.org/officeDocument/2006/relationships/hyperlink" Target="https://jennifermccuephotography.com.au/" TargetMode="External" Id="rId61" /><Relationship Type="http://schemas.openxmlformats.org/officeDocument/2006/relationships/hyperlink" Target="https://www.google.com/maps/search/?api=1&amp;query=Jennifer+McCue+Photography+Hervey+Bay" TargetMode="External" Id="rId62" /><Relationship Type="http://schemas.openxmlformats.org/officeDocument/2006/relationships/hyperlink" Target="https://facebook.com/jennifertreloarphotography" TargetMode="External" Id="rId63" /><Relationship Type="http://schemas.openxmlformats.org/officeDocument/2006/relationships/hyperlink" Target="https://www.jennifertreloar.com.au/" TargetMode="External" Id="rId64" /><Relationship Type="http://schemas.openxmlformats.org/officeDocument/2006/relationships/hyperlink" Target="https://www.google.com/maps/search/?api=1&amp;query=Jennifer+Treloar+Photography+Mackay" TargetMode="External" Id="rId65" /><Relationship Type="http://schemas.openxmlformats.org/officeDocument/2006/relationships/hyperlink" Target="https://www.instagram.com/brisbaneweddingphotography_" TargetMode="External" Id="rId66" /><Relationship Type="http://schemas.openxmlformats.org/officeDocument/2006/relationships/hyperlink" Target="https://www.facebook.com/BrisbaneWeddingPhotographyVideography" TargetMode="External" Id="rId67" /><Relationship Type="http://schemas.openxmlformats.org/officeDocument/2006/relationships/hyperlink" Target="https://brisbane-photography.com.au/" TargetMode="External" Id="rId68" /><Relationship Type="http://schemas.openxmlformats.org/officeDocument/2006/relationships/hyperlink" Target="https://www.google.com/maps/search/?api=1&amp;query=Brisbane+Wedding+and+Lifestyle+Photography+Moreton+Bay" TargetMode="External" Id="rId69" /><Relationship Type="http://schemas.openxmlformats.org/officeDocument/2006/relationships/hyperlink" Target="https://www.instagram.com/RomanaSaeheng" TargetMode="External" Id="rId70" /><Relationship Type="http://schemas.openxmlformats.org/officeDocument/2006/relationships/hyperlink" Target="https://www.facebook.com/RomanaSaeheng" TargetMode="External" Id="rId71" /><Relationship Type="http://schemas.openxmlformats.org/officeDocument/2006/relationships/hyperlink" Target="https://romana.com.au/" TargetMode="External" Id="rId72" /><Relationship Type="http://schemas.openxmlformats.org/officeDocument/2006/relationships/hyperlink" Target="https://www.google.com/maps/search/?api=1&amp;query=Romana+Saeheng+Photography+Redlands" TargetMode="External" Id="rId73" /><Relationship Type="http://schemas.openxmlformats.org/officeDocument/2006/relationships/hyperlink" Target="https://www.instagram.com/alltheloveintheworld_photos" TargetMode="External" Id="rId74" /><Relationship Type="http://schemas.openxmlformats.org/officeDocument/2006/relationships/hyperlink" Target="https://www.facebook.com/alltheloveintheworldphotography" TargetMode="External" Id="rId75" /><Relationship Type="http://schemas.openxmlformats.org/officeDocument/2006/relationships/hyperlink" Target="http://www.alltheloveintheworld.com.au/" TargetMode="External" Id="rId76" /><Relationship Type="http://schemas.openxmlformats.org/officeDocument/2006/relationships/hyperlink" Target="https://www.google.com/maps/search/?api=1&amp;query=All+the+Love+in+the+World+Sunshine+Coast" TargetMode="External" Id="rId77" /><Relationship Type="http://schemas.openxmlformats.org/officeDocument/2006/relationships/hyperlink" Target="https://www.instagram.com/lisapearlphotography" TargetMode="External" Id="rId78" /><Relationship Type="http://schemas.openxmlformats.org/officeDocument/2006/relationships/hyperlink" Target="https://www.facebook.com/lisapearlphotography" TargetMode="External" Id="rId79" /><Relationship Type="http://schemas.openxmlformats.org/officeDocument/2006/relationships/hyperlink" Target="https://lisapearl.com.au/" TargetMode="External" Id="rId80" /><Relationship Type="http://schemas.openxmlformats.org/officeDocument/2006/relationships/hyperlink" Target="https://www.google.com/maps/search/?api=1&amp;query=Lisa+Pearl+Photography+Sunshine+Coast" TargetMode="External" Id="rId81" /><Relationship Type="http://schemas.openxmlformats.org/officeDocument/2006/relationships/hyperlink" Target="https://www.instagram.com/neilholephotography" TargetMode="External" Id="rId82" /><Relationship Type="http://schemas.openxmlformats.org/officeDocument/2006/relationships/hyperlink" Target="https://www.facebook.com/neilholephotography" TargetMode="External" Id="rId83" /><Relationship Type="http://schemas.openxmlformats.org/officeDocument/2006/relationships/hyperlink" Target="https://neilhole.com.au/" TargetMode="External" Id="rId84" /><Relationship Type="http://schemas.openxmlformats.org/officeDocument/2006/relationships/hyperlink" Target="https://www.google.com/maps/search/?api=1&amp;query=Neil+Hole+Wedding+Photography+Sunshine+Coast" TargetMode="External" Id="rId85" /><Relationship Type="http://schemas.openxmlformats.org/officeDocument/2006/relationships/hyperlink" Target="https://www.instagram.com/matt_edwards_photography_" TargetMode="External" Id="rId86" /><Relationship Type="http://schemas.openxmlformats.org/officeDocument/2006/relationships/hyperlink" Target="https://www.facebook.com/mattedwardsphotography" TargetMode="External" Id="rId87" /><Relationship Type="http://schemas.openxmlformats.org/officeDocument/2006/relationships/hyperlink" Target="https://mattedwardsphotography.com.au/" TargetMode="External" Id="rId88" /><Relationship Type="http://schemas.openxmlformats.org/officeDocument/2006/relationships/hyperlink" Target="https://www.google.com/maps/search/?api=1&amp;query=Matt+Edwards+Photography+Toowoomba" TargetMode="External" Id="rId89" /><Relationship Type="http://schemas.openxmlformats.org/officeDocument/2006/relationships/hyperlink" Target="http://instagram.com/thefinches" TargetMode="External" Id="rId90" /><Relationship Type="http://schemas.openxmlformats.org/officeDocument/2006/relationships/hyperlink" Target="http://facebook.com/thefinchesphotography" TargetMode="External" Id="rId91" /><Relationship Type="http://schemas.openxmlformats.org/officeDocument/2006/relationships/hyperlink" Target="http://www.thefinches.com.au/" TargetMode="External" Id="rId92" /><Relationship Type="http://schemas.openxmlformats.org/officeDocument/2006/relationships/hyperlink" Target="https://www.google.com/maps/search/?api=1&amp;query=The+Finches+Toowoomba" TargetMode="External" Id="rId93" /><Relationship Type="http://schemas.openxmlformats.org/officeDocument/2006/relationships/hyperlink" Target="https://www.instagram.com/sapphiresoulcreative" TargetMode="External" Id="rId94" /><Relationship Type="http://schemas.openxmlformats.org/officeDocument/2006/relationships/hyperlink" Target="https://www.sapphiresoul.com.au/" TargetMode="External" Id="rId95" /><Relationship Type="http://schemas.openxmlformats.org/officeDocument/2006/relationships/hyperlink" Target="https://www.google.com/maps/search/?api=1&amp;query=Sapphire+Soul+Photography+Townsville" TargetMode="External" Id="rId96" /><Relationship Type="http://schemas.openxmlformats.org/officeDocument/2006/relationships/hyperlink" Target="https://www.instagram.com/beyondthespectrumphotography" TargetMode="External" Id="rId97" /><Relationship Type="http://schemas.openxmlformats.org/officeDocument/2006/relationships/hyperlink" Target="https://www.facebook.com/beyondthespectrumphotography" TargetMode="External" Id="rId98" /><Relationship Type="http://schemas.openxmlformats.org/officeDocument/2006/relationships/hyperlink" Target="https://beyondthespectrumphotography.com.au/" TargetMode="External" Id="rId99" /><Relationship Type="http://schemas.openxmlformats.org/officeDocument/2006/relationships/hyperlink" Target="https://www.google.com/maps/search/?api=1&amp;query=Beyond+the+Spectrum+Photography+Townsville" TargetMode="External" Id="rId100" /><Relationship Type="http://schemas.openxmlformats.org/officeDocument/2006/relationships/hyperlink" Target="https://www.instagram.com/jcfilmz.townsville" TargetMode="External" Id="rId101" /><Relationship Type="http://schemas.openxmlformats.org/officeDocument/2006/relationships/hyperlink" Target="https://www.facebook.com/JCFilmz" TargetMode="External" Id="rId102" /><Relationship Type="http://schemas.openxmlformats.org/officeDocument/2006/relationships/hyperlink" Target="https://jcfilmz.com/" TargetMode="External" Id="rId103" /><Relationship Type="http://schemas.openxmlformats.org/officeDocument/2006/relationships/hyperlink" Target="https://www.google.com/maps/search/?api=1&amp;query=JC+Filmz+Townsville" TargetMode="External" Id="rId10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8" customWidth="1" min="3" max="3"/>
    <col width="28" customWidth="1" min="4" max="4"/>
    <col width="16" customWidth="1" min="5" max="5"/>
    <col width="14" customWidth="1" min="6" max="6"/>
    <col width="11" customWidth="1" min="7" max="7"/>
    <col width="30" customWidth="1" min="8" max="8"/>
    <col width="30" customWidth="1" min="9" max="9"/>
    <col width="16" customWidth="1" min="10" max="10"/>
    <col width="30" customWidth="1" min="11" max="11"/>
    <col width="40" customWidth="1" min="12" max="12"/>
    <col width="70" customWidth="1" min="13" max="13"/>
    <col width="22" customWidth="1" min="14" max="14"/>
    <col width="16" customWidth="1" min="15" max="15"/>
    <col width="14" customWidth="1" min="16" max="16"/>
    <col width="14" customWidth="1" min="17" max="17"/>
    <col width="14" customWidth="1" min="18" max="18"/>
    <col width="30" customWidth="1" min="19" max="19"/>
  </cols>
  <sheetData>
    <row r="1">
      <c r="A1" s="1" t="inlineStr">
        <is>
          <t>#</t>
        </is>
      </c>
      <c r="B1" s="1" t="inlineStr">
        <is>
          <t>Priority</t>
        </is>
      </c>
      <c r="C1" s="1" t="inlineStr">
        <is>
          <t>Lead type</t>
        </is>
      </c>
      <c r="D1" s="1" t="inlineStr">
        <is>
          <t>Business</t>
        </is>
      </c>
      <c r="E1" s="1" t="inlineStr">
        <is>
          <t>Category</t>
        </is>
      </c>
      <c r="F1" s="1" t="inlineStr">
        <is>
          <t>Region</t>
        </is>
      </c>
      <c r="G1" s="1" t="inlineStr">
        <is>
          <t>DM on</t>
        </is>
      </c>
      <c r="H1" s="1" t="inlineStr">
        <is>
          <t>Instagram</t>
        </is>
      </c>
      <c r="I1" s="1" t="inlineStr">
        <is>
          <t>Facebook</t>
        </is>
      </c>
      <c r="J1" s="1" t="inlineStr">
        <is>
          <t>Phone</t>
        </is>
      </c>
      <c r="K1" s="1" t="inlineStr">
        <is>
          <t>Website</t>
        </is>
      </c>
      <c r="L1" s="1" t="inlineStr">
        <is>
          <t>What we found</t>
        </is>
      </c>
      <c r="M1" s="1" t="inlineStr">
        <is>
          <t>Suggested first DM (fill the [bracket] first)</t>
        </is>
      </c>
      <c r="N1" s="1" t="inlineStr">
        <is>
          <t>Check on Google Maps</t>
        </is>
      </c>
      <c r="O1" s="1" t="inlineStr">
        <is>
          <t>Status</t>
        </is>
      </c>
      <c r="P1" s="1" t="inlineStr">
        <is>
          <t>Assigned to</t>
        </is>
      </c>
      <c r="Q1" s="1" t="inlineStr">
        <is>
          <t>Date contacted</t>
        </is>
      </c>
      <c r="R1" s="1" t="inlineStr">
        <is>
          <t>Follow-up date</t>
        </is>
      </c>
      <c r="S1" s="1" t="inlineStr">
        <is>
          <t>Notes</t>
        </is>
      </c>
    </row>
    <row r="2">
      <c r="A2" s="2" t="n">
        <v>1</v>
      </c>
      <c r="B2" s="3" t="inlineStr">
        <is>
          <t>MEDIUM</t>
        </is>
      </c>
      <c r="C2" s="2" t="inlineStr">
        <is>
          <t>Weak website</t>
        </is>
      </c>
      <c r="D2" s="2" t="inlineStr">
        <is>
          <t>The Light Photo and Film</t>
        </is>
      </c>
      <c r="E2" s="2" t="inlineStr">
        <is>
          <t>wedding photo or video</t>
        </is>
      </c>
      <c r="F2" s="2" t="inlineStr">
        <is>
          <t>Brisbane</t>
        </is>
      </c>
      <c r="G2" s="2" t="inlineStr">
        <is>
          <t>Instagram</t>
        </is>
      </c>
      <c r="H2" s="4" t="inlineStr">
        <is>
          <t>https://www.instagram.com/thelight.photoandfilm</t>
        </is>
      </c>
      <c r="I2" s="2" t="inlineStr"/>
      <c r="J2" s="2" t="inlineStr"/>
      <c r="K2" s="4" t="inlineStr">
        <is>
          <t>https://thelightphotoandfilm.com.au/</t>
        </is>
      </c>
      <c r="L2" s="2" t="inlineStr">
        <is>
          <t>slow to load (3.7s)</t>
        </is>
      </c>
      <c r="M2" s="2" t="inlineStr">
        <is>
          <t>Hi The Light Photo and Film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2" s="4" t="inlineStr">
        <is>
          <t>Open map</t>
        </is>
      </c>
      <c r="O2" s="2" t="inlineStr">
        <is>
          <t>Not contacted</t>
        </is>
      </c>
      <c r="P2" s="2" t="inlineStr"/>
      <c r="Q2" s="2" t="inlineStr"/>
      <c r="R2" s="2" t="inlineStr"/>
      <c r="S2" s="2" t="inlineStr"/>
    </row>
    <row r="3">
      <c r="A3" s="2" t="n">
        <v>2</v>
      </c>
      <c r="B3" s="3" t="inlineStr">
        <is>
          <t>MEDIUM</t>
        </is>
      </c>
      <c r="C3" s="2" t="inlineStr">
        <is>
          <t>Weak website</t>
        </is>
      </c>
      <c r="D3" s="2" t="inlineStr">
        <is>
          <t>Verona Media</t>
        </is>
      </c>
      <c r="E3" s="2" t="inlineStr">
        <is>
          <t>wedding photo or video</t>
        </is>
      </c>
      <c r="F3" s="2" t="inlineStr">
        <is>
          <t>Brisbane</t>
        </is>
      </c>
      <c r="G3" s="2" t="inlineStr">
        <is>
          <t>Instagram</t>
        </is>
      </c>
      <c r="H3" s="4" t="inlineStr">
        <is>
          <t>https://www.instagram.com/verona_media</t>
        </is>
      </c>
      <c r="I3" s="4" t="inlineStr">
        <is>
          <t>https://www.facebook.com/veronamedia</t>
        </is>
      </c>
      <c r="J3" s="2" t="inlineStr"/>
      <c r="K3" s="4" t="inlineStr">
        <is>
          <t>https://www.veronamedia.com.au/</t>
        </is>
      </c>
      <c r="L3" s="2" t="inlineStr">
        <is>
          <t>looks outdated (copyright 2023)</t>
        </is>
      </c>
      <c r="M3" s="2" t="inlineStr">
        <is>
          <t>Hi Verona Media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" s="4" t="inlineStr">
        <is>
          <t>Open map</t>
        </is>
      </c>
      <c r="O3" s="2" t="inlineStr">
        <is>
          <t>Not contacted</t>
        </is>
      </c>
      <c r="P3" s="2" t="inlineStr"/>
      <c r="Q3" s="2" t="inlineStr"/>
      <c r="R3" s="2" t="inlineStr"/>
      <c r="S3" s="2" t="inlineStr"/>
    </row>
    <row r="4">
      <c r="A4" s="2" t="n">
        <v>3</v>
      </c>
      <c r="B4" s="3" t="inlineStr">
        <is>
          <t>MEDIUM</t>
        </is>
      </c>
      <c r="C4" s="2" t="inlineStr">
        <is>
          <t>Weak website</t>
        </is>
      </c>
      <c r="D4" s="2" t="inlineStr">
        <is>
          <t>A Thousand Miles Photography</t>
        </is>
      </c>
      <c r="E4" s="2" t="inlineStr">
        <is>
          <t>wedding photographer</t>
        </is>
      </c>
      <c r="F4" s="2" t="inlineStr">
        <is>
          <t>Brisbane</t>
        </is>
      </c>
      <c r="G4" s="2" t="inlineStr">
        <is>
          <t>Facebook</t>
        </is>
      </c>
      <c r="H4" s="2" t="inlineStr"/>
      <c r="I4" s="4" t="inlineStr">
        <is>
          <t>https://www.facebook.com/athousandmilesphotography</t>
        </is>
      </c>
      <c r="J4" s="2" t="inlineStr"/>
      <c r="K4" s="4" t="inlineStr">
        <is>
          <t>https://www.athousandmilesphotography.com.au/</t>
        </is>
      </c>
      <c r="L4" s="2" t="inlineStr">
        <is>
          <t>looks outdated (copyright 2022); slow to load (3.1s)</t>
        </is>
      </c>
      <c r="M4" s="2" t="inlineStr">
        <is>
          <t>Hi A Thousand Miles Photography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4" s="4" t="inlineStr">
        <is>
          <t>Open map</t>
        </is>
      </c>
      <c r="O4" s="2" t="inlineStr">
        <is>
          <t>Not contacted</t>
        </is>
      </c>
      <c r="P4" s="2" t="inlineStr"/>
      <c r="Q4" s="2" t="inlineStr"/>
      <c r="R4" s="2" t="inlineStr"/>
      <c r="S4" s="2" t="inlineStr"/>
    </row>
    <row r="5">
      <c r="A5" s="2" t="n">
        <v>4</v>
      </c>
      <c r="B5" s="3" t="inlineStr">
        <is>
          <t>MEDIUM</t>
        </is>
      </c>
      <c r="C5" s="2" t="inlineStr">
        <is>
          <t>Weak website</t>
        </is>
      </c>
      <c r="D5" s="2" t="inlineStr">
        <is>
          <t>Alison Cooke Photography</t>
        </is>
      </c>
      <c r="E5" s="2" t="inlineStr">
        <is>
          <t>wedding photographer</t>
        </is>
      </c>
      <c r="F5" s="2" t="inlineStr">
        <is>
          <t>Brisbane</t>
        </is>
      </c>
      <c r="G5" s="2" t="inlineStr">
        <is>
          <t>Instagram</t>
        </is>
      </c>
      <c r="H5" s="4" t="inlineStr">
        <is>
          <t>https://www.instagram.com/alisoncookephotography</t>
        </is>
      </c>
      <c r="I5" s="4" t="inlineStr">
        <is>
          <t>https://www.facebook.com/alisoncookephotographybrisbane</t>
        </is>
      </c>
      <c r="J5" s="2" t="inlineStr"/>
      <c r="K5" s="4" t="inlineStr">
        <is>
          <t>https://alisoncookephotography.com/</t>
        </is>
      </c>
      <c r="L5" s="2" t="inlineStr">
        <is>
          <t>looks outdated (copyright 2020)</t>
        </is>
      </c>
      <c r="M5" s="2" t="inlineStr">
        <is>
          <t>Hi Alison Cooke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5" s="4" t="inlineStr">
        <is>
          <t>Open map</t>
        </is>
      </c>
      <c r="O5" s="2" t="inlineStr">
        <is>
          <t>Not contacted</t>
        </is>
      </c>
      <c r="P5" s="2" t="inlineStr"/>
      <c r="Q5" s="2" t="inlineStr"/>
      <c r="R5" s="2" t="inlineStr"/>
      <c r="S5" s="2" t="inlineStr"/>
    </row>
    <row r="6">
      <c r="A6" s="2" t="n">
        <v>5</v>
      </c>
      <c r="B6" s="3" t="inlineStr">
        <is>
          <t>MEDIUM</t>
        </is>
      </c>
      <c r="C6" s="2" t="inlineStr">
        <is>
          <t>Weak website</t>
        </is>
      </c>
      <c r="D6" s="2" t="inlineStr">
        <is>
          <t>Willidea Studio</t>
        </is>
      </c>
      <c r="E6" s="2" t="inlineStr">
        <is>
          <t>wedding photographer</t>
        </is>
      </c>
      <c r="F6" s="2" t="inlineStr">
        <is>
          <t>Brisbane</t>
        </is>
      </c>
      <c r="G6" s="2" t="inlineStr">
        <is>
          <t>Instagram</t>
        </is>
      </c>
      <c r="H6" s="4" t="inlineStr">
        <is>
          <t>https://www.instagram.com/willideastudio</t>
        </is>
      </c>
      <c r="I6" s="4" t="inlineStr">
        <is>
          <t>https://www.facebook.com/willideastudio</t>
        </is>
      </c>
      <c r="J6" s="2" t="inlineStr"/>
      <c r="K6" s="4" t="inlineStr">
        <is>
          <t>https://willidea.net/</t>
        </is>
      </c>
      <c r="L6" s="2" t="inlineStr">
        <is>
          <t>slow to load (4.5s)</t>
        </is>
      </c>
      <c r="M6" s="2" t="inlineStr">
        <is>
          <t>Hi Willidea Studio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6" s="4" t="inlineStr">
        <is>
          <t>Open map</t>
        </is>
      </c>
      <c r="O6" s="2" t="inlineStr">
        <is>
          <t>Not contacted</t>
        </is>
      </c>
      <c r="P6" s="2" t="inlineStr"/>
      <c r="Q6" s="2" t="inlineStr"/>
      <c r="R6" s="2" t="inlineStr"/>
      <c r="S6" s="2" t="inlineStr"/>
    </row>
    <row r="7">
      <c r="A7" s="2" t="n">
        <v>6</v>
      </c>
      <c r="B7" s="3" t="inlineStr">
        <is>
          <t>MEDIUM</t>
        </is>
      </c>
      <c r="C7" s="2" t="inlineStr">
        <is>
          <t>Weak website</t>
        </is>
      </c>
      <c r="D7" s="2" t="inlineStr">
        <is>
          <t>Nikki Blades Photography</t>
        </is>
      </c>
      <c r="E7" s="2" t="inlineStr">
        <is>
          <t>wedding photographer</t>
        </is>
      </c>
      <c r="F7" s="2" t="inlineStr">
        <is>
          <t>Bundaberg</t>
        </is>
      </c>
      <c r="G7" s="2" t="inlineStr">
        <is>
          <t>Instagram</t>
        </is>
      </c>
      <c r="H7" s="4" t="inlineStr">
        <is>
          <t>https://www.instagram.com/nikki_blades_photos</t>
        </is>
      </c>
      <c r="I7" s="4" t="inlineStr">
        <is>
          <t>https://www.facebook.com/NikkiBladesPhotos</t>
        </is>
      </c>
      <c r="J7" s="2" t="inlineStr"/>
      <c r="K7" s="4" t="inlineStr">
        <is>
          <t>https://www.nikkibladesphotography.com.au/</t>
        </is>
      </c>
      <c r="L7" s="2" t="inlineStr">
        <is>
          <t>looks outdated (copyright 2017); missing meta description; slow to load (4.1s)</t>
        </is>
      </c>
      <c r="M7" s="2" t="inlineStr">
        <is>
          <t>Hi Nikki Blades Photography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7" s="4" t="inlineStr">
        <is>
          <t>Open map</t>
        </is>
      </c>
      <c r="O7" s="2" t="inlineStr">
        <is>
          <t>Not contacted</t>
        </is>
      </c>
      <c r="P7" s="2" t="inlineStr"/>
      <c r="Q7" s="2" t="inlineStr"/>
      <c r="R7" s="2" t="inlineStr"/>
      <c r="S7" s="2" t="inlineStr"/>
    </row>
    <row r="8">
      <c r="A8" s="2" t="n">
        <v>7</v>
      </c>
      <c r="B8" s="3" t="inlineStr">
        <is>
          <t>MEDIUM</t>
        </is>
      </c>
      <c r="C8" s="2" t="inlineStr">
        <is>
          <t>Weak website</t>
        </is>
      </c>
      <c r="D8" s="2" t="inlineStr">
        <is>
          <t>Sharon Dawn Photography</t>
        </is>
      </c>
      <c r="E8" s="2" t="inlineStr">
        <is>
          <t>wedding photographer</t>
        </is>
      </c>
      <c r="F8" s="2" t="inlineStr">
        <is>
          <t>Bundaberg</t>
        </is>
      </c>
      <c r="G8" s="2" t="inlineStr">
        <is>
          <t>Instagram</t>
        </is>
      </c>
      <c r="H8" s="4" t="inlineStr">
        <is>
          <t>https://instagram.com/sharondawnphotography</t>
        </is>
      </c>
      <c r="I8" s="4" t="inlineStr">
        <is>
          <t>https://www.facebook.com/sharondawnphotography</t>
        </is>
      </c>
      <c r="J8" s="2" t="inlineStr"/>
      <c r="K8" s="4" t="inlineStr">
        <is>
          <t>https://sharondawnphotography.queensberryworkspace.com/</t>
        </is>
      </c>
      <c r="L8" s="2" t="inlineStr">
        <is>
          <t>looks outdated (copyright 2021)</t>
        </is>
      </c>
      <c r="M8" s="2" t="inlineStr">
        <is>
          <t>Hi Sharon Dawn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8" s="4" t="inlineStr">
        <is>
          <t>Open map</t>
        </is>
      </c>
      <c r="O8" s="2" t="inlineStr">
        <is>
          <t>Not contacted</t>
        </is>
      </c>
      <c r="P8" s="2" t="inlineStr"/>
      <c r="Q8" s="2" t="inlineStr"/>
      <c r="R8" s="2" t="inlineStr"/>
      <c r="S8" s="2" t="inlineStr"/>
    </row>
    <row r="9">
      <c r="A9" s="2" t="n">
        <v>8</v>
      </c>
      <c r="B9" s="3" t="inlineStr">
        <is>
          <t>MEDIUM</t>
        </is>
      </c>
      <c r="C9" s="2" t="inlineStr">
        <is>
          <t>Weak website</t>
        </is>
      </c>
      <c r="D9" s="2" t="inlineStr">
        <is>
          <t>Lifetime in a Day Films</t>
        </is>
      </c>
      <c r="E9" s="2" t="inlineStr">
        <is>
          <t>wedding videographer</t>
        </is>
      </c>
      <c r="F9" s="2" t="inlineStr">
        <is>
          <t>Bundaberg</t>
        </is>
      </c>
      <c r="G9" s="2" t="inlineStr">
        <is>
          <t>Instagram</t>
        </is>
      </c>
      <c r="H9" s="4" t="inlineStr">
        <is>
          <t>https://www.instagram.com/lifetime_in_a_day_films</t>
        </is>
      </c>
      <c r="I9" s="4" t="inlineStr">
        <is>
          <t>https://www.facebook.com/lifetimeinaday</t>
        </is>
      </c>
      <c r="J9" s="2" t="inlineStr"/>
      <c r="K9" s="4" t="inlineStr">
        <is>
          <t>https://lifetimeinaday.com.au/</t>
        </is>
      </c>
      <c r="L9" s="2" t="inlineStr">
        <is>
          <t>looks outdated (copyright 2023)</t>
        </is>
      </c>
      <c r="M9" s="2" t="inlineStr">
        <is>
          <t>Hi Lifetime in a Day Films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9" s="4" t="inlineStr">
        <is>
          <t>Open map</t>
        </is>
      </c>
      <c r="O9" s="2" t="inlineStr">
        <is>
          <t>Not contacted</t>
        </is>
      </c>
      <c r="P9" s="2" t="inlineStr"/>
      <c r="Q9" s="2" t="inlineStr"/>
      <c r="R9" s="2" t="inlineStr"/>
      <c r="S9" s="2" t="inlineStr"/>
    </row>
    <row r="10">
      <c r="A10" s="2" t="n">
        <v>9</v>
      </c>
      <c r="B10" s="3" t="inlineStr">
        <is>
          <t>MEDIUM</t>
        </is>
      </c>
      <c r="C10" s="2" t="inlineStr">
        <is>
          <t>Weak website</t>
        </is>
      </c>
      <c r="D10" s="2" t="inlineStr">
        <is>
          <t>Desiren Photography &amp; Video</t>
        </is>
      </c>
      <c r="E10" s="2" t="inlineStr">
        <is>
          <t>wedding photo or video</t>
        </is>
      </c>
      <c r="F10" s="2" t="inlineStr">
        <is>
          <t>Cairns</t>
        </is>
      </c>
      <c r="G10" s="2" t="inlineStr">
        <is>
          <t>Instagram</t>
        </is>
      </c>
      <c r="H10" s="4" t="inlineStr">
        <is>
          <t>https://www.instagram.com/desiren_photography_video</t>
        </is>
      </c>
      <c r="I10" s="4" t="inlineStr">
        <is>
          <t>https://www.facebook.com/melbourne.wedding.photography.and.video</t>
        </is>
      </c>
      <c r="J10" s="2" t="inlineStr"/>
      <c r="K10" s="4" t="inlineStr">
        <is>
          <t>https://desiren.com.au/</t>
        </is>
      </c>
      <c r="L10" s="2" t="inlineStr">
        <is>
          <t>missing meta description</t>
        </is>
      </c>
      <c r="M10" s="2" t="inlineStr">
        <is>
          <t>Hi Desiren Photography &amp; Video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10" s="4" t="inlineStr">
        <is>
          <t>Open map</t>
        </is>
      </c>
      <c r="O10" s="2" t="inlineStr">
        <is>
          <t>Not contacted</t>
        </is>
      </c>
      <c r="P10" s="2" t="inlineStr"/>
      <c r="Q10" s="2" t="inlineStr"/>
      <c r="R10" s="2" t="inlineStr"/>
      <c r="S10" s="2" t="inlineStr"/>
    </row>
    <row r="11">
      <c r="A11" s="2" t="n">
        <v>10</v>
      </c>
      <c r="B11" s="3" t="inlineStr">
        <is>
          <t>MEDIUM</t>
        </is>
      </c>
      <c r="C11" s="2" t="inlineStr">
        <is>
          <t>Weak website</t>
        </is>
      </c>
      <c r="D11" s="2" t="inlineStr">
        <is>
          <t>Luminosity Film Studios</t>
        </is>
      </c>
      <c r="E11" s="2" t="inlineStr">
        <is>
          <t>wedding photo or video</t>
        </is>
      </c>
      <c r="F11" s="2" t="inlineStr">
        <is>
          <t>Cairns</t>
        </is>
      </c>
      <c r="G11" s="2" t="inlineStr">
        <is>
          <t>Instagram</t>
        </is>
      </c>
      <c r="H11" s="4" t="inlineStr">
        <is>
          <t>https://www.instagram.com/luminosity.studios</t>
        </is>
      </c>
      <c r="I11" s="4" t="inlineStr">
        <is>
          <t>https://www.facebook.com/luminosityfilmstudios</t>
        </is>
      </c>
      <c r="J11" s="2" t="inlineStr"/>
      <c r="K11" s="4" t="inlineStr">
        <is>
          <t>https://luminosityfilmstudios.com/</t>
        </is>
      </c>
      <c r="L11" s="2" t="inlineStr">
        <is>
          <t>looks outdated (copyright 2015)</t>
        </is>
      </c>
      <c r="M11" s="2" t="inlineStr">
        <is>
          <t>Hi Luminosity Film Studios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11" s="4" t="inlineStr">
        <is>
          <t>Open map</t>
        </is>
      </c>
      <c r="O11" s="2" t="inlineStr">
        <is>
          <t>Not contacted</t>
        </is>
      </c>
      <c r="P11" s="2" t="inlineStr"/>
      <c r="Q11" s="2" t="inlineStr"/>
      <c r="R11" s="2" t="inlineStr"/>
      <c r="S11" s="2" t="inlineStr"/>
    </row>
    <row r="12">
      <c r="A12" s="2" t="n">
        <v>11</v>
      </c>
      <c r="B12" s="3" t="inlineStr">
        <is>
          <t>MEDIUM</t>
        </is>
      </c>
      <c r="C12" s="2" t="inlineStr">
        <is>
          <t>Weak website</t>
        </is>
      </c>
      <c r="D12" s="2" t="inlineStr">
        <is>
          <t>Style Productions</t>
        </is>
      </c>
      <c r="E12" s="2" t="inlineStr">
        <is>
          <t>wedding photo or video</t>
        </is>
      </c>
      <c r="F12" s="2" t="inlineStr">
        <is>
          <t>Cairns</t>
        </is>
      </c>
      <c r="G12" s="2" t="inlineStr">
        <is>
          <t>Instagram</t>
        </is>
      </c>
      <c r="H12" s="4" t="inlineStr">
        <is>
          <t>https://www.instagram.com/styleproductionscairns</t>
        </is>
      </c>
      <c r="I12" s="4" t="inlineStr">
        <is>
          <t>https://www.facebook.com/styleproductionscairns</t>
        </is>
      </c>
      <c r="J12" s="2" t="inlineStr"/>
      <c r="K12" s="4" t="inlineStr">
        <is>
          <t>https://www.styleproductions.com.au/</t>
        </is>
      </c>
      <c r="L12" s="2" t="inlineStr">
        <is>
          <t>missing meta description; slow to load (5.1s)</t>
        </is>
      </c>
      <c r="M12" s="2" t="inlineStr">
        <is>
          <t>Hi Style Productions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12" s="4" t="inlineStr">
        <is>
          <t>Open map</t>
        </is>
      </c>
      <c r="O12" s="2" t="inlineStr">
        <is>
          <t>Not contacted</t>
        </is>
      </c>
      <c r="P12" s="2" t="inlineStr"/>
      <c r="Q12" s="2" t="inlineStr"/>
      <c r="R12" s="2" t="inlineStr"/>
      <c r="S12" s="2" t="inlineStr"/>
    </row>
    <row r="13">
      <c r="A13" s="2" t="n">
        <v>12</v>
      </c>
      <c r="B13" s="3" t="inlineStr">
        <is>
          <t>MEDIUM</t>
        </is>
      </c>
      <c r="C13" s="2" t="inlineStr">
        <is>
          <t>Weak website</t>
        </is>
      </c>
      <c r="D13" s="2" t="inlineStr">
        <is>
          <t>Emma G Photos</t>
        </is>
      </c>
      <c r="E13" s="2" t="inlineStr">
        <is>
          <t>wedding photographer</t>
        </is>
      </c>
      <c r="F13" s="2" t="inlineStr">
        <is>
          <t>Cairns</t>
        </is>
      </c>
      <c r="G13" s="2" t="inlineStr">
        <is>
          <t>Instagram</t>
        </is>
      </c>
      <c r="H13" s="4" t="inlineStr">
        <is>
          <t>https://www.instagram.com/emmagphotographycairns</t>
        </is>
      </c>
      <c r="I13" s="4" t="inlineStr">
        <is>
          <t>https://www.facebook.com/egphotoscairns</t>
        </is>
      </c>
      <c r="J13" s="2" t="inlineStr"/>
      <c r="K13" s="4" t="inlineStr">
        <is>
          <t>https://emmagphotos.com/</t>
        </is>
      </c>
      <c r="L13" s="2" t="inlineStr">
        <is>
          <t>slow to load (5.7s)</t>
        </is>
      </c>
      <c r="M13" s="2" t="inlineStr">
        <is>
          <t>Hi Emma G Photos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13" s="4" t="inlineStr">
        <is>
          <t>Open map</t>
        </is>
      </c>
      <c r="O13" s="2" t="inlineStr">
        <is>
          <t>Not contacted</t>
        </is>
      </c>
      <c r="P13" s="2" t="inlineStr"/>
      <c r="Q13" s="2" t="inlineStr"/>
      <c r="R13" s="2" t="inlineStr"/>
      <c r="S13" s="2" t="inlineStr"/>
    </row>
    <row r="14">
      <c r="A14" s="2" t="n">
        <v>13</v>
      </c>
      <c r="B14" s="3" t="inlineStr">
        <is>
          <t>MEDIUM</t>
        </is>
      </c>
      <c r="C14" s="2" t="inlineStr">
        <is>
          <t>Weak website</t>
        </is>
      </c>
      <c r="D14" s="2" t="inlineStr">
        <is>
          <t>Matthew Evans Photography</t>
        </is>
      </c>
      <c r="E14" s="2" t="inlineStr">
        <is>
          <t>wedding photographer</t>
        </is>
      </c>
      <c r="F14" s="2" t="inlineStr">
        <is>
          <t>Cairns</t>
        </is>
      </c>
      <c r="G14" s="2" t="inlineStr">
        <is>
          <t>Instagram</t>
        </is>
      </c>
      <c r="H14" s="4" t="inlineStr">
        <is>
          <t>https://www.instagram.com/matthew_evans_photography</t>
        </is>
      </c>
      <c r="I14" s="4" t="inlineStr">
        <is>
          <t>https://www.facebook.com/cairnsphotography</t>
        </is>
      </c>
      <c r="J14" s="2" t="inlineStr"/>
      <c r="K14" s="4" t="inlineStr">
        <is>
          <t>https://www.matthewevansphotography.com.au/</t>
        </is>
      </c>
      <c r="L14" s="2" t="inlineStr">
        <is>
          <t>looks outdated (copyright 2015)</t>
        </is>
      </c>
      <c r="M14" s="2" t="inlineStr">
        <is>
          <t>Hi Matthew Evans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14" s="4" t="inlineStr">
        <is>
          <t>Open map</t>
        </is>
      </c>
      <c r="O14" s="2" t="inlineStr">
        <is>
          <t>Not contacted</t>
        </is>
      </c>
      <c r="P14" s="2" t="inlineStr"/>
      <c r="Q14" s="2" t="inlineStr"/>
      <c r="R14" s="2" t="inlineStr"/>
      <c r="S14" s="2" t="inlineStr"/>
    </row>
    <row r="15">
      <c r="A15" s="2" t="n">
        <v>14</v>
      </c>
      <c r="B15" s="3" t="inlineStr">
        <is>
          <t>MEDIUM</t>
        </is>
      </c>
      <c r="C15" s="2" t="inlineStr">
        <is>
          <t>Weak website</t>
        </is>
      </c>
      <c r="D15" s="2" t="inlineStr">
        <is>
          <t>Zen Photography</t>
        </is>
      </c>
      <c r="E15" s="2" t="inlineStr">
        <is>
          <t>wedding photographer</t>
        </is>
      </c>
      <c r="F15" s="2" t="inlineStr">
        <is>
          <t>Cairns</t>
        </is>
      </c>
      <c r="G15" s="2" t="inlineStr">
        <is>
          <t>Instagram</t>
        </is>
      </c>
      <c r="H15" s="4" t="inlineStr">
        <is>
          <t>https://www.instagram.com/zenphotography_au</t>
        </is>
      </c>
      <c r="I15" s="4" t="inlineStr">
        <is>
          <t>https://facebook.com/zen.theartofseeing</t>
        </is>
      </c>
      <c r="J15" s="2" t="inlineStr"/>
      <c r="K15" s="4" t="inlineStr">
        <is>
          <t>https://www.zenphotography.com.au/</t>
        </is>
      </c>
      <c r="L15" s="2" t="inlineStr">
        <is>
          <t>missing meta description</t>
        </is>
      </c>
      <c r="M15" s="2" t="inlineStr">
        <is>
          <t>Hi Zen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15" s="4" t="inlineStr">
        <is>
          <t>Open map</t>
        </is>
      </c>
      <c r="O15" s="2" t="inlineStr">
        <is>
          <t>Not contacted</t>
        </is>
      </c>
      <c r="P15" s="2" t="inlineStr"/>
      <c r="Q15" s="2" t="inlineStr"/>
      <c r="R15" s="2" t="inlineStr"/>
      <c r="S15" s="2" t="inlineStr"/>
    </row>
    <row r="16">
      <c r="A16" s="2" t="n">
        <v>15</v>
      </c>
      <c r="B16" s="3" t="inlineStr">
        <is>
          <t>MEDIUM</t>
        </is>
      </c>
      <c r="C16" s="2" t="inlineStr">
        <is>
          <t>Weak website</t>
        </is>
      </c>
      <c r="D16" s="2" t="inlineStr">
        <is>
          <t>Clover Studios</t>
        </is>
      </c>
      <c r="E16" s="2" t="inlineStr">
        <is>
          <t>wedding photographer</t>
        </is>
      </c>
      <c r="F16" s="2" t="inlineStr">
        <is>
          <t>Gold Coast</t>
        </is>
      </c>
      <c r="G16" s="2" t="inlineStr">
        <is>
          <t>Instagram</t>
        </is>
      </c>
      <c r="H16" s="4" t="inlineStr">
        <is>
          <t>https://www.instagram.com/clover__studios</t>
        </is>
      </c>
      <c r="I16" s="4" t="inlineStr">
        <is>
          <t>https://www.facebook.com/cloverstudiosphotography</t>
        </is>
      </c>
      <c r="J16" s="2" t="inlineStr"/>
      <c r="K16" s="4" t="inlineStr">
        <is>
          <t>https://www.clover-studios.com/</t>
        </is>
      </c>
      <c r="L16" s="2" t="inlineStr">
        <is>
          <t>missing meta description; slow to load (8.7s)</t>
        </is>
      </c>
      <c r="M16" s="2" t="inlineStr">
        <is>
          <t>Hi Clover Studios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16" s="4" t="inlineStr">
        <is>
          <t>Open map</t>
        </is>
      </c>
      <c r="O16" s="2" t="inlineStr">
        <is>
          <t>Not contacted</t>
        </is>
      </c>
      <c r="P16" s="2" t="inlineStr"/>
      <c r="Q16" s="2" t="inlineStr"/>
      <c r="R16" s="2" t="inlineStr"/>
      <c r="S16" s="2" t="inlineStr"/>
    </row>
    <row r="17">
      <c r="A17" s="2" t="n">
        <v>16</v>
      </c>
      <c r="B17" s="3" t="inlineStr">
        <is>
          <t>MEDIUM</t>
        </is>
      </c>
      <c r="C17" s="2" t="inlineStr">
        <is>
          <t>Weak website</t>
        </is>
      </c>
      <c r="D17" s="2" t="inlineStr">
        <is>
          <t>Jennifer McCue Photography</t>
        </is>
      </c>
      <c r="E17" s="2" t="inlineStr">
        <is>
          <t>wedding photographer</t>
        </is>
      </c>
      <c r="F17" s="2" t="inlineStr">
        <is>
          <t>Hervey Bay</t>
        </is>
      </c>
      <c r="G17" s="2" t="inlineStr">
        <is>
          <t>Instagram</t>
        </is>
      </c>
      <c r="H17" s="4" t="inlineStr">
        <is>
          <t>https://www.instagram.com/jennifermccuephotography</t>
        </is>
      </c>
      <c r="I17" s="4" t="inlineStr">
        <is>
          <t>https://www.facebook.com/Jennifer-McCue-Photography-141676235860814</t>
        </is>
      </c>
      <c r="J17" s="2" t="inlineStr"/>
      <c r="K17" s="4" t="inlineStr">
        <is>
          <t>https://jennifermccuephotography.com.au/</t>
        </is>
      </c>
      <c r="L17" s="2" t="inlineStr">
        <is>
          <t>missing meta description</t>
        </is>
      </c>
      <c r="M17" s="2" t="inlineStr">
        <is>
          <t>Hi Jennifer McCue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17" s="4" t="inlineStr">
        <is>
          <t>Open map</t>
        </is>
      </c>
      <c r="O17" s="2" t="inlineStr">
        <is>
          <t>Not contacted</t>
        </is>
      </c>
      <c r="P17" s="2" t="inlineStr"/>
      <c r="Q17" s="2" t="inlineStr"/>
      <c r="R17" s="2" t="inlineStr"/>
      <c r="S17" s="2" t="inlineStr"/>
    </row>
    <row r="18">
      <c r="A18" s="2" t="n">
        <v>17</v>
      </c>
      <c r="B18" s="3" t="inlineStr">
        <is>
          <t>MEDIUM</t>
        </is>
      </c>
      <c r="C18" s="2" t="inlineStr">
        <is>
          <t>Weak website</t>
        </is>
      </c>
      <c r="D18" s="2" t="inlineStr">
        <is>
          <t>Jennifer Treloar Photography</t>
        </is>
      </c>
      <c r="E18" s="2" t="inlineStr">
        <is>
          <t>wedding photographer</t>
        </is>
      </c>
      <c r="F18" s="2" t="inlineStr">
        <is>
          <t>Mackay</t>
        </is>
      </c>
      <c r="G18" s="2" t="inlineStr">
        <is>
          <t>Facebook</t>
        </is>
      </c>
      <c r="H18" s="2" t="inlineStr"/>
      <c r="I18" s="4" t="inlineStr">
        <is>
          <t>https://facebook.com/jennifertreloarphotography</t>
        </is>
      </c>
      <c r="J18" s="2" t="inlineStr"/>
      <c r="K18" s="4" t="inlineStr">
        <is>
          <t>https://www.jennifertreloar.com.au/</t>
        </is>
      </c>
      <c r="L18" s="2" t="inlineStr">
        <is>
          <t>slow to load (3.3s)</t>
        </is>
      </c>
      <c r="M18" s="2" t="inlineStr">
        <is>
          <t>Hi Jennifer Treloar Photography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18" s="4" t="inlineStr">
        <is>
          <t>Open map</t>
        </is>
      </c>
      <c r="O18" s="2" t="inlineStr">
        <is>
          <t>Not contacted</t>
        </is>
      </c>
      <c r="P18" s="2" t="inlineStr"/>
      <c r="Q18" s="2" t="inlineStr"/>
      <c r="R18" s="2" t="inlineStr"/>
      <c r="S18" s="2" t="inlineStr"/>
    </row>
    <row r="19">
      <c r="A19" s="2" t="n">
        <v>18</v>
      </c>
      <c r="B19" s="3" t="inlineStr">
        <is>
          <t>MEDIUM</t>
        </is>
      </c>
      <c r="C19" s="2" t="inlineStr">
        <is>
          <t>Weak website</t>
        </is>
      </c>
      <c r="D19" s="2" t="inlineStr">
        <is>
          <t>Brisbane Wedding and Lifestyle Photography</t>
        </is>
      </c>
      <c r="E19" s="2" t="inlineStr">
        <is>
          <t>wedding photographer</t>
        </is>
      </c>
      <c r="F19" s="2" t="inlineStr">
        <is>
          <t>Moreton Bay</t>
        </is>
      </c>
      <c r="G19" s="2" t="inlineStr">
        <is>
          <t>Instagram</t>
        </is>
      </c>
      <c r="H19" s="4" t="inlineStr">
        <is>
          <t>https://www.instagram.com/brisbaneweddingphotography_</t>
        </is>
      </c>
      <c r="I19" s="4" t="inlineStr">
        <is>
          <t>https://www.facebook.com/BrisbaneWeddingPhotographyVideography</t>
        </is>
      </c>
      <c r="J19" s="2" t="inlineStr"/>
      <c r="K19" s="4" t="inlineStr">
        <is>
          <t>https://brisbane-photography.com.au/</t>
        </is>
      </c>
      <c r="L19" s="2" t="inlineStr">
        <is>
          <t>slow to load (5.9s)</t>
        </is>
      </c>
      <c r="M19" s="2" t="inlineStr">
        <is>
          <t>Hi Brisbane Wedding and Lifestyle Photography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19" s="4" t="inlineStr">
        <is>
          <t>Open map</t>
        </is>
      </c>
      <c r="O19" s="2" t="inlineStr">
        <is>
          <t>Not contacted</t>
        </is>
      </c>
      <c r="P19" s="2" t="inlineStr"/>
      <c r="Q19" s="2" t="inlineStr"/>
      <c r="R19" s="2" t="inlineStr"/>
      <c r="S19" s="2" t="inlineStr"/>
    </row>
    <row r="20">
      <c r="A20" s="2" t="n">
        <v>19</v>
      </c>
      <c r="B20" s="3" t="inlineStr">
        <is>
          <t>MEDIUM</t>
        </is>
      </c>
      <c r="C20" s="2" t="inlineStr">
        <is>
          <t>Weak website</t>
        </is>
      </c>
      <c r="D20" s="2" t="inlineStr">
        <is>
          <t>Romana Saeheng Photography</t>
        </is>
      </c>
      <c r="E20" s="2" t="inlineStr">
        <is>
          <t>wedding photographer</t>
        </is>
      </c>
      <c r="F20" s="2" t="inlineStr">
        <is>
          <t>Redlands</t>
        </is>
      </c>
      <c r="G20" s="2" t="inlineStr">
        <is>
          <t>Instagram</t>
        </is>
      </c>
      <c r="H20" s="4" t="inlineStr">
        <is>
          <t>https://www.instagram.com/RomanaSaeheng</t>
        </is>
      </c>
      <c r="I20" s="4" t="inlineStr">
        <is>
          <t>https://www.facebook.com/RomanaSaeheng</t>
        </is>
      </c>
      <c r="J20" s="2" t="inlineStr"/>
      <c r="K20" s="4" t="inlineStr">
        <is>
          <t>https://romana.com.au/</t>
        </is>
      </c>
      <c r="L20" s="2" t="inlineStr">
        <is>
          <t>looks outdated (copyright 2018)</t>
        </is>
      </c>
      <c r="M20" s="2" t="inlineStr">
        <is>
          <t>Hi Romana Saeheng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20" s="4" t="inlineStr">
        <is>
          <t>Open map</t>
        </is>
      </c>
      <c r="O20" s="2" t="inlineStr">
        <is>
          <t>Not contacted</t>
        </is>
      </c>
      <c r="P20" s="2" t="inlineStr"/>
      <c r="Q20" s="2" t="inlineStr"/>
      <c r="R20" s="2" t="inlineStr"/>
      <c r="S20" s="2" t="inlineStr"/>
    </row>
    <row r="21">
      <c r="A21" s="2" t="n">
        <v>20</v>
      </c>
      <c r="B21" s="3" t="inlineStr">
        <is>
          <t>MEDIUM</t>
        </is>
      </c>
      <c r="C21" s="2" t="inlineStr">
        <is>
          <t>Weak website</t>
        </is>
      </c>
      <c r="D21" s="2" t="inlineStr">
        <is>
          <t>All the Love in the World</t>
        </is>
      </c>
      <c r="E21" s="2" t="inlineStr">
        <is>
          <t>wedding photographer</t>
        </is>
      </c>
      <c r="F21" s="2" t="inlineStr">
        <is>
          <t>Sunshine Coast</t>
        </is>
      </c>
      <c r="G21" s="2" t="inlineStr">
        <is>
          <t>Instagram</t>
        </is>
      </c>
      <c r="H21" s="4" t="inlineStr">
        <is>
          <t>https://www.instagram.com/alltheloveintheworld_photos</t>
        </is>
      </c>
      <c r="I21" s="4" t="inlineStr">
        <is>
          <t>https://www.facebook.com/alltheloveintheworldphotography</t>
        </is>
      </c>
      <c r="J21" s="2" t="inlineStr"/>
      <c r="K21" s="4" t="inlineStr">
        <is>
          <t>http://www.alltheloveintheworld.com.au/</t>
        </is>
      </c>
      <c r="L21" s="2" t="inlineStr">
        <is>
          <t>no HTTPS (browser shows 'Not secure')</t>
        </is>
      </c>
      <c r="M21" s="2" t="inlineStr">
        <is>
          <t>Hi All the Love in the World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21" s="4" t="inlineStr">
        <is>
          <t>Open map</t>
        </is>
      </c>
      <c r="O21" s="2" t="inlineStr">
        <is>
          <t>Not contacted</t>
        </is>
      </c>
      <c r="P21" s="2" t="inlineStr"/>
      <c r="Q21" s="2" t="inlineStr"/>
      <c r="R21" s="2" t="inlineStr"/>
      <c r="S21" s="2" t="inlineStr"/>
    </row>
    <row r="22">
      <c r="A22" s="2" t="n">
        <v>21</v>
      </c>
      <c r="B22" s="3" t="inlineStr">
        <is>
          <t>MEDIUM</t>
        </is>
      </c>
      <c r="C22" s="2" t="inlineStr">
        <is>
          <t>Weak website</t>
        </is>
      </c>
      <c r="D22" s="2" t="inlineStr">
        <is>
          <t>Lisa Pearl Photography</t>
        </is>
      </c>
      <c r="E22" s="2" t="inlineStr">
        <is>
          <t>wedding photographer</t>
        </is>
      </c>
      <c r="F22" s="2" t="inlineStr">
        <is>
          <t>Sunshine Coast</t>
        </is>
      </c>
      <c r="G22" s="2" t="inlineStr">
        <is>
          <t>Instagram</t>
        </is>
      </c>
      <c r="H22" s="4" t="inlineStr">
        <is>
          <t>https://www.instagram.com/lisapearlphotography</t>
        </is>
      </c>
      <c r="I22" s="4" t="inlineStr">
        <is>
          <t>https://www.facebook.com/lisapearlphotography</t>
        </is>
      </c>
      <c r="J22" s="2" t="inlineStr"/>
      <c r="K22" s="4" t="inlineStr">
        <is>
          <t>https://lisapearl.com.au/</t>
        </is>
      </c>
      <c r="L22" s="2" t="inlineStr">
        <is>
          <t>missing meta description</t>
        </is>
      </c>
      <c r="M22" s="2" t="inlineStr">
        <is>
          <t>Hi Lisa Pearl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22" s="4" t="inlineStr">
        <is>
          <t>Open map</t>
        </is>
      </c>
      <c r="O22" s="2" t="inlineStr">
        <is>
          <t>Not contacted</t>
        </is>
      </c>
      <c r="P22" s="2" t="inlineStr"/>
      <c r="Q22" s="2" t="inlineStr"/>
      <c r="R22" s="2" t="inlineStr"/>
      <c r="S22" s="2" t="inlineStr"/>
    </row>
    <row r="23">
      <c r="A23" s="2" t="n">
        <v>22</v>
      </c>
      <c r="B23" s="3" t="inlineStr">
        <is>
          <t>MEDIUM</t>
        </is>
      </c>
      <c r="C23" s="2" t="inlineStr">
        <is>
          <t>Weak website</t>
        </is>
      </c>
      <c r="D23" s="2" t="inlineStr">
        <is>
          <t>Neil Hole Wedding Photography</t>
        </is>
      </c>
      <c r="E23" s="2" t="inlineStr">
        <is>
          <t>wedding photographer</t>
        </is>
      </c>
      <c r="F23" s="2" t="inlineStr">
        <is>
          <t>Sunshine Coast</t>
        </is>
      </c>
      <c r="G23" s="2" t="inlineStr">
        <is>
          <t>Instagram</t>
        </is>
      </c>
      <c r="H23" s="4" t="inlineStr">
        <is>
          <t>https://www.instagram.com/neilholephotography</t>
        </is>
      </c>
      <c r="I23" s="4" t="inlineStr">
        <is>
          <t>https://www.facebook.com/neilholephotography</t>
        </is>
      </c>
      <c r="J23" s="2" t="inlineStr"/>
      <c r="K23" s="4" t="inlineStr">
        <is>
          <t>https://neilhole.com.au/</t>
        </is>
      </c>
      <c r="L23" s="2" t="inlineStr">
        <is>
          <t>slow to load (3.5s)</t>
        </is>
      </c>
      <c r="M23" s="2" t="inlineStr">
        <is>
          <t>Hi Neil Hole Wedding Photography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23" s="4" t="inlineStr">
        <is>
          <t>Open map</t>
        </is>
      </c>
      <c r="O23" s="2" t="inlineStr">
        <is>
          <t>Not contacted</t>
        </is>
      </c>
      <c r="P23" s="2" t="inlineStr"/>
      <c r="Q23" s="2" t="inlineStr"/>
      <c r="R23" s="2" t="inlineStr"/>
      <c r="S23" s="2" t="inlineStr"/>
    </row>
    <row r="24">
      <c r="A24" s="2" t="n">
        <v>23</v>
      </c>
      <c r="B24" s="3" t="inlineStr">
        <is>
          <t>MEDIUM</t>
        </is>
      </c>
      <c r="C24" s="2" t="inlineStr">
        <is>
          <t>Weak website</t>
        </is>
      </c>
      <c r="D24" s="2" t="inlineStr">
        <is>
          <t>Matt Edwards Photography</t>
        </is>
      </c>
      <c r="E24" s="2" t="inlineStr">
        <is>
          <t>wedding photographer</t>
        </is>
      </c>
      <c r="F24" s="2" t="inlineStr">
        <is>
          <t>Toowoomba</t>
        </is>
      </c>
      <c r="G24" s="2" t="inlineStr">
        <is>
          <t>Instagram</t>
        </is>
      </c>
      <c r="H24" s="4" t="inlineStr">
        <is>
          <t>https://www.instagram.com/matt_edwards_photography_</t>
        </is>
      </c>
      <c r="I24" s="4" t="inlineStr">
        <is>
          <t>https://www.facebook.com/mattedwardsphotography</t>
        </is>
      </c>
      <c r="J24" s="2" t="inlineStr"/>
      <c r="K24" s="4" t="inlineStr">
        <is>
          <t>https://mattedwardsphotography.com.au/</t>
        </is>
      </c>
      <c r="L24" s="2" t="inlineStr">
        <is>
          <t>slow to load (5.5s)</t>
        </is>
      </c>
      <c r="M24" s="2" t="inlineStr">
        <is>
          <t>Hi Matt Edwards Photography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24" s="4" t="inlineStr">
        <is>
          <t>Open map</t>
        </is>
      </c>
      <c r="O24" s="2" t="inlineStr">
        <is>
          <t>Not contacted</t>
        </is>
      </c>
      <c r="P24" s="2" t="inlineStr"/>
      <c r="Q24" s="2" t="inlineStr"/>
      <c r="R24" s="2" t="inlineStr"/>
      <c r="S24" s="2" t="inlineStr"/>
    </row>
    <row r="25">
      <c r="A25" s="2" t="n">
        <v>24</v>
      </c>
      <c r="B25" s="3" t="inlineStr">
        <is>
          <t>MEDIUM</t>
        </is>
      </c>
      <c r="C25" s="2" t="inlineStr">
        <is>
          <t>Weak website</t>
        </is>
      </c>
      <c r="D25" s="2" t="inlineStr">
        <is>
          <t>The Finches</t>
        </is>
      </c>
      <c r="E25" s="2" t="inlineStr">
        <is>
          <t>wedding photographer</t>
        </is>
      </c>
      <c r="F25" s="2" t="inlineStr">
        <is>
          <t>Toowoomba</t>
        </is>
      </c>
      <c r="G25" s="2" t="inlineStr">
        <is>
          <t>Instagram</t>
        </is>
      </c>
      <c r="H25" s="4" t="inlineStr">
        <is>
          <t>http://instagram.com/thefinches</t>
        </is>
      </c>
      <c r="I25" s="4" t="inlineStr">
        <is>
          <t>http://facebook.com/thefinchesphotography</t>
        </is>
      </c>
      <c r="J25" s="2" t="inlineStr"/>
      <c r="K25" s="4" t="inlineStr">
        <is>
          <t>http://www.thefinches.com.au/</t>
        </is>
      </c>
      <c r="L25" s="2" t="inlineStr">
        <is>
          <t>looks outdated (copyright 2022)</t>
        </is>
      </c>
      <c r="M25" s="2" t="inlineStr">
        <is>
          <t>Hi The Finches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25" s="4" t="inlineStr">
        <is>
          <t>Open map</t>
        </is>
      </c>
      <c r="O25" s="2" t="inlineStr">
        <is>
          <t>Not contacted</t>
        </is>
      </c>
      <c r="P25" s="2" t="inlineStr"/>
      <c r="Q25" s="2" t="inlineStr"/>
      <c r="R25" s="2" t="inlineStr"/>
      <c r="S25" s="2" t="inlineStr"/>
    </row>
    <row r="26">
      <c r="A26" s="2" t="n">
        <v>25</v>
      </c>
      <c r="B26" s="3" t="inlineStr">
        <is>
          <t>MEDIUM</t>
        </is>
      </c>
      <c r="C26" s="2" t="inlineStr">
        <is>
          <t>Weak website</t>
        </is>
      </c>
      <c r="D26" s="2" t="inlineStr">
        <is>
          <t>Sapphire Soul Photography</t>
        </is>
      </c>
      <c r="E26" s="2" t="inlineStr">
        <is>
          <t>wedding photo or video</t>
        </is>
      </c>
      <c r="F26" s="2" t="inlineStr">
        <is>
          <t>Townsville</t>
        </is>
      </c>
      <c r="G26" s="2" t="inlineStr">
        <is>
          <t>Instagram</t>
        </is>
      </c>
      <c r="H26" s="4" t="inlineStr">
        <is>
          <t>https://www.instagram.com/sapphiresoulcreative</t>
        </is>
      </c>
      <c r="I26" s="2" t="inlineStr"/>
      <c r="J26" s="2" t="inlineStr"/>
      <c r="K26" s="4" t="inlineStr">
        <is>
          <t>https://www.sapphiresoul.com.au/</t>
        </is>
      </c>
      <c r="L26" s="2" t="inlineStr">
        <is>
          <t>looks outdated (copyright 2023)</t>
        </is>
      </c>
      <c r="M26" s="2" t="inlineStr">
        <is>
          <t>Hi Sapphire Soul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26" s="4" t="inlineStr">
        <is>
          <t>Open map</t>
        </is>
      </c>
      <c r="O26" s="2" t="inlineStr">
        <is>
          <t>Not contacted</t>
        </is>
      </c>
      <c r="P26" s="2" t="inlineStr"/>
      <c r="Q26" s="2" t="inlineStr"/>
      <c r="R26" s="2" t="inlineStr"/>
      <c r="S26" s="2" t="inlineStr"/>
    </row>
    <row r="27">
      <c r="A27" s="2" t="n">
        <v>26</v>
      </c>
      <c r="B27" s="3" t="inlineStr">
        <is>
          <t>MEDIUM</t>
        </is>
      </c>
      <c r="C27" s="2" t="inlineStr">
        <is>
          <t>Weak website</t>
        </is>
      </c>
      <c r="D27" s="2" t="inlineStr">
        <is>
          <t>Beyond the Spectrum Photography</t>
        </is>
      </c>
      <c r="E27" s="2" t="inlineStr">
        <is>
          <t>wedding photographer</t>
        </is>
      </c>
      <c r="F27" s="2" t="inlineStr">
        <is>
          <t>Townsville</t>
        </is>
      </c>
      <c r="G27" s="2" t="inlineStr">
        <is>
          <t>Instagram</t>
        </is>
      </c>
      <c r="H27" s="4" t="inlineStr">
        <is>
          <t>https://www.instagram.com/beyondthespectrumphotography</t>
        </is>
      </c>
      <c r="I27" s="4" t="inlineStr">
        <is>
          <t>https://www.facebook.com/beyondthespectrumphotography</t>
        </is>
      </c>
      <c r="J27" s="2" t="inlineStr"/>
      <c r="K27" s="4" t="inlineStr">
        <is>
          <t>https://beyondthespectrumphotography.com.au/</t>
        </is>
      </c>
      <c r="L27" s="2" t="inlineStr">
        <is>
          <t>looks outdated (copyright 2020)</t>
        </is>
      </c>
      <c r="M27" s="2" t="inlineStr">
        <is>
          <t>Hi Beyond the Spectrum Photography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27" s="4" t="inlineStr">
        <is>
          <t>Open map</t>
        </is>
      </c>
      <c r="O27" s="2" t="inlineStr">
        <is>
          <t>Not contacted</t>
        </is>
      </c>
      <c r="P27" s="2" t="inlineStr"/>
      <c r="Q27" s="2" t="inlineStr"/>
      <c r="R27" s="2" t="inlineStr"/>
      <c r="S27" s="2" t="inlineStr"/>
    </row>
    <row r="28">
      <c r="A28" s="2" t="n">
        <v>27</v>
      </c>
      <c r="B28" s="3" t="inlineStr">
        <is>
          <t>MEDIUM</t>
        </is>
      </c>
      <c r="C28" s="2" t="inlineStr">
        <is>
          <t>Weak website</t>
        </is>
      </c>
      <c r="D28" s="2" t="inlineStr">
        <is>
          <t>JC Filmz</t>
        </is>
      </c>
      <c r="E28" s="2" t="inlineStr">
        <is>
          <t>wedding videographer</t>
        </is>
      </c>
      <c r="F28" s="2" t="inlineStr">
        <is>
          <t>Townsville</t>
        </is>
      </c>
      <c r="G28" s="2" t="inlineStr">
        <is>
          <t>Instagram</t>
        </is>
      </c>
      <c r="H28" s="4" t="inlineStr">
        <is>
          <t>https://www.instagram.com/jcfilmz.townsville</t>
        </is>
      </c>
      <c r="I28" s="4" t="inlineStr">
        <is>
          <t>https://www.facebook.com/JCFilmz</t>
        </is>
      </c>
      <c r="J28" s="2" t="inlineStr"/>
      <c r="K28" s="4" t="inlineStr">
        <is>
          <t>https://jcfilmz.com/</t>
        </is>
      </c>
      <c r="L28" s="2" t="inlineStr">
        <is>
          <t>looks outdated (copyright 2019); slow to load (3.9s)</t>
        </is>
      </c>
      <c r="M28" s="2" t="inlineStr">
        <is>
          <t>Hi JC Filmz team! [one real detail from their page]. We're AceAds, a web design studio. We noticed your site loads slowly on a phone, and that's often where couples and clients first see your galleries. We'd be happy to make you a free preview of what a website could look like. Want one? No cost, no obligation.</t>
        </is>
      </c>
      <c r="N28" s="4" t="inlineStr">
        <is>
          <t>Open map</t>
        </is>
      </c>
      <c r="O28" s="2" t="inlineStr">
        <is>
          <t>Not contacted</t>
        </is>
      </c>
      <c r="P28" s="2" t="inlineStr"/>
      <c r="Q28" s="2" t="inlineStr"/>
      <c r="R28" s="2" t="inlineStr"/>
      <c r="S28" s="2" t="inlineStr"/>
    </row>
  </sheetData>
  <autoFilter ref="A1:S28"/>
  <conditionalFormatting sqref="A2:S28">
    <cfRule type="expression" priority="1" dxfId="0">
      <formula>$O2="Won"</formula>
    </cfRule>
    <cfRule type="expression" priority="2" dxfId="1">
      <formula>$O2="Meeting booked"</formula>
    </cfRule>
    <cfRule type="expression" priority="3" dxfId="2">
      <formula>$O2="Replied"</formula>
    </cfRule>
    <cfRule type="expression" priority="4" dxfId="3">
      <formula>$O2="Not interested"</formula>
    </cfRule>
    <cfRule type="expression" priority="5" dxfId="3">
      <formula>$O2="Business closed"</formula>
    </cfRule>
  </conditionalFormatting>
  <dataValidations count="2">
    <dataValidation sqref="O2:O28" showDropDown="0" showInputMessage="0" showErrorMessage="0" allowBlank="1" type="list">
      <formula1>"Not contacted,DM sent,Replied,Preview sent,Meeting booked,Won,Not interested,Business closed"</formula1>
    </dataValidation>
    <dataValidation sqref="Q2:R28" showDropDown="0" showInputMessage="0" showErrorMessage="0" allowBlank="1" type="date"/>
  </dataValidations>
  <hyperlinks>
    <hyperlink xmlns:r="http://schemas.openxmlformats.org/officeDocument/2006/relationships" ref="H2" r:id="rId1"/>
    <hyperlink xmlns:r="http://schemas.openxmlformats.org/officeDocument/2006/relationships" ref="K2" r:id="rId2"/>
    <hyperlink xmlns:r="http://schemas.openxmlformats.org/officeDocument/2006/relationships" ref="N2" r:id="rId3"/>
    <hyperlink xmlns:r="http://schemas.openxmlformats.org/officeDocument/2006/relationships" ref="H3" r:id="rId4"/>
    <hyperlink xmlns:r="http://schemas.openxmlformats.org/officeDocument/2006/relationships" ref="I3" r:id="rId5"/>
    <hyperlink xmlns:r="http://schemas.openxmlformats.org/officeDocument/2006/relationships" ref="K3" r:id="rId6"/>
    <hyperlink xmlns:r="http://schemas.openxmlformats.org/officeDocument/2006/relationships" ref="N3" r:id="rId7"/>
    <hyperlink xmlns:r="http://schemas.openxmlformats.org/officeDocument/2006/relationships" ref="I4" r:id="rId8"/>
    <hyperlink xmlns:r="http://schemas.openxmlformats.org/officeDocument/2006/relationships" ref="K4" r:id="rId9"/>
    <hyperlink xmlns:r="http://schemas.openxmlformats.org/officeDocument/2006/relationships" ref="N4" r:id="rId10"/>
    <hyperlink xmlns:r="http://schemas.openxmlformats.org/officeDocument/2006/relationships" ref="H5" r:id="rId11"/>
    <hyperlink xmlns:r="http://schemas.openxmlformats.org/officeDocument/2006/relationships" ref="I5" r:id="rId12"/>
    <hyperlink xmlns:r="http://schemas.openxmlformats.org/officeDocument/2006/relationships" ref="K5" r:id="rId13"/>
    <hyperlink xmlns:r="http://schemas.openxmlformats.org/officeDocument/2006/relationships" ref="N5" r:id="rId14"/>
    <hyperlink xmlns:r="http://schemas.openxmlformats.org/officeDocument/2006/relationships" ref="H6" r:id="rId15"/>
    <hyperlink xmlns:r="http://schemas.openxmlformats.org/officeDocument/2006/relationships" ref="I6" r:id="rId16"/>
    <hyperlink xmlns:r="http://schemas.openxmlformats.org/officeDocument/2006/relationships" ref="K6" r:id="rId17"/>
    <hyperlink xmlns:r="http://schemas.openxmlformats.org/officeDocument/2006/relationships" ref="N6" r:id="rId18"/>
    <hyperlink xmlns:r="http://schemas.openxmlformats.org/officeDocument/2006/relationships" ref="H7" r:id="rId19"/>
    <hyperlink xmlns:r="http://schemas.openxmlformats.org/officeDocument/2006/relationships" ref="I7" r:id="rId20"/>
    <hyperlink xmlns:r="http://schemas.openxmlformats.org/officeDocument/2006/relationships" ref="K7" r:id="rId21"/>
    <hyperlink xmlns:r="http://schemas.openxmlformats.org/officeDocument/2006/relationships" ref="N7" r:id="rId22"/>
    <hyperlink xmlns:r="http://schemas.openxmlformats.org/officeDocument/2006/relationships" ref="H8" r:id="rId23"/>
    <hyperlink xmlns:r="http://schemas.openxmlformats.org/officeDocument/2006/relationships" ref="I8" r:id="rId24"/>
    <hyperlink xmlns:r="http://schemas.openxmlformats.org/officeDocument/2006/relationships" ref="K8" r:id="rId25"/>
    <hyperlink xmlns:r="http://schemas.openxmlformats.org/officeDocument/2006/relationships" ref="N8" r:id="rId26"/>
    <hyperlink xmlns:r="http://schemas.openxmlformats.org/officeDocument/2006/relationships" ref="H9" r:id="rId27"/>
    <hyperlink xmlns:r="http://schemas.openxmlformats.org/officeDocument/2006/relationships" ref="I9" r:id="rId28"/>
    <hyperlink xmlns:r="http://schemas.openxmlformats.org/officeDocument/2006/relationships" ref="K9" r:id="rId29"/>
    <hyperlink xmlns:r="http://schemas.openxmlformats.org/officeDocument/2006/relationships" ref="N9" r:id="rId30"/>
    <hyperlink xmlns:r="http://schemas.openxmlformats.org/officeDocument/2006/relationships" ref="H10" r:id="rId31"/>
    <hyperlink xmlns:r="http://schemas.openxmlformats.org/officeDocument/2006/relationships" ref="I10" r:id="rId32"/>
    <hyperlink xmlns:r="http://schemas.openxmlformats.org/officeDocument/2006/relationships" ref="K10" r:id="rId33"/>
    <hyperlink xmlns:r="http://schemas.openxmlformats.org/officeDocument/2006/relationships" ref="N10" r:id="rId34"/>
    <hyperlink xmlns:r="http://schemas.openxmlformats.org/officeDocument/2006/relationships" ref="H11" r:id="rId35"/>
    <hyperlink xmlns:r="http://schemas.openxmlformats.org/officeDocument/2006/relationships" ref="I11" r:id="rId36"/>
    <hyperlink xmlns:r="http://schemas.openxmlformats.org/officeDocument/2006/relationships" ref="K11" r:id="rId37"/>
    <hyperlink xmlns:r="http://schemas.openxmlformats.org/officeDocument/2006/relationships" ref="N11" r:id="rId38"/>
    <hyperlink xmlns:r="http://schemas.openxmlformats.org/officeDocument/2006/relationships" ref="H12" r:id="rId39"/>
    <hyperlink xmlns:r="http://schemas.openxmlformats.org/officeDocument/2006/relationships" ref="I12" r:id="rId40"/>
    <hyperlink xmlns:r="http://schemas.openxmlformats.org/officeDocument/2006/relationships" ref="K12" r:id="rId41"/>
    <hyperlink xmlns:r="http://schemas.openxmlformats.org/officeDocument/2006/relationships" ref="N12" r:id="rId42"/>
    <hyperlink xmlns:r="http://schemas.openxmlformats.org/officeDocument/2006/relationships" ref="H13" r:id="rId43"/>
    <hyperlink xmlns:r="http://schemas.openxmlformats.org/officeDocument/2006/relationships" ref="I13" r:id="rId44"/>
    <hyperlink xmlns:r="http://schemas.openxmlformats.org/officeDocument/2006/relationships" ref="K13" r:id="rId45"/>
    <hyperlink xmlns:r="http://schemas.openxmlformats.org/officeDocument/2006/relationships" ref="N13" r:id="rId46"/>
    <hyperlink xmlns:r="http://schemas.openxmlformats.org/officeDocument/2006/relationships" ref="H14" r:id="rId47"/>
    <hyperlink xmlns:r="http://schemas.openxmlformats.org/officeDocument/2006/relationships" ref="I14" r:id="rId48"/>
    <hyperlink xmlns:r="http://schemas.openxmlformats.org/officeDocument/2006/relationships" ref="K14" r:id="rId49"/>
    <hyperlink xmlns:r="http://schemas.openxmlformats.org/officeDocument/2006/relationships" ref="N14" r:id="rId50"/>
    <hyperlink xmlns:r="http://schemas.openxmlformats.org/officeDocument/2006/relationships" ref="H15" r:id="rId51"/>
    <hyperlink xmlns:r="http://schemas.openxmlformats.org/officeDocument/2006/relationships" ref="I15" r:id="rId52"/>
    <hyperlink xmlns:r="http://schemas.openxmlformats.org/officeDocument/2006/relationships" ref="K15" r:id="rId53"/>
    <hyperlink xmlns:r="http://schemas.openxmlformats.org/officeDocument/2006/relationships" ref="N15" r:id="rId54"/>
    <hyperlink xmlns:r="http://schemas.openxmlformats.org/officeDocument/2006/relationships" ref="H16" r:id="rId55"/>
    <hyperlink xmlns:r="http://schemas.openxmlformats.org/officeDocument/2006/relationships" ref="I16" r:id="rId56"/>
    <hyperlink xmlns:r="http://schemas.openxmlformats.org/officeDocument/2006/relationships" ref="K16" r:id="rId57"/>
    <hyperlink xmlns:r="http://schemas.openxmlformats.org/officeDocument/2006/relationships" ref="N16" r:id="rId58"/>
    <hyperlink xmlns:r="http://schemas.openxmlformats.org/officeDocument/2006/relationships" ref="H17" r:id="rId59"/>
    <hyperlink xmlns:r="http://schemas.openxmlformats.org/officeDocument/2006/relationships" ref="I17" r:id="rId60"/>
    <hyperlink xmlns:r="http://schemas.openxmlformats.org/officeDocument/2006/relationships" ref="K17" r:id="rId61"/>
    <hyperlink xmlns:r="http://schemas.openxmlformats.org/officeDocument/2006/relationships" ref="N17" r:id="rId62"/>
    <hyperlink xmlns:r="http://schemas.openxmlformats.org/officeDocument/2006/relationships" ref="I18" r:id="rId63"/>
    <hyperlink xmlns:r="http://schemas.openxmlformats.org/officeDocument/2006/relationships" ref="K18" r:id="rId64"/>
    <hyperlink xmlns:r="http://schemas.openxmlformats.org/officeDocument/2006/relationships" ref="N18" r:id="rId65"/>
    <hyperlink xmlns:r="http://schemas.openxmlformats.org/officeDocument/2006/relationships" ref="H19" r:id="rId66"/>
    <hyperlink xmlns:r="http://schemas.openxmlformats.org/officeDocument/2006/relationships" ref="I19" r:id="rId67"/>
    <hyperlink xmlns:r="http://schemas.openxmlformats.org/officeDocument/2006/relationships" ref="K19" r:id="rId68"/>
    <hyperlink xmlns:r="http://schemas.openxmlformats.org/officeDocument/2006/relationships" ref="N19" r:id="rId69"/>
    <hyperlink xmlns:r="http://schemas.openxmlformats.org/officeDocument/2006/relationships" ref="H20" r:id="rId70"/>
    <hyperlink xmlns:r="http://schemas.openxmlformats.org/officeDocument/2006/relationships" ref="I20" r:id="rId71"/>
    <hyperlink xmlns:r="http://schemas.openxmlformats.org/officeDocument/2006/relationships" ref="K20" r:id="rId72"/>
    <hyperlink xmlns:r="http://schemas.openxmlformats.org/officeDocument/2006/relationships" ref="N20" r:id="rId73"/>
    <hyperlink xmlns:r="http://schemas.openxmlformats.org/officeDocument/2006/relationships" ref="H21" r:id="rId74"/>
    <hyperlink xmlns:r="http://schemas.openxmlformats.org/officeDocument/2006/relationships" ref="I21" r:id="rId75"/>
    <hyperlink xmlns:r="http://schemas.openxmlformats.org/officeDocument/2006/relationships" ref="K21" r:id="rId76"/>
    <hyperlink xmlns:r="http://schemas.openxmlformats.org/officeDocument/2006/relationships" ref="N21" r:id="rId77"/>
    <hyperlink xmlns:r="http://schemas.openxmlformats.org/officeDocument/2006/relationships" ref="H22" r:id="rId78"/>
    <hyperlink xmlns:r="http://schemas.openxmlformats.org/officeDocument/2006/relationships" ref="I22" r:id="rId79"/>
    <hyperlink xmlns:r="http://schemas.openxmlformats.org/officeDocument/2006/relationships" ref="K22" r:id="rId80"/>
    <hyperlink xmlns:r="http://schemas.openxmlformats.org/officeDocument/2006/relationships" ref="N22" r:id="rId81"/>
    <hyperlink xmlns:r="http://schemas.openxmlformats.org/officeDocument/2006/relationships" ref="H23" r:id="rId82"/>
    <hyperlink xmlns:r="http://schemas.openxmlformats.org/officeDocument/2006/relationships" ref="I23" r:id="rId83"/>
    <hyperlink xmlns:r="http://schemas.openxmlformats.org/officeDocument/2006/relationships" ref="K23" r:id="rId84"/>
    <hyperlink xmlns:r="http://schemas.openxmlformats.org/officeDocument/2006/relationships" ref="N23" r:id="rId85"/>
    <hyperlink xmlns:r="http://schemas.openxmlformats.org/officeDocument/2006/relationships" ref="H24" r:id="rId86"/>
    <hyperlink xmlns:r="http://schemas.openxmlformats.org/officeDocument/2006/relationships" ref="I24" r:id="rId87"/>
    <hyperlink xmlns:r="http://schemas.openxmlformats.org/officeDocument/2006/relationships" ref="K24" r:id="rId88"/>
    <hyperlink xmlns:r="http://schemas.openxmlformats.org/officeDocument/2006/relationships" ref="N24" r:id="rId89"/>
    <hyperlink xmlns:r="http://schemas.openxmlformats.org/officeDocument/2006/relationships" ref="H25" r:id="rId90"/>
    <hyperlink xmlns:r="http://schemas.openxmlformats.org/officeDocument/2006/relationships" ref="I25" r:id="rId91"/>
    <hyperlink xmlns:r="http://schemas.openxmlformats.org/officeDocument/2006/relationships" ref="K25" r:id="rId92"/>
    <hyperlink xmlns:r="http://schemas.openxmlformats.org/officeDocument/2006/relationships" ref="N25" r:id="rId93"/>
    <hyperlink xmlns:r="http://schemas.openxmlformats.org/officeDocument/2006/relationships" ref="H26" r:id="rId94"/>
    <hyperlink xmlns:r="http://schemas.openxmlformats.org/officeDocument/2006/relationships" ref="K26" r:id="rId95"/>
    <hyperlink xmlns:r="http://schemas.openxmlformats.org/officeDocument/2006/relationships" ref="N26" r:id="rId96"/>
    <hyperlink xmlns:r="http://schemas.openxmlformats.org/officeDocument/2006/relationships" ref="H27" r:id="rId97"/>
    <hyperlink xmlns:r="http://schemas.openxmlformats.org/officeDocument/2006/relationships" ref="I27" r:id="rId98"/>
    <hyperlink xmlns:r="http://schemas.openxmlformats.org/officeDocument/2006/relationships" ref="K27" r:id="rId99"/>
    <hyperlink xmlns:r="http://schemas.openxmlformats.org/officeDocument/2006/relationships" ref="N27" r:id="rId100"/>
    <hyperlink xmlns:r="http://schemas.openxmlformats.org/officeDocument/2006/relationships" ref="H28" r:id="rId101"/>
    <hyperlink xmlns:r="http://schemas.openxmlformats.org/officeDocument/2006/relationships" ref="I28" r:id="rId102"/>
    <hyperlink xmlns:r="http://schemas.openxmlformats.org/officeDocument/2006/relationships" ref="K28" r:id="rId103"/>
    <hyperlink xmlns:r="http://schemas.openxmlformats.org/officeDocument/2006/relationships" ref="N28" r:id="rId10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</cols>
  <sheetData>
    <row r="1">
      <c r="A1" s="5" t="inlineStr">
        <is>
          <t>Pipeline</t>
        </is>
      </c>
      <c r="B1" s="5" t="inlineStr">
        <is>
          <t>Leads</t>
        </is>
      </c>
    </row>
    <row r="2">
      <c r="A2" t="inlineStr">
        <is>
          <t>Not contacted</t>
        </is>
      </c>
      <c r="B2">
        <f>COUNTIF(Leads!O:O,"Not contacted")</f>
        <v/>
      </c>
    </row>
    <row r="3">
      <c r="A3" t="inlineStr">
        <is>
          <t>DM sent</t>
        </is>
      </c>
      <c r="B3">
        <f>COUNTIF(Leads!O:O,"DM sent")</f>
        <v/>
      </c>
    </row>
    <row r="4">
      <c r="A4" t="inlineStr">
        <is>
          <t>Replied</t>
        </is>
      </c>
      <c r="B4">
        <f>COUNTIF(Leads!O:O,"Replied")</f>
        <v/>
      </c>
    </row>
    <row r="5">
      <c r="A5" t="inlineStr">
        <is>
          <t>Preview sent</t>
        </is>
      </c>
      <c r="B5">
        <f>COUNTIF(Leads!O:O,"Preview sent")</f>
        <v/>
      </c>
    </row>
    <row r="6">
      <c r="A6" t="inlineStr">
        <is>
          <t>Meeting booked</t>
        </is>
      </c>
      <c r="B6">
        <f>COUNTIF(Leads!O:O,"Meeting booked")</f>
        <v/>
      </c>
    </row>
    <row r="7">
      <c r="A7" t="inlineStr">
        <is>
          <t>Won</t>
        </is>
      </c>
      <c r="B7">
        <f>COUNTIF(Leads!O:O,"Won")</f>
        <v/>
      </c>
    </row>
    <row r="8">
      <c r="A8" t="inlineStr">
        <is>
          <t>Not interested</t>
        </is>
      </c>
      <c r="B8">
        <f>COUNTIF(Leads!O:O,"Not interested")</f>
        <v/>
      </c>
    </row>
    <row r="9">
      <c r="A9" t="inlineStr">
        <is>
          <t>Business closed</t>
        </is>
      </c>
      <c r="B9">
        <f>COUNTIF(Leads!O:O,"Business closed")</f>
        <v/>
      </c>
    </row>
    <row r="11">
      <c r="A11" t="inlineStr">
        <is>
          <t>Reply rate (Replied or later / DMs sent)</t>
        </is>
      </c>
      <c r="B11" s="6">
        <f>IFERROR((B4+B5+B6+B7+B8)/(B3+B4+B5+B6+B7+B8),0)</f>
        <v/>
      </c>
    </row>
    <row r="12">
      <c r="A12" s="7" t="inlineStr">
        <is>
          <t>Leads per priority</t>
        </is>
      </c>
      <c r="B12" t="inlineStr"/>
    </row>
    <row r="13">
      <c r="A13" t="inlineStr">
        <is>
          <t>HIGH</t>
        </is>
      </c>
      <c r="B13">
        <f>COUNTIF(Leads!B:B,"HIGH")</f>
        <v/>
      </c>
    </row>
    <row r="14">
      <c r="A14" t="inlineStr">
        <is>
          <t>VERIFY FIRST</t>
        </is>
      </c>
      <c r="B14">
        <f>COUNTIF(Leads!B:B,"VERIFY FIRST")</f>
        <v/>
      </c>
    </row>
    <row r="15">
      <c r="A15" t="inlineStr">
        <is>
          <t>MEDIUM</t>
        </is>
      </c>
      <c r="B15">
        <f>COUNTIF(Leads!B:B,"MEDIUM")</f>
        <v/>
      </c>
    </row>
    <row r="17">
      <c r="A17" s="7" t="inlineStr">
        <is>
          <t>Leads per region</t>
        </is>
      </c>
      <c r="B17" t="inlineStr"/>
    </row>
    <row r="18">
      <c r="A18" t="inlineStr">
        <is>
          <t>Brisbane</t>
        </is>
      </c>
      <c r="B18">
        <f>COUNTIF(Leads!F:F,"Brisbane")</f>
        <v/>
      </c>
    </row>
    <row r="19">
      <c r="A19" t="inlineStr">
        <is>
          <t>Bundaberg</t>
        </is>
      </c>
      <c r="B19">
        <f>COUNTIF(Leads!F:F,"Bundaberg")</f>
        <v/>
      </c>
    </row>
    <row r="20">
      <c r="A20" t="inlineStr">
        <is>
          <t>Cairns</t>
        </is>
      </c>
      <c r="B20">
        <f>COUNTIF(Leads!F:F,"Cairns")</f>
        <v/>
      </c>
    </row>
    <row r="21">
      <c r="A21" t="inlineStr">
        <is>
          <t>Gold Coast</t>
        </is>
      </c>
      <c r="B21">
        <f>COUNTIF(Leads!F:F,"Gold Coast")</f>
        <v/>
      </c>
    </row>
    <row r="22">
      <c r="A22" t="inlineStr">
        <is>
          <t>Hervey Bay</t>
        </is>
      </c>
      <c r="B22">
        <f>COUNTIF(Leads!F:F,"Hervey Bay")</f>
        <v/>
      </c>
    </row>
    <row r="23">
      <c r="A23" t="inlineStr">
        <is>
          <t>Mackay</t>
        </is>
      </c>
      <c r="B23">
        <f>COUNTIF(Leads!F:F,"Mackay")</f>
        <v/>
      </c>
    </row>
    <row r="24">
      <c r="A24" t="inlineStr">
        <is>
          <t>Moreton Bay</t>
        </is>
      </c>
      <c r="B24">
        <f>COUNTIF(Leads!F:F,"Moreton Bay")</f>
        <v/>
      </c>
    </row>
    <row r="25">
      <c r="A25" t="inlineStr">
        <is>
          <t>Redlands</t>
        </is>
      </c>
      <c r="B25">
        <f>COUNTIF(Leads!F:F,"Redlands")</f>
        <v/>
      </c>
    </row>
    <row r="26">
      <c r="A26" t="inlineStr">
        <is>
          <t>Sunshine Coast</t>
        </is>
      </c>
      <c r="B26">
        <f>COUNTIF(Leads!F:F,"Sunshine Coast")</f>
        <v/>
      </c>
    </row>
    <row r="27">
      <c r="A27" t="inlineStr">
        <is>
          <t>Toowoomba</t>
        </is>
      </c>
      <c r="B27">
        <f>COUNTIF(Leads!F:F,"Toowoomba")</f>
        <v/>
      </c>
    </row>
    <row r="28">
      <c r="A28" t="inlineStr">
        <is>
          <t>Townsville</t>
        </is>
      </c>
      <c r="B28">
        <f>COUNTIF(Leads!F:F,"Townsville")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AceAds: Instagram / Facebook outreach, Queensland</t>
        </is>
      </c>
    </row>
    <row r="2">
      <c r="A2" t="inlineStr"/>
    </row>
    <row r="3">
      <c r="A3" s="9" t="inlineStr">
        <is>
          <t>Before each DM</t>
        </is>
      </c>
    </row>
    <row r="4">
      <c r="A4" t="inlineStr">
        <is>
          <t>1. Open 'Check on Google Maps'. Skip the business if it is closed or has almost no reviews.</t>
        </is>
      </c>
    </row>
    <row r="5">
      <c r="A5" t="inlineStr">
        <is>
          <t>2. Open their Instagram/Facebook. Replace [one real detail from their page] with something true and specific.</t>
        </is>
      </c>
    </row>
    <row r="6">
      <c r="A6" t="inlineStr">
        <is>
          <t>3. 'VERIFY FIRST' rows: Google the business name first. If they DO have a website, check it on your phone and</t>
        </is>
      </c>
    </row>
    <row r="7">
      <c r="A7" t="inlineStr">
        <is>
          <t xml:space="preserve">   rewrite the DM around a problem you can see yourself, or skip them. Never say they have no website unless you checked.</t>
        </is>
      </c>
    </row>
    <row r="8">
      <c r="A8" t="inlineStr">
        <is>
          <t>4. 'Slow to load' was timed from an overseas server. Open the site on your own phone first; if it loads fine, skip that point.</t>
        </is>
      </c>
    </row>
    <row r="9">
      <c r="A9" t="inlineStr"/>
    </row>
    <row r="10">
      <c r="A10" s="9" t="inlineStr">
        <is>
          <t>Sending</t>
        </is>
      </c>
    </row>
    <row r="11">
      <c r="A11" t="inlineStr">
        <is>
          <t>5. Send from the AceAds business account, by hand. Max 20 new DMs per account per day.</t>
        </is>
      </c>
    </row>
    <row r="12">
      <c r="A12" t="inlineStr">
        <is>
          <t>6. Never paste the identical message twice in a row. Personalise every one; Meta limits accounts that send copy-paste DMs.</t>
        </is>
      </c>
    </row>
    <row r="13">
      <c r="A13" t="inlineStr">
        <is>
          <t>7. If they reply yes, ask AceAds for their preview (mockups/ in the repo), then send the screenshot and link.</t>
        </is>
      </c>
    </row>
    <row r="14">
      <c r="A14" t="inlineStr">
        <is>
          <t xml:space="preserve">   Set Status to 'Preview sent'.</t>
        </is>
      </c>
    </row>
    <row r="15">
      <c r="A15" t="inlineStr">
        <is>
          <t>8. One polite follow-up after 4-5 days, only if there was no reply. Then stop.</t>
        </is>
      </c>
    </row>
    <row r="16">
      <c r="A16" t="inlineStr">
        <is>
          <t>9. If anyone says no or asks us to stop, set 'Not interested' and never contact them again.</t>
        </is>
      </c>
    </row>
    <row r="17">
      <c r="A17" t="inlineStr"/>
    </row>
    <row r="18">
      <c r="A18" s="9" t="inlineStr">
        <is>
          <t>Do not</t>
        </is>
      </c>
    </row>
    <row r="19">
      <c r="A19" t="inlineStr">
        <is>
          <t>- Do not add these businesses to bulk email or automated DM tools.</t>
        </is>
      </c>
    </row>
    <row r="20">
      <c r="A20" t="inlineStr">
        <is>
          <t>- Email only to an address the business publishes on its own website, copied by hand. Say who we are, keep it</t>
        </is>
      </c>
    </row>
    <row r="21">
      <c r="A21" t="inlineStr">
        <is>
          <t xml:space="preserve">  about their website, and end with: 'Not interested? Reply STOP and we won't contact you again.'</t>
        </is>
      </c>
    </row>
    <row r="22">
      <c r="A22" t="inlineStr">
        <is>
          <t>- Do not claim anything about their business you have not checked.</t>
        </is>
      </c>
    </row>
    <row r="23">
      <c r="A23" t="inlineStr"/>
    </row>
    <row r="24">
      <c r="A24" t="inlineStr">
        <is>
          <t>Source: OpenStreetMap (c) OpenStreetMap contributors, plus links found on the businesses' own websites.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2026-10-02T20:41:46Z</dcterms:created>
  <dcterms:modified xsi:type="dcterms:W3CDTF">2026-10-02T20:41:46Z</dcterms:modified>
</cp:coreProperties>
</file>