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Tracker" sheetId="2" state="visible" r:id="rId2"/>
    <sheet name="How to work this list" sheetId="3" state="visible" r:id="rId3"/>
  </sheets>
  <definedNames>
    <definedName name="_xlnm._FilterDatabase" localSheetId="0" hidden="1">'Leads'!$A$1:$S$100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A9D08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larkmusic" TargetMode="External" Id="rId1" /><Relationship Type="http://schemas.openxmlformats.org/officeDocument/2006/relationships/hyperlink" Target="https://www.facebook.com/LarkMusic" TargetMode="External" Id="rId2" /><Relationship Type="http://schemas.openxmlformats.org/officeDocument/2006/relationships/hyperlink" Target="https://larkmusic.com.au/" TargetMode="External" Id="rId3" /><Relationship Type="http://schemas.openxmlformats.org/officeDocument/2006/relationships/hyperlink" Target="https://www.google.com/maps/search/?api=1&amp;query=Lark+Music+Brisbane" TargetMode="External" Id="rId4" /><Relationship Type="http://schemas.openxmlformats.org/officeDocument/2006/relationships/hyperlink" Target="https://www.instagram.com/colliersdjmcphotobooths" TargetMode="External" Id="rId5" /><Relationship Type="http://schemas.openxmlformats.org/officeDocument/2006/relationships/hyperlink" Target="https://www.facebook.com/paulcollierweddingdj.com.au" TargetMode="External" Id="rId6" /><Relationship Type="http://schemas.openxmlformats.org/officeDocument/2006/relationships/hyperlink" Target="https://www.professionaldjs.com.au/" TargetMode="External" Id="rId7" /><Relationship Type="http://schemas.openxmlformats.org/officeDocument/2006/relationships/hyperlink" Target="https://www.google.com/maps/search/?api=1&amp;query=Professional+DJs+Brisbane" TargetMode="External" Id="rId8" /><Relationship Type="http://schemas.openxmlformats.org/officeDocument/2006/relationships/hyperlink" Target="https://www.instagram.com/twoheartsbridalstudio" TargetMode="External" Id="rId9" /><Relationship Type="http://schemas.openxmlformats.org/officeDocument/2006/relationships/hyperlink" Target="https://www.facebook.com/TwoHeartsBridalStudio" TargetMode="External" Id="rId10" /><Relationship Type="http://schemas.openxmlformats.org/officeDocument/2006/relationships/hyperlink" Target="https://www.twoheartsbridalstudio.com/" TargetMode="External" Id="rId11" /><Relationship Type="http://schemas.openxmlformats.org/officeDocument/2006/relationships/hyperlink" Target="https://www.google.com/maps/search/?api=1&amp;query=Two+Hearts+Bridal+Studio+Brisbane" TargetMode="External" Id="rId12" /><Relationship Type="http://schemas.openxmlformats.org/officeDocument/2006/relationships/hyperlink" Target="https://www.instagram.com/whiteatelierbridal" TargetMode="External" Id="rId13" /><Relationship Type="http://schemas.openxmlformats.org/officeDocument/2006/relationships/hyperlink" Target="https://www.facebook.com/whiteatelierbridal" TargetMode="External" Id="rId14" /><Relationship Type="http://schemas.openxmlformats.org/officeDocument/2006/relationships/hyperlink" Target="https://whiteatelierbridal.com/" TargetMode="External" Id="rId15" /><Relationship Type="http://schemas.openxmlformats.org/officeDocument/2006/relationships/hyperlink" Target="https://www.google.com/maps/search/?api=1&amp;query=White+Atelier+Bridal+Brisbane" TargetMode="External" Id="rId16" /><Relationship Type="http://schemas.openxmlformats.org/officeDocument/2006/relationships/hyperlink" Target="https://www.instagram.com/thewrightcelebrant" TargetMode="External" Id="rId17" /><Relationship Type="http://schemas.openxmlformats.org/officeDocument/2006/relationships/hyperlink" Target="https://www.facebook.com/pg/The.Wright.Celebrant/reviews" TargetMode="External" Id="rId18" /><Relationship Type="http://schemas.openxmlformats.org/officeDocument/2006/relationships/hyperlink" Target="https://thewrightcelebrant.com.au/" TargetMode="External" Id="rId19" /><Relationship Type="http://schemas.openxmlformats.org/officeDocument/2006/relationships/hyperlink" Target="https://www.google.com/maps/search/?api=1&amp;query=The+Wright+Celebrant+Brisbane" TargetMode="External" Id="rId20" /><Relationship Type="http://schemas.openxmlformats.org/officeDocument/2006/relationships/hyperlink" Target="https://www.instagram.com/theweddingharvest" TargetMode="External" Id="rId21" /><Relationship Type="http://schemas.openxmlformats.org/officeDocument/2006/relationships/hyperlink" Target="https://www.facebook.com/TheWeddingHarvest" TargetMode="External" Id="rId22" /><Relationship Type="http://schemas.openxmlformats.org/officeDocument/2006/relationships/hyperlink" Target="http://theweddingharvest.com/" TargetMode="External" Id="rId23" /><Relationship Type="http://schemas.openxmlformats.org/officeDocument/2006/relationships/hyperlink" Target="https://www.google.com/maps/search/?api=1&amp;query=The+Wedding+Harvest+Brisbane" TargetMode="External" Id="rId24" /><Relationship Type="http://schemas.openxmlformats.org/officeDocument/2006/relationships/hyperlink" Target="https://www.instagram.com/bella_brides" TargetMode="External" Id="rId25" /><Relationship Type="http://schemas.openxmlformats.org/officeDocument/2006/relationships/hyperlink" Target="https://www.facebook.com/bellabrideshairandmakeup" TargetMode="External" Id="rId26" /><Relationship Type="http://schemas.openxmlformats.org/officeDocument/2006/relationships/hyperlink" Target="https://www.bellabrides.com.au/" TargetMode="External" Id="rId27" /><Relationship Type="http://schemas.openxmlformats.org/officeDocument/2006/relationships/hyperlink" Target="https://www.google.com/maps/search/?api=1&amp;query=Bella+Brides+Brisbane" TargetMode="External" Id="rId28" /><Relationship Type="http://schemas.openxmlformats.org/officeDocument/2006/relationships/hyperlink" Target="https://www.instagram.com/katieyoungscakes" TargetMode="External" Id="rId29" /><Relationship Type="http://schemas.openxmlformats.org/officeDocument/2006/relationships/hyperlink" Target="https://www.facebook.com/pages/Katie-Youngs-Cakes/152324272365" TargetMode="External" Id="rId30" /><Relationship Type="http://schemas.openxmlformats.org/officeDocument/2006/relationships/hyperlink" Target="https://www.katieyoungscakes.com/" TargetMode="External" Id="rId31" /><Relationship Type="http://schemas.openxmlformats.org/officeDocument/2006/relationships/hyperlink" Target="https://www.google.com/maps/search/?api=1&amp;query=Katie+Young%27s+Cakes+Brisbane" TargetMode="External" Id="rId32" /><Relationship Type="http://schemas.openxmlformats.org/officeDocument/2006/relationships/hyperlink" Target="https://www.instagram.com/zoeclarkcakes" TargetMode="External" Id="rId33" /><Relationship Type="http://schemas.openxmlformats.org/officeDocument/2006/relationships/hyperlink" Target="https://www.facebook.com/pg/zoeclarkcakes" TargetMode="External" Id="rId34" /><Relationship Type="http://schemas.openxmlformats.org/officeDocument/2006/relationships/hyperlink" Target="https://www.zoeclarkcakes.com/" TargetMode="External" Id="rId35" /><Relationship Type="http://schemas.openxmlformats.org/officeDocument/2006/relationships/hyperlink" Target="https://www.google.com/maps/search/?api=1&amp;query=Zoe+Clark+Cakes+Brisbane" TargetMode="External" Id="rId36" /><Relationship Type="http://schemas.openxmlformats.org/officeDocument/2006/relationships/hyperlink" Target="https://www.facebook.com/AllLimousineTransfers" TargetMode="External" Id="rId37" /><Relationship Type="http://schemas.openxmlformats.org/officeDocument/2006/relationships/hyperlink" Target="https://alllimousinetransfers.com/" TargetMode="External" Id="rId38" /><Relationship Type="http://schemas.openxmlformats.org/officeDocument/2006/relationships/hyperlink" Target="https://www.google.com/maps/search/?api=1&amp;query=All+Limousine+Transfers+Brisbane" TargetMode="External" Id="rId39" /><Relationship Type="http://schemas.openxmlformats.org/officeDocument/2006/relationships/hyperlink" Target="https://www.instagram.com/melaniejaneweddingsandevents" TargetMode="External" Id="rId40" /><Relationship Type="http://schemas.openxmlformats.org/officeDocument/2006/relationships/hyperlink" Target="https://www.facebook.com/melaniejaneweddingsandevents" TargetMode="External" Id="rId41" /><Relationship Type="http://schemas.openxmlformats.org/officeDocument/2006/relationships/hyperlink" Target="https://melaniejaneweddingsandevents.com.au/" TargetMode="External" Id="rId42" /><Relationship Type="http://schemas.openxmlformats.org/officeDocument/2006/relationships/hyperlink" Target="https://www.google.com/maps/search/?api=1&amp;query=Melanie+Jane+Weddings+and+Events+Brisbane" TargetMode="External" Id="rId43" /><Relationship Type="http://schemas.openxmlformats.org/officeDocument/2006/relationships/hyperlink" Target="https://www.instagram.com/rawbloomsgingin" TargetMode="External" Id="rId44" /><Relationship Type="http://schemas.openxmlformats.org/officeDocument/2006/relationships/hyperlink" Target="https://www.facebook.com/rawbloomsgingin" TargetMode="External" Id="rId45" /><Relationship Type="http://schemas.openxmlformats.org/officeDocument/2006/relationships/hyperlink" Target="https://www.rawblooms.com.au/" TargetMode="External" Id="rId46" /><Relationship Type="http://schemas.openxmlformats.org/officeDocument/2006/relationships/hyperlink" Target="https://www.google.com/maps/search/?api=1&amp;query=Raw+Blooms+Bundaberg" TargetMode="External" Id="rId47" /><Relationship Type="http://schemas.openxmlformats.org/officeDocument/2006/relationships/hyperlink" Target="https://instagram.com/youngaussiebundy" TargetMode="External" Id="rId48" /><Relationship Type="http://schemas.openxmlformats.org/officeDocument/2006/relationships/hyperlink" Target="https://www.facebook.com/YoungAustralianHotel" TargetMode="External" Id="rId49" /><Relationship Type="http://schemas.openxmlformats.org/officeDocument/2006/relationships/hyperlink" Target="https://youngaustralianhotel.com.au/" TargetMode="External" Id="rId50" /><Relationship Type="http://schemas.openxmlformats.org/officeDocument/2006/relationships/hyperlink" Target="https://www.google.com/maps/search/?api=1&amp;query=Young+Australian+Hotel+Bundaberg" TargetMode="External" Id="rId51" /><Relationship Type="http://schemas.openxmlformats.org/officeDocument/2006/relationships/hyperlink" Target="https://www.facebook.com/CairnsWeddings" TargetMode="External" Id="rId52" /><Relationship Type="http://schemas.openxmlformats.org/officeDocument/2006/relationships/hyperlink" Target="https://cairnsweddings.com.au/" TargetMode="External" Id="rId53" /><Relationship Type="http://schemas.openxmlformats.org/officeDocument/2006/relationships/hyperlink" Target="https://www.google.com/maps/search/?api=1&amp;query=Cairns+Weddings+-+Kay+Earl+Celebrant+Cairns" TargetMode="External" Id="rId54" /><Relationship Type="http://schemas.openxmlformats.org/officeDocument/2006/relationships/hyperlink" Target="https://www.instagram.com/holymatrimonty" TargetMode="External" Id="rId55" /><Relationship Type="http://schemas.openxmlformats.org/officeDocument/2006/relationships/hyperlink" Target="https://www.facebook.com/holymatrimonty" TargetMode="External" Id="rId56" /><Relationship Type="http://schemas.openxmlformats.org/officeDocument/2006/relationships/hyperlink" Target="https://www.holymatrimonty.com.au/" TargetMode="External" Id="rId57" /><Relationship Type="http://schemas.openxmlformats.org/officeDocument/2006/relationships/hyperlink" Target="https://www.google.com/maps/search/?api=1&amp;query=Holy+Matrimony+Celebrant+Cairns" TargetMode="External" Id="rId58" /><Relationship Type="http://schemas.openxmlformats.org/officeDocument/2006/relationships/hyperlink" Target="https://instagram.com/NQCelebrations" TargetMode="External" Id="rId59" /><Relationship Type="http://schemas.openxmlformats.org/officeDocument/2006/relationships/hyperlink" Target="https://www.facebook.com/NQCelebrationsCairnsMarriageCelebrant" TargetMode="External" Id="rId60" /><Relationship Type="http://schemas.openxmlformats.org/officeDocument/2006/relationships/hyperlink" Target="https://nqcelebrations.com/" TargetMode="External" Id="rId61" /><Relationship Type="http://schemas.openxmlformats.org/officeDocument/2006/relationships/hyperlink" Target="https://www.google.com/maps/search/?api=1&amp;query=NQCelebrations+Cairns" TargetMode="External" Id="rId62" /><Relationship Type="http://schemas.openxmlformats.org/officeDocument/2006/relationships/hyperlink" Target="https://www.instagram.com/cairnssecretgardenweddingvenue" TargetMode="External" Id="rId63" /><Relationship Type="http://schemas.openxmlformats.org/officeDocument/2006/relationships/hyperlink" Target="https://www.facebook.com/cairnssecretgardenweddingvenue" TargetMode="External" Id="rId64" /><Relationship Type="http://schemas.openxmlformats.org/officeDocument/2006/relationships/hyperlink" Target="https://www.cairnssecretgarden.au/" TargetMode="External" Id="rId65" /><Relationship Type="http://schemas.openxmlformats.org/officeDocument/2006/relationships/hyperlink" Target="https://www.google.com/maps/search/?api=1&amp;query=Cairns+Secret+Garden+Cairns" TargetMode="External" Id="rId66" /><Relationship Type="http://schemas.openxmlformats.org/officeDocument/2006/relationships/hyperlink" Target="https://www.instagram.com/thememorymakersmusic" TargetMode="External" Id="rId67" /><Relationship Type="http://schemas.openxmlformats.org/officeDocument/2006/relationships/hyperlink" Target="https://www.facebook.com/thememorymakersmusic" TargetMode="External" Id="rId68" /><Relationship Type="http://schemas.openxmlformats.org/officeDocument/2006/relationships/hyperlink" Target="https://www.thememorymakers.com.au/" TargetMode="External" Id="rId69" /><Relationship Type="http://schemas.openxmlformats.org/officeDocument/2006/relationships/hyperlink" Target="https://www.google.com/maps/search/?api=1&amp;query=The+Memory+Makers+Gold+Coast" TargetMode="External" Id="rId70" /><Relationship Type="http://schemas.openxmlformats.org/officeDocument/2006/relationships/hyperlink" Target="https://www.instagram.com/rosaandmarysbridal" TargetMode="External" Id="rId71" /><Relationship Type="http://schemas.openxmlformats.org/officeDocument/2006/relationships/hyperlink" Target="https://www.facebook.com/Rosaandmarybridal" TargetMode="External" Id="rId72" /><Relationship Type="http://schemas.openxmlformats.org/officeDocument/2006/relationships/hyperlink" Target="https://rosaandmarybridal.com.au/" TargetMode="External" Id="rId73" /><Relationship Type="http://schemas.openxmlformats.org/officeDocument/2006/relationships/hyperlink" Target="https://www.google.com/maps/search/?api=1&amp;query=Rosa+%26+Mary%27s+Bridal+Gold+Coast" TargetMode="External" Id="rId74" /><Relationship Type="http://schemas.openxmlformats.org/officeDocument/2006/relationships/hyperlink" Target="https://www.instagram.com/dylanbondcelebrantmc" TargetMode="External" Id="rId75" /><Relationship Type="http://schemas.openxmlformats.org/officeDocument/2006/relationships/hyperlink" Target="https://www.facebook.com/dylanbondcelebrantmc" TargetMode="External" Id="rId76" /><Relationship Type="http://schemas.openxmlformats.org/officeDocument/2006/relationships/hyperlink" Target="https://dylanbond.com.au/" TargetMode="External" Id="rId77" /><Relationship Type="http://schemas.openxmlformats.org/officeDocument/2006/relationships/hyperlink" Target="https://www.google.com/maps/search/?api=1&amp;query=Dylan+Bond+Celebrant+Gold+Coast" TargetMode="External" Id="rId78" /><Relationship Type="http://schemas.openxmlformats.org/officeDocument/2006/relationships/hyperlink" Target="http://instagram.com/j0cardozo" TargetMode="External" Id="rId79" /><Relationship Type="http://schemas.openxmlformats.org/officeDocument/2006/relationships/hyperlink" Target="https://www.facebook.com/lovestoryceremonies" TargetMode="External" Id="rId80" /><Relationship Type="http://schemas.openxmlformats.org/officeDocument/2006/relationships/hyperlink" Target="https://www.lovestoryceremonies.com/" TargetMode="External" Id="rId81" /><Relationship Type="http://schemas.openxmlformats.org/officeDocument/2006/relationships/hyperlink" Target="https://www.google.com/maps/search/?api=1&amp;query=Love+Story+Ceremonies+Gold+Coast" TargetMode="External" Id="rId82" /><Relationship Type="http://schemas.openxmlformats.org/officeDocument/2006/relationships/hyperlink" Target="https://www.instagram.com/robynwagnercelebrations" TargetMode="External" Id="rId83" /><Relationship Type="http://schemas.openxmlformats.org/officeDocument/2006/relationships/hyperlink" Target="https://www.facebook.com/Robyn-Wagner-Celebrations-148542741867253" TargetMode="External" Id="rId84" /><Relationship Type="http://schemas.openxmlformats.org/officeDocument/2006/relationships/hyperlink" Target="https://yourcelebrations.com.au/" TargetMode="External" Id="rId85" /><Relationship Type="http://schemas.openxmlformats.org/officeDocument/2006/relationships/hyperlink" Target="https://www.google.com/maps/search/?api=1&amp;query=Your+Celebrations+Gold+Coast" TargetMode="External" Id="rId86" /><Relationship Type="http://schemas.openxmlformats.org/officeDocument/2006/relationships/hyperlink" Target="https://instagram.com/missylabelle" TargetMode="External" Id="rId87" /><Relationship Type="http://schemas.openxmlformats.org/officeDocument/2006/relationships/hyperlink" Target="http://www.facebook.com/missylabelleflowers" TargetMode="External" Id="rId88" /><Relationship Type="http://schemas.openxmlformats.org/officeDocument/2006/relationships/hyperlink" Target="https://www.missylabelle.com/" TargetMode="External" Id="rId89" /><Relationship Type="http://schemas.openxmlformats.org/officeDocument/2006/relationships/hyperlink" Target="https://www.google.com/maps/search/?api=1&amp;query=Missy+La%27Belle+Gold+Coast" TargetMode="External" Id="rId90" /><Relationship Type="http://schemas.openxmlformats.org/officeDocument/2006/relationships/hyperlink" Target="https://www.instagram.com/amandahigl_hairandmakeup" TargetMode="External" Id="rId91" /><Relationship Type="http://schemas.openxmlformats.org/officeDocument/2006/relationships/hyperlink" Target="https://facebook.com/151747901559691" TargetMode="External" Id="rId92" /><Relationship Type="http://schemas.openxmlformats.org/officeDocument/2006/relationships/hyperlink" Target="https://amandahigl.com.au/" TargetMode="External" Id="rId93" /><Relationship Type="http://schemas.openxmlformats.org/officeDocument/2006/relationships/hyperlink" Target="https://www.google.com/maps/search/?api=1&amp;query=Amanda+Higl+Gold+Coast" TargetMode="External" Id="rId94" /><Relationship Type="http://schemas.openxmlformats.org/officeDocument/2006/relationships/hyperlink" Target="https://instagram.com/natalielucasmua" TargetMode="External" Id="rId95" /><Relationship Type="http://schemas.openxmlformats.org/officeDocument/2006/relationships/hyperlink" Target="https://www.facebook.com/natalielucasmua" TargetMode="External" Id="rId96" /><Relationship Type="http://schemas.openxmlformats.org/officeDocument/2006/relationships/hyperlink" Target="https://www.natalielucasmakeup.com/" TargetMode="External" Id="rId97" /><Relationship Type="http://schemas.openxmlformats.org/officeDocument/2006/relationships/hyperlink" Target="https://www.google.com/maps/search/?api=1&amp;query=Natalie+Lucas+Makeup+Gold+Coast" TargetMode="External" Id="rId98" /><Relationship Type="http://schemas.openxmlformats.org/officeDocument/2006/relationships/hyperlink" Target="https://www.instagram.com/onelovebridal.au" TargetMode="External" Id="rId99" /><Relationship Type="http://schemas.openxmlformats.org/officeDocument/2006/relationships/hyperlink" Target="https://www.facebook.com/people/One-Love-Bridal/100064081482842" TargetMode="External" Id="rId100" /><Relationship Type="http://schemas.openxmlformats.org/officeDocument/2006/relationships/hyperlink" Target="https://www.onelovebridal.com/" TargetMode="External" Id="rId101" /><Relationship Type="http://schemas.openxmlformats.org/officeDocument/2006/relationships/hyperlink" Target="https://www.google.com/maps/search/?api=1&amp;query=One+Love+Bridal+Gold+Coast" TargetMode="External" Id="rId102" /><Relationship Type="http://schemas.openxmlformats.org/officeDocument/2006/relationships/hyperlink" Target="https://www.instagram.com/cakemegourmetgc" TargetMode="External" Id="rId103" /><Relationship Type="http://schemas.openxmlformats.org/officeDocument/2006/relationships/hyperlink" Target="https://www.facebook.com/CAKEMEGOURMETGC" TargetMode="External" Id="rId104" /><Relationship Type="http://schemas.openxmlformats.org/officeDocument/2006/relationships/hyperlink" Target="https://www.cakemegourmet.com/" TargetMode="External" Id="rId105" /><Relationship Type="http://schemas.openxmlformats.org/officeDocument/2006/relationships/hyperlink" Target="https://www.google.com/maps/search/?api=1&amp;query=Cake+Me+Gourmet+Gold+Coast" TargetMode="External" Id="rId106" /><Relationship Type="http://schemas.openxmlformats.org/officeDocument/2006/relationships/hyperlink" Target="https://www.instagram.com/hellolittlecrumb" TargetMode="External" Id="rId107" /><Relationship Type="http://schemas.openxmlformats.org/officeDocument/2006/relationships/hyperlink" Target="https://hellolittlecrumb.com/" TargetMode="External" Id="rId108" /><Relationship Type="http://schemas.openxmlformats.org/officeDocument/2006/relationships/hyperlink" Target="https://www.google.com/maps/search/?api=1&amp;query=Hello+Little+Crumb+Gold+Coast" TargetMode="External" Id="rId109" /><Relationship Type="http://schemas.openxmlformats.org/officeDocument/2006/relationships/hyperlink" Target="https://www.instagram.com/royalcakesbynadia" TargetMode="External" Id="rId110" /><Relationship Type="http://schemas.openxmlformats.org/officeDocument/2006/relationships/hyperlink" Target="https://www.facebook.com/profile.php" TargetMode="External" Id="rId111" /><Relationship Type="http://schemas.openxmlformats.org/officeDocument/2006/relationships/hyperlink" Target="https://www.royalcakesbynadia.com/" TargetMode="External" Id="rId112" /><Relationship Type="http://schemas.openxmlformats.org/officeDocument/2006/relationships/hyperlink" Target="https://www.google.com/maps/search/?api=1&amp;query=Royal+Cakes+by+Nadia+Gold+Coast" TargetMode="External" Id="rId113" /><Relationship Type="http://schemas.openxmlformats.org/officeDocument/2006/relationships/hyperlink" Target="https://www.facebook.com/GCLuxuryVintageCarHire" TargetMode="External" Id="rId114" /><Relationship Type="http://schemas.openxmlformats.org/officeDocument/2006/relationships/hyperlink" Target="https://gcluxuryvintagecarhire.com.au/" TargetMode="External" Id="rId115" /><Relationship Type="http://schemas.openxmlformats.org/officeDocument/2006/relationships/hyperlink" Target="https://www.google.com/maps/search/?api=1&amp;query=Gold+Coast+Luxury+Vintage+Car+Hire+Gold+Coast" TargetMode="External" Id="rId116" /><Relationship Type="http://schemas.openxmlformats.org/officeDocument/2006/relationships/hyperlink" Target="https://www.instagram.com/halorentals" TargetMode="External" Id="rId117" /><Relationship Type="http://schemas.openxmlformats.org/officeDocument/2006/relationships/hyperlink" Target="https://www.facebook.com/halorentals" TargetMode="External" Id="rId118" /><Relationship Type="http://schemas.openxmlformats.org/officeDocument/2006/relationships/hyperlink" Target="https://halorentals.com.au/" TargetMode="External" Id="rId119" /><Relationship Type="http://schemas.openxmlformats.org/officeDocument/2006/relationships/hyperlink" Target="https://www.google.com/maps/search/?api=1&amp;query=Halo+Luxury+Car+Rentals+Gold+Coast" TargetMode="External" Id="rId120" /><Relationship Type="http://schemas.openxmlformats.org/officeDocument/2006/relationships/hyperlink" Target="https://www.instagram.com/eventstylistandco" TargetMode="External" Id="rId121" /><Relationship Type="http://schemas.openxmlformats.org/officeDocument/2006/relationships/hyperlink" Target="https://www.eventstylistandco.com/" TargetMode="External" Id="rId122" /><Relationship Type="http://schemas.openxmlformats.org/officeDocument/2006/relationships/hyperlink" Target="https://www.google.com/maps/search/?api=1&amp;query=Event+Stylist+%26+Co+Gold+Coast" TargetMode="External" Id="rId123" /><Relationship Type="http://schemas.openxmlformats.org/officeDocument/2006/relationships/hyperlink" Target="https://instagram.com/goldcoastbride" TargetMode="External" Id="rId124" /><Relationship Type="http://schemas.openxmlformats.org/officeDocument/2006/relationships/hyperlink" Target="http://www.facebook.com/thegoldcoastbride" TargetMode="External" Id="rId125" /><Relationship Type="http://schemas.openxmlformats.org/officeDocument/2006/relationships/hyperlink" Target="https://www.thegoldcoastbride.com.au/" TargetMode="External" Id="rId126" /><Relationship Type="http://schemas.openxmlformats.org/officeDocument/2006/relationships/hyperlink" Target="https://www.google.com/maps/search/?api=1&amp;query=The+Gold+Coast+Bride+Gold+Coast" TargetMode="External" Id="rId127" /><Relationship Type="http://schemas.openxmlformats.org/officeDocument/2006/relationships/hyperlink" Target="https://www.instagram.com/coolibahdownsprivateestate" TargetMode="External" Id="rId128" /><Relationship Type="http://schemas.openxmlformats.org/officeDocument/2006/relationships/hyperlink" Target="https://www.facebook.com/CoolibahDowns" TargetMode="External" Id="rId129" /><Relationship Type="http://schemas.openxmlformats.org/officeDocument/2006/relationships/hyperlink" Target="https://www.coolibahdowns.com.au/" TargetMode="External" Id="rId130" /><Relationship Type="http://schemas.openxmlformats.org/officeDocument/2006/relationships/hyperlink" Target="https://www.google.com/maps/search/?api=1&amp;query=Coolibah+Downs+Private+Estate+Gold+Coast" TargetMode="External" Id="rId131" /><Relationship Type="http://schemas.openxmlformats.org/officeDocument/2006/relationships/hyperlink" Target="https://www.instagram.com/theislandgoldcoast" TargetMode="External" Id="rId132" /><Relationship Type="http://schemas.openxmlformats.org/officeDocument/2006/relationships/hyperlink" Target="https://www.theislandgoldcoast.com.au/" TargetMode="External" Id="rId133" /><Relationship Type="http://schemas.openxmlformats.org/officeDocument/2006/relationships/hyperlink" Target="https://www.google.com/maps/search/?api=1&amp;query=The+Island+Gold+Coast+Gold+Coast" TargetMode="External" Id="rId134" /><Relationship Type="http://schemas.openxmlformats.org/officeDocument/2006/relationships/hyperlink" Target="https://facebook.com/434128746732264" TargetMode="External" Id="rId135" /><Relationship Type="http://schemas.openxmlformats.org/officeDocument/2006/relationships/hyperlink" Target="https://marriagefrasercoast.au/" TargetMode="External" Id="rId136" /><Relationship Type="http://schemas.openxmlformats.org/officeDocument/2006/relationships/hyperlink" Target="https://www.google.com/maps/search/?api=1&amp;query=Marriage+Fraser+Coast+Hervey+Bay" TargetMode="External" Id="rId137" /><Relationship Type="http://schemas.openxmlformats.org/officeDocument/2006/relationships/hyperlink" Target="https://www.facebook.com/bloomsandpetalsfloristherveybay" TargetMode="External" Id="rId138" /><Relationship Type="http://schemas.openxmlformats.org/officeDocument/2006/relationships/hyperlink" Target="https://bloomsandpetalsflorist.com.au/" TargetMode="External" Id="rId139" /><Relationship Type="http://schemas.openxmlformats.org/officeDocument/2006/relationships/hyperlink" Target="https://www.google.com/maps/search/?api=1&amp;query=Blooms+%26+Petals+Florist+Hervey+Bay" TargetMode="External" Id="rId140" /><Relationship Type="http://schemas.openxmlformats.org/officeDocument/2006/relationships/hyperlink" Target="https://www.facebook.com/Lisa-Klein-Professional-Makeup-Artist-143179855730752" TargetMode="External" Id="rId141" /><Relationship Type="http://schemas.openxmlformats.org/officeDocument/2006/relationships/hyperlink" Target="https://www.lisaklein.com.au/" TargetMode="External" Id="rId142" /><Relationship Type="http://schemas.openxmlformats.org/officeDocument/2006/relationships/hyperlink" Target="https://www.google.com/maps/search/?api=1&amp;query=Lisa+Klein+Makeup+Hervey+Bay" TargetMode="External" Id="rId143" /><Relationship Type="http://schemas.openxmlformats.org/officeDocument/2006/relationships/hyperlink" Target="https://www.instagram.com/bohoeventsstyling" TargetMode="External" Id="rId144" /><Relationship Type="http://schemas.openxmlformats.org/officeDocument/2006/relationships/hyperlink" Target="https://www.facebook.com/BohoEventsStyling" TargetMode="External" Id="rId145" /><Relationship Type="http://schemas.openxmlformats.org/officeDocument/2006/relationships/hyperlink" Target="https://bohoeventsandstyling.com.au/" TargetMode="External" Id="rId146" /><Relationship Type="http://schemas.openxmlformats.org/officeDocument/2006/relationships/hyperlink" Target="https://www.google.com/maps/search/?api=1&amp;query=Boho+Events+%26+Styling+Hervey+Bay" TargetMode="External" Id="rId147" /><Relationship Type="http://schemas.openxmlformats.org/officeDocument/2006/relationships/hyperlink" Target="http://instagram.com/graceandstylemakeup" TargetMode="External" Id="rId148" /><Relationship Type="http://schemas.openxmlformats.org/officeDocument/2006/relationships/hyperlink" Target="http://www.facebook.com/GraceAndStyle" TargetMode="External" Id="rId149" /><Relationship Type="http://schemas.openxmlformats.org/officeDocument/2006/relationships/hyperlink" Target="https://www.graceandstyle.com.au/" TargetMode="External" Id="rId150" /><Relationship Type="http://schemas.openxmlformats.org/officeDocument/2006/relationships/hyperlink" Target="https://www.google.com/maps/search/?api=1&amp;query=Grace+%26+Style+Ipswich" TargetMode="External" Id="rId151" /><Relationship Type="http://schemas.openxmlformats.org/officeDocument/2006/relationships/hyperlink" Target="https://www.instagram.com/thecakeladyipswich" TargetMode="External" Id="rId152" /><Relationship Type="http://schemas.openxmlformats.org/officeDocument/2006/relationships/hyperlink" Target="https://www.facebook.com/thecakeladyipswich" TargetMode="External" Id="rId153" /><Relationship Type="http://schemas.openxmlformats.org/officeDocument/2006/relationships/hyperlink" Target="https://www.cakelady.com.au/" TargetMode="External" Id="rId154" /><Relationship Type="http://schemas.openxmlformats.org/officeDocument/2006/relationships/hyperlink" Target="https://www.google.com/maps/search/?api=1&amp;query=The+Cake+Lady+Ipswich" TargetMode="External" Id="rId155" /><Relationship Type="http://schemas.openxmlformats.org/officeDocument/2006/relationships/hyperlink" Target="https://www.facebook.com/Darling-St-Chapel-207432589284855" TargetMode="External" Id="rId156" /><Relationship Type="http://schemas.openxmlformats.org/officeDocument/2006/relationships/hyperlink" Target="https://darlingstchapel.com.au/" TargetMode="External" Id="rId157" /><Relationship Type="http://schemas.openxmlformats.org/officeDocument/2006/relationships/hyperlink" Target="https://www.google.com/maps/search/?api=1&amp;query=Darling+St+Chapel+Ipswich" TargetMode="External" Id="rId158" /><Relationship Type="http://schemas.openxmlformats.org/officeDocument/2006/relationships/hyperlink" Target="https://www.facebook.com/AnnsUniqueCake" TargetMode="External" Id="rId159" /><Relationship Type="http://schemas.openxmlformats.org/officeDocument/2006/relationships/hyperlink" Target="https://www.annsuniquecakes.com/" TargetMode="External" Id="rId160" /><Relationship Type="http://schemas.openxmlformats.org/officeDocument/2006/relationships/hyperlink" Target="https://www.google.com/maps/search/?api=1&amp;query=Ann%27s+Unique+Cakes+Logan" TargetMode="External" Id="rId161" /><Relationship Type="http://schemas.openxmlformats.org/officeDocument/2006/relationships/hyperlink" Target="https://www.facebook.com/diggersservicesclub" TargetMode="External" Id="rId162" /><Relationship Type="http://schemas.openxmlformats.org/officeDocument/2006/relationships/hyperlink" Target="https://www.diggersservicesclub.com.au/" TargetMode="External" Id="rId163" /><Relationship Type="http://schemas.openxmlformats.org/officeDocument/2006/relationships/hyperlink" Target="https://www.google.com/maps/search/?api=1&amp;query=Diggers+Services+Club+Logan" TargetMode="External" Id="rId164" /><Relationship Type="http://schemas.openxmlformats.org/officeDocument/2006/relationships/hyperlink" Target="https://www.instagram.com/chevythecelebrant" TargetMode="External" Id="rId165" /><Relationship Type="http://schemas.openxmlformats.org/officeDocument/2006/relationships/hyperlink" Target="https://www.facebook.com/chevythecelebrant" TargetMode="External" Id="rId166" /><Relationship Type="http://schemas.openxmlformats.org/officeDocument/2006/relationships/hyperlink" Target="https://chevythecelebrant.com.au/" TargetMode="External" Id="rId167" /><Relationship Type="http://schemas.openxmlformats.org/officeDocument/2006/relationships/hyperlink" Target="https://www.google.com/maps/search/?api=1&amp;query=Chevy+the+Celebrant+Mackay" TargetMode="External" Id="rId168" /><Relationship Type="http://schemas.openxmlformats.org/officeDocument/2006/relationships/hyperlink" Target="https://www.instagram.com/say_i_do_celebrancy" TargetMode="External" Id="rId169" /><Relationship Type="http://schemas.openxmlformats.org/officeDocument/2006/relationships/hyperlink" Target="https://sayidocelebrancy.com/" TargetMode="External" Id="rId170" /><Relationship Type="http://schemas.openxmlformats.org/officeDocument/2006/relationships/hyperlink" Target="https://www.google.com/maps/search/?api=1&amp;query=Say+I+Do+Celebrancy+Mackay" TargetMode="External" Id="rId171" /><Relationship Type="http://schemas.openxmlformats.org/officeDocument/2006/relationships/hyperlink" Target="https://www.instagram.com/tamarabrownmakeup" TargetMode="External" Id="rId172" /><Relationship Type="http://schemas.openxmlformats.org/officeDocument/2006/relationships/hyperlink" Target="https://www.facebook.com/makeupbytamqld" TargetMode="External" Id="rId173" /><Relationship Type="http://schemas.openxmlformats.org/officeDocument/2006/relationships/hyperlink" Target="https://www.tamarabrownmakeup.com.au/" TargetMode="External" Id="rId174" /><Relationship Type="http://schemas.openxmlformats.org/officeDocument/2006/relationships/hyperlink" Target="https://www.google.com/maps/search/?api=1&amp;query=Tamara+Brown+Makeup+Mackay" TargetMode="External" Id="rId175" /><Relationship Type="http://schemas.openxmlformats.org/officeDocument/2006/relationships/hyperlink" Target="http://instagram.com/jojos_bakehouse" TargetMode="External" Id="rId176" /><Relationship Type="http://schemas.openxmlformats.org/officeDocument/2006/relationships/hyperlink" Target="http://www.facebook.com/jojobakehouse" TargetMode="External" Id="rId177" /><Relationship Type="http://schemas.openxmlformats.org/officeDocument/2006/relationships/hyperlink" Target="https://www.jojosbakehouse.com.au/" TargetMode="External" Id="rId178" /><Relationship Type="http://schemas.openxmlformats.org/officeDocument/2006/relationships/hyperlink" Target="https://www.google.com/maps/search/?api=1&amp;query=Jojo%27s+Bakehouse+Mackay" TargetMode="External" Id="rId179" /><Relationship Type="http://schemas.openxmlformats.org/officeDocument/2006/relationships/hyperlink" Target="https://www.instagram.com/exclusivecakes4all" TargetMode="External" Id="rId180" /><Relationship Type="http://schemas.openxmlformats.org/officeDocument/2006/relationships/hyperlink" Target="https://www.facebook.com/Exclusivecakes" TargetMode="External" Id="rId181" /><Relationship Type="http://schemas.openxmlformats.org/officeDocument/2006/relationships/hyperlink" Target="https://mackaycakes.com.au/" TargetMode="External" Id="rId182" /><Relationship Type="http://schemas.openxmlformats.org/officeDocument/2006/relationships/hyperlink" Target="https://www.google.com/maps/search/?api=1&amp;query=Mackay+Cakes+Mackay" TargetMode="External" Id="rId183" /><Relationship Type="http://schemas.openxmlformats.org/officeDocument/2006/relationships/hyperlink" Target="https://www.instagram.com/sseasideflowers" TargetMode="External" Id="rId184" /><Relationship Type="http://schemas.openxmlformats.org/officeDocument/2006/relationships/hyperlink" Target="https://www.facebook.com/scarboroughseasideflowers" TargetMode="External" Id="rId185" /><Relationship Type="http://schemas.openxmlformats.org/officeDocument/2006/relationships/hyperlink" Target="https://www.scarboroughseasideflowers.com.au/" TargetMode="External" Id="rId186" /><Relationship Type="http://schemas.openxmlformats.org/officeDocument/2006/relationships/hyperlink" Target="https://www.google.com/maps/search/?api=1&amp;query=Scarborough+Seaside+Flowers+Moreton+Bay" TargetMode="External" Id="rId187" /><Relationship Type="http://schemas.openxmlformats.org/officeDocument/2006/relationships/hyperlink" Target="https://www.facebook.com/reidsplacecelebrations" TargetMode="External" Id="rId188" /><Relationship Type="http://schemas.openxmlformats.org/officeDocument/2006/relationships/hyperlink" Target="https://www.reidsplace.com.au/" TargetMode="External" Id="rId189" /><Relationship Type="http://schemas.openxmlformats.org/officeDocument/2006/relationships/hyperlink" Target="https://www.google.com/maps/search/?api=1&amp;query=Reid%27s+Place+Moreton+Bay" TargetMode="External" Id="rId190" /><Relationship Type="http://schemas.openxmlformats.org/officeDocument/2006/relationships/hyperlink" Target="https://www.instagram.com/andrea_marriagecelebrant" TargetMode="External" Id="rId191" /><Relationship Type="http://schemas.openxmlformats.org/officeDocument/2006/relationships/hyperlink" Target="https://www.facebook.com/AndreaSchumacherMarriageCelebrant" TargetMode="External" Id="rId192" /><Relationship Type="http://schemas.openxmlformats.org/officeDocument/2006/relationships/hyperlink" Target="https://scenicrimcelebrant.com.au/" TargetMode="External" Id="rId193" /><Relationship Type="http://schemas.openxmlformats.org/officeDocument/2006/relationships/hyperlink" Target="https://www.google.com/maps/search/?api=1&amp;query=Andrea+Schumacher+Celebrant+Other+QLD" TargetMode="External" Id="rId194" /><Relationship Type="http://schemas.openxmlformats.org/officeDocument/2006/relationships/hyperlink" Target="https://www.instagram.com/deannamckeowen_celebrant" TargetMode="External" Id="rId195" /><Relationship Type="http://schemas.openxmlformats.org/officeDocument/2006/relationships/hyperlink" Target="https://www.facebook.com/deannamckeowenwhitsundayweddingcelebrant" TargetMode="External" Id="rId196" /><Relationship Type="http://schemas.openxmlformats.org/officeDocument/2006/relationships/hyperlink" Target="https://www.whitsundayweddingcelebrant.com.au/" TargetMode="External" Id="rId197" /><Relationship Type="http://schemas.openxmlformats.org/officeDocument/2006/relationships/hyperlink" Target="https://www.google.com/maps/search/?api=1&amp;query=Deanna+McKeowen+Whitsunday+Wedding+Celebrant+Other+QLD" TargetMode="External" Id="rId198" /><Relationship Type="http://schemas.openxmlformats.org/officeDocument/2006/relationships/hyperlink" Target="https://www.instagram.com/marrymeamanda" TargetMode="External" Id="rId199" /><Relationship Type="http://schemas.openxmlformats.org/officeDocument/2006/relationships/hyperlink" Target="https://www.facebook.com/profile.php" TargetMode="External" Id="rId200" /><Relationship Type="http://schemas.openxmlformats.org/officeDocument/2006/relationships/hyperlink" Target="https://www.marrymeamanda.com/" TargetMode="External" Id="rId201" /><Relationship Type="http://schemas.openxmlformats.org/officeDocument/2006/relationships/hyperlink" Target="https://www.google.com/maps/search/?api=1&amp;query=Marry+Me+Amanda+Other+QLD" TargetMode="External" Id="rId202" /><Relationship Type="http://schemas.openxmlformats.org/officeDocument/2006/relationships/hyperlink" Target="https://www.instagram.com/paulskinner.marriagecelebrant" TargetMode="External" Id="rId203" /><Relationship Type="http://schemas.openxmlformats.org/officeDocument/2006/relationships/hyperlink" Target="https://www.facebook.com/PaulSkinnerCelebrant" TargetMode="External" Id="rId204" /><Relationship Type="http://schemas.openxmlformats.org/officeDocument/2006/relationships/hyperlink" Target="https://whitsundaysonline.com/" TargetMode="External" Id="rId205" /><Relationship Type="http://schemas.openxmlformats.org/officeDocument/2006/relationships/hyperlink" Target="https://www.google.com/maps/search/?api=1&amp;query=Paul+Skinner+Celebrant+%28Whitsundays+Online%29+Other+QLD" TargetMode="External" Id="rId206" /><Relationship Type="http://schemas.openxmlformats.org/officeDocument/2006/relationships/hyperlink" Target="https://www.instagram.com/kyliemcintoshcelebrant" TargetMode="External" Id="rId207" /><Relationship Type="http://schemas.openxmlformats.org/officeDocument/2006/relationships/hyperlink" Target="https://www.facebook.com/kyliemcintoshweddingcelebrant" TargetMode="External" Id="rId208" /><Relationship Type="http://schemas.openxmlformats.org/officeDocument/2006/relationships/hyperlink" Target="https://www.registryweddingswhitsundays.com.au/" TargetMode="External" Id="rId209" /><Relationship Type="http://schemas.openxmlformats.org/officeDocument/2006/relationships/hyperlink" Target="https://www.google.com/maps/search/?api=1&amp;query=Registry+Weddings+Whitsundays+Other+QLD" TargetMode="External" Id="rId210" /><Relationship Type="http://schemas.openxmlformats.org/officeDocument/2006/relationships/hyperlink" Target="https://www.instagram.com/wed_by_anna" TargetMode="External" Id="rId211" /><Relationship Type="http://schemas.openxmlformats.org/officeDocument/2006/relationships/hyperlink" Target="https://www.facebook.com/portdouglasmarriages" TargetMode="External" Id="rId212" /><Relationship Type="http://schemas.openxmlformats.org/officeDocument/2006/relationships/hyperlink" Target="https://thelovechronicles.com.au/" TargetMode="External" Id="rId213" /><Relationship Type="http://schemas.openxmlformats.org/officeDocument/2006/relationships/hyperlink" Target="https://www.google.com/maps/search/?api=1&amp;query=The+Love+Chronicles+Other+QLD" TargetMode="External" Id="rId214" /><Relationship Type="http://schemas.openxmlformats.org/officeDocument/2006/relationships/hyperlink" Target="https://www.instagram.com/flowersbywynne" TargetMode="External" Id="rId215" /><Relationship Type="http://schemas.openxmlformats.org/officeDocument/2006/relationships/hyperlink" Target="https://www.facebook.com/flowersbywynne/photos" TargetMode="External" Id="rId216" /><Relationship Type="http://schemas.openxmlformats.org/officeDocument/2006/relationships/hyperlink" Target="https://flowersbywynne.com.au/" TargetMode="External" Id="rId217" /><Relationship Type="http://schemas.openxmlformats.org/officeDocument/2006/relationships/hyperlink" Target="https://www.google.com/maps/search/?api=1&amp;query=Flowers+by+Wynne+Other+QLD" TargetMode="External" Id="rId218" /><Relationship Type="http://schemas.openxmlformats.org/officeDocument/2006/relationships/hyperlink" Target="https://www.instagram.com/leighmccoy_/channel" TargetMode="External" Id="rId219" /><Relationship Type="http://schemas.openxmlformats.org/officeDocument/2006/relationships/hyperlink" Target="https://www.leighmccoy.com/" TargetMode="External" Id="rId220" /><Relationship Type="http://schemas.openxmlformats.org/officeDocument/2006/relationships/hyperlink" Target="https://www.google.com/maps/search/?api=1&amp;query=Leigh+McCoy+Other+QLD" TargetMode="External" Id="rId221" /><Relationship Type="http://schemas.openxmlformats.org/officeDocument/2006/relationships/hyperlink" Target="https://www.instagram.com/naturally_sas_hair_beauty" TargetMode="External" Id="rId222" /><Relationship Type="http://schemas.openxmlformats.org/officeDocument/2006/relationships/hyperlink" Target="https://www.facebook.com/NaturallySAS" TargetMode="External" Id="rId223" /><Relationship Type="http://schemas.openxmlformats.org/officeDocument/2006/relationships/hyperlink" Target="https://naturallysas.com.au/" TargetMode="External" Id="rId224" /><Relationship Type="http://schemas.openxmlformats.org/officeDocument/2006/relationships/hyperlink" Target="https://www.google.com/maps/search/?api=1&amp;query=Naturally+SAS+Hair+%26+Beauty+Other+QLD" TargetMode="External" Id="rId225" /><Relationship Type="http://schemas.openxmlformats.org/officeDocument/2006/relationships/hyperlink" Target="https://www.instagram.com/portdouglasweddings" TargetMode="External" Id="rId226" /><Relationship Type="http://schemas.openxmlformats.org/officeDocument/2006/relationships/hyperlink" Target="https://www.facebook.com/portdouglaswedding" TargetMode="External" Id="rId227" /><Relationship Type="http://schemas.openxmlformats.org/officeDocument/2006/relationships/hyperlink" Target="https://www.weddingsportdouglas.com.au/" TargetMode="External" Id="rId228" /><Relationship Type="http://schemas.openxmlformats.org/officeDocument/2006/relationships/hyperlink" Target="https://www.google.com/maps/search/?api=1&amp;query=Weddings+Port+Douglas+Other+QLD" TargetMode="External" Id="rId229" /><Relationship Type="http://schemas.openxmlformats.org/officeDocument/2006/relationships/hyperlink" Target="https://www.instagram.com/villabotanicawhitsundays" TargetMode="External" Id="rId230" /><Relationship Type="http://schemas.openxmlformats.org/officeDocument/2006/relationships/hyperlink" Target="https://www.facebook.com/villabotanica" TargetMode="External" Id="rId231" /><Relationship Type="http://schemas.openxmlformats.org/officeDocument/2006/relationships/hyperlink" Target="https://villabotanica.com.au/" TargetMode="External" Id="rId232" /><Relationship Type="http://schemas.openxmlformats.org/officeDocument/2006/relationships/hyperlink" Target="https://www.google.com/maps/search/?api=1&amp;query=Villa+Botanica+Other+QLD" TargetMode="External" Id="rId233" /><Relationship Type="http://schemas.openxmlformats.org/officeDocument/2006/relationships/hyperlink" Target="https://www.instagram.com/paradisecovewhitsundays" TargetMode="External" Id="rId234" /><Relationship Type="http://schemas.openxmlformats.org/officeDocument/2006/relationships/hyperlink" Target="https://www.facebook.com/paradisecovewhitsundays" TargetMode="External" Id="rId235" /><Relationship Type="http://schemas.openxmlformats.org/officeDocument/2006/relationships/hyperlink" Target="https://villaparadisecove.com.au/" TargetMode="External" Id="rId236" /><Relationship Type="http://schemas.openxmlformats.org/officeDocument/2006/relationships/hyperlink" Target="https://www.google.com/maps/search/?api=1&amp;query=Villa+Paradise+Cove+Other+QLD" TargetMode="External" Id="rId237" /><Relationship Type="http://schemas.openxmlformats.org/officeDocument/2006/relationships/hyperlink" Target="https://www.instagram.com/redlands_registry_weddings" TargetMode="External" Id="rId238" /><Relationship Type="http://schemas.openxmlformats.org/officeDocument/2006/relationships/hyperlink" Target="https://www.redlandsregistryweddings.com.au/" TargetMode="External" Id="rId239" /><Relationship Type="http://schemas.openxmlformats.org/officeDocument/2006/relationships/hyperlink" Target="https://www.google.com/maps/search/?api=1&amp;query=Redlands+Registry+Weddings+Redlands" TargetMode="External" Id="rId240" /><Relationship Type="http://schemas.openxmlformats.org/officeDocument/2006/relationships/hyperlink" Target="https://www.facebook.com/pages/Cakes-by-Simone/351155011082" TargetMode="External" Id="rId241" /><Relationship Type="http://schemas.openxmlformats.org/officeDocument/2006/relationships/hyperlink" Target="https://www.cakesbysimone.com.au/" TargetMode="External" Id="rId242" /><Relationship Type="http://schemas.openxmlformats.org/officeDocument/2006/relationships/hyperlink" Target="https://www.google.com/maps/search/?api=1&amp;query=Cakes+by+Simone+Redlands" TargetMode="External" Id="rId243" /><Relationship Type="http://schemas.openxmlformats.org/officeDocument/2006/relationships/hyperlink" Target="https://www.instagram.com/heathersanderscelebrant" TargetMode="External" Id="rId244" /><Relationship Type="http://schemas.openxmlformats.org/officeDocument/2006/relationships/hyperlink" Target="https://www.facebook.com/heathersanderscelebrant" TargetMode="External" Id="rId245" /><Relationship Type="http://schemas.openxmlformats.org/officeDocument/2006/relationships/hyperlink" Target="https://www.heathersanderscelebrant.com.au/" TargetMode="External" Id="rId246" /><Relationship Type="http://schemas.openxmlformats.org/officeDocument/2006/relationships/hyperlink" Target="https://www.google.com/maps/search/?api=1&amp;query=Heather+Sanders+Celebrant+Rockhampton" TargetMode="External" Id="rId247" /><Relationship Type="http://schemas.openxmlformats.org/officeDocument/2006/relationships/hyperlink" Target="https://www.instagram.com/rockhamptonflorist" TargetMode="External" Id="rId248" /><Relationship Type="http://schemas.openxmlformats.org/officeDocument/2006/relationships/hyperlink" Target="https://www.facebook.com/rtonflorist1" TargetMode="External" Id="rId249" /><Relationship Type="http://schemas.openxmlformats.org/officeDocument/2006/relationships/hyperlink" Target="https://www.rockhamptonflorist.com.au/" TargetMode="External" Id="rId250" /><Relationship Type="http://schemas.openxmlformats.org/officeDocument/2006/relationships/hyperlink" Target="https://www.google.com/maps/search/?api=1&amp;query=Rockhampton+Florist+Rockhampton" TargetMode="External" Id="rId251" /><Relationship Type="http://schemas.openxmlformats.org/officeDocument/2006/relationships/hyperlink" Target="https://www.instagram.com/cuttingedgeboutique_yeppoon" TargetMode="External" Id="rId252" /><Relationship Type="http://schemas.openxmlformats.org/officeDocument/2006/relationships/hyperlink" Target="https://www.facebook.com/cuttingedgeboutique" TargetMode="External" Id="rId253" /><Relationship Type="http://schemas.openxmlformats.org/officeDocument/2006/relationships/hyperlink" Target="https://www.cuttingedgeboutique.com.au/" TargetMode="External" Id="rId254" /><Relationship Type="http://schemas.openxmlformats.org/officeDocument/2006/relationships/hyperlink" Target="https://www.google.com/maps/search/?api=1&amp;query=Cutting+Edge+Boutique+Rockhampton" TargetMode="External" Id="rId255" /><Relationship Type="http://schemas.openxmlformats.org/officeDocument/2006/relationships/hyperlink" Target="https://www.instagram.com/lovenotemusic" TargetMode="External" Id="rId256" /><Relationship Type="http://schemas.openxmlformats.org/officeDocument/2006/relationships/hyperlink" Target="https://www.facebook.com/love.note.music" TargetMode="External" Id="rId257" /><Relationship Type="http://schemas.openxmlformats.org/officeDocument/2006/relationships/hyperlink" Target="https://lovenotemusic.com.au/" TargetMode="External" Id="rId258" /><Relationship Type="http://schemas.openxmlformats.org/officeDocument/2006/relationships/hyperlink" Target="https://www.google.com/maps/search/?api=1&amp;query=Love+Note+Music+Sunshine+Coast" TargetMode="External" Id="rId259" /><Relationship Type="http://schemas.openxmlformats.org/officeDocument/2006/relationships/hyperlink" Target="https://www.instagram.com/caitythecelebrant" TargetMode="External" Id="rId260" /><Relationship Type="http://schemas.openxmlformats.org/officeDocument/2006/relationships/hyperlink" Target="https://www.facebook.com/Caitythecelebrant" TargetMode="External" Id="rId261" /><Relationship Type="http://schemas.openxmlformats.org/officeDocument/2006/relationships/hyperlink" Target="https://www.caitythecelebrant.com.au/" TargetMode="External" Id="rId262" /><Relationship Type="http://schemas.openxmlformats.org/officeDocument/2006/relationships/hyperlink" Target="https://www.google.com/maps/search/?api=1&amp;query=Caity+the+Celebrant+Sunshine+Coast" TargetMode="External" Id="rId263" /><Relationship Type="http://schemas.openxmlformats.org/officeDocument/2006/relationships/hyperlink" Target="https://www.instagram.com/ceremoniesbyemma_" TargetMode="External" Id="rId264" /><Relationship Type="http://schemas.openxmlformats.org/officeDocument/2006/relationships/hyperlink" Target="https://www.facebook.com/ceremoniesbyemma" TargetMode="External" Id="rId265" /><Relationship Type="http://schemas.openxmlformats.org/officeDocument/2006/relationships/hyperlink" Target="https://ceremoniesbyemma.com.au/" TargetMode="External" Id="rId266" /><Relationship Type="http://schemas.openxmlformats.org/officeDocument/2006/relationships/hyperlink" Target="https://www.google.com/maps/search/?api=1&amp;query=Ceremonies+by+Emma+Sunshine+Coast" TargetMode="External" Id="rId267" /><Relationship Type="http://schemas.openxmlformats.org/officeDocument/2006/relationships/hyperlink" Target="https://www.instagram.com/natalieskye_thesunnycelebrant" TargetMode="External" Id="rId268" /><Relationship Type="http://schemas.openxmlformats.org/officeDocument/2006/relationships/hyperlink" Target="https://www.facebook.com/thesunnycelebrantnatalieskye" TargetMode="External" Id="rId269" /><Relationship Type="http://schemas.openxmlformats.org/officeDocument/2006/relationships/hyperlink" Target="https://www.thesunnycelebrant.com.au/" TargetMode="External" Id="rId270" /><Relationship Type="http://schemas.openxmlformats.org/officeDocument/2006/relationships/hyperlink" Target="https://www.google.com/maps/search/?api=1&amp;query=The+Sunny+Celebrant+Sunshine+Coast" TargetMode="External" Id="rId271" /><Relationship Type="http://schemas.openxmlformats.org/officeDocument/2006/relationships/hyperlink" Target="https://www.instagram.com/elopementsnoosa" TargetMode="External" Id="rId272" /><Relationship Type="http://schemas.openxmlformats.org/officeDocument/2006/relationships/hyperlink" Target="https://www.facebook.com/elopementsnoosa" TargetMode="External" Id="rId273" /><Relationship Type="http://schemas.openxmlformats.org/officeDocument/2006/relationships/hyperlink" Target="https://suncoastweddingco.com/" TargetMode="External" Id="rId274" /><Relationship Type="http://schemas.openxmlformats.org/officeDocument/2006/relationships/hyperlink" Target="https://www.google.com/maps/search/?api=1&amp;query=Suncoast+Wedding+%26+Event+Hire+Co.+Sunshine+Coast" TargetMode="External" Id="rId275" /><Relationship Type="http://schemas.openxmlformats.org/officeDocument/2006/relationships/hyperlink" Target="https://www.instagram.com/theorangeblossom" TargetMode="External" Id="rId276" /><Relationship Type="http://schemas.openxmlformats.org/officeDocument/2006/relationships/hyperlink" Target="https://www.facebook.com/theorangeblossomaus" TargetMode="External" Id="rId277" /><Relationship Type="http://schemas.openxmlformats.org/officeDocument/2006/relationships/hyperlink" Target="https://www.theorangeblossom.com.au/" TargetMode="External" Id="rId278" /><Relationship Type="http://schemas.openxmlformats.org/officeDocument/2006/relationships/hyperlink" Target="https://www.google.com/maps/search/?api=1&amp;query=The+Orange+Blossom+Sunshine+Coast" TargetMode="External" Id="rId279" /><Relationship Type="http://schemas.openxmlformats.org/officeDocument/2006/relationships/hyperlink" Target="https://instagram.com/urbanbotanica_" TargetMode="External" Id="rId280" /><Relationship Type="http://schemas.openxmlformats.org/officeDocument/2006/relationships/hyperlink" Target="https://www.facebook.com/Urbanbotanica" TargetMode="External" Id="rId281" /><Relationship Type="http://schemas.openxmlformats.org/officeDocument/2006/relationships/hyperlink" Target="https://www.urbanbotanicanoosa.com/" TargetMode="External" Id="rId282" /><Relationship Type="http://schemas.openxmlformats.org/officeDocument/2006/relationships/hyperlink" Target="https://www.google.com/maps/search/?api=1&amp;query=Urban+Botanica+Noosa+Sunshine+Coast" TargetMode="External" Id="rId283" /><Relationship Type="http://schemas.openxmlformats.org/officeDocument/2006/relationships/hyperlink" Target="https://www.instagram.com/allurebridalstylists" TargetMode="External" Id="rId284" /><Relationship Type="http://schemas.openxmlformats.org/officeDocument/2006/relationships/hyperlink" Target="http://www.facebook.com/allurebridalstylists" TargetMode="External" Id="rId285" /><Relationship Type="http://schemas.openxmlformats.org/officeDocument/2006/relationships/hyperlink" Target="https://www.allurebridalstylists.com/" TargetMode="External" Id="rId286" /><Relationship Type="http://schemas.openxmlformats.org/officeDocument/2006/relationships/hyperlink" Target="https://www.google.com/maps/search/?api=1&amp;query=Allure+Bridal+Stylists+Sunshine+Coast" TargetMode="External" Id="rId287" /><Relationship Type="http://schemas.openxmlformats.org/officeDocument/2006/relationships/hyperlink" Target="https://www.instagram.com/bysarahjane" TargetMode="External" Id="rId288" /><Relationship Type="http://schemas.openxmlformats.org/officeDocument/2006/relationships/hyperlink" Target="https://www.facebook.com/bysarahjanemaleny" TargetMode="External" Id="rId289" /><Relationship Type="http://schemas.openxmlformats.org/officeDocument/2006/relationships/hyperlink" Target="https://www.bysarahjane.com.au/" TargetMode="External" Id="rId290" /><Relationship Type="http://schemas.openxmlformats.org/officeDocument/2006/relationships/hyperlink" Target="https://www.google.com/maps/search/?api=1&amp;query=By+Sarah+Jane+Sunshine+Coast" TargetMode="External" Id="rId291" /><Relationship Type="http://schemas.openxmlformats.org/officeDocument/2006/relationships/hyperlink" Target="https://www.instagram.com/hayleypatterson_hmua" TargetMode="External" Id="rId292" /><Relationship Type="http://schemas.openxmlformats.org/officeDocument/2006/relationships/hyperlink" Target="https://hayleypatterson.com.au/" TargetMode="External" Id="rId293" /><Relationship Type="http://schemas.openxmlformats.org/officeDocument/2006/relationships/hyperlink" Target="https://www.google.com/maps/search/?api=1&amp;query=Hayley+Patterson+Sunshine+Coast" TargetMode="External" Id="rId294" /><Relationship Type="http://schemas.openxmlformats.org/officeDocument/2006/relationships/hyperlink" Target="http://instagram.com/makeup_by_marlies" TargetMode="External" Id="rId295" /><Relationship Type="http://schemas.openxmlformats.org/officeDocument/2006/relationships/hyperlink" Target="https://www.facebook.com/makeupbymarlies.com.au" TargetMode="External" Id="rId296" /><Relationship Type="http://schemas.openxmlformats.org/officeDocument/2006/relationships/hyperlink" Target="https://makeupbymarlies.com.au/" TargetMode="External" Id="rId297" /><Relationship Type="http://schemas.openxmlformats.org/officeDocument/2006/relationships/hyperlink" Target="https://www.google.com/maps/search/?api=1&amp;query=Makeup+by+Marlies+Sunshine+Coast" TargetMode="External" Id="rId298" /><Relationship Type="http://schemas.openxmlformats.org/officeDocument/2006/relationships/hyperlink" Target="https://www.instagram.com/cupcake_elegance" TargetMode="External" Id="rId299" /><Relationship Type="http://schemas.openxmlformats.org/officeDocument/2006/relationships/hyperlink" Target="https://www.facebook.com/pg/Angela.CupcakeElegance" TargetMode="External" Id="rId300" /><Relationship Type="http://schemas.openxmlformats.org/officeDocument/2006/relationships/hyperlink" Target="https://cupcake-elegance.com.au/" TargetMode="External" Id="rId301" /><Relationship Type="http://schemas.openxmlformats.org/officeDocument/2006/relationships/hyperlink" Target="https://www.google.com/maps/search/?api=1&amp;query=Cupcake+Elegance+Sunshine+Coast" TargetMode="External" Id="rId302" /><Relationship Type="http://schemas.openxmlformats.org/officeDocument/2006/relationships/hyperlink" Target="https://www.instagram.com/lea.cake.design" TargetMode="External" Id="rId303" /><Relationship Type="http://schemas.openxmlformats.org/officeDocument/2006/relationships/hyperlink" Target="https://www.facebook.com/leacakeau" TargetMode="External" Id="rId304" /><Relationship Type="http://schemas.openxmlformats.org/officeDocument/2006/relationships/hyperlink" Target="https://leacakedesign.com.au/" TargetMode="External" Id="rId305" /><Relationship Type="http://schemas.openxmlformats.org/officeDocument/2006/relationships/hyperlink" Target="https://www.google.com/maps/search/?api=1&amp;query=Lea+Cake+Design+Sunshine+Coast" TargetMode="External" Id="rId306" /><Relationship Type="http://schemas.openxmlformats.org/officeDocument/2006/relationships/hyperlink" Target="https://www.instagram.com/sweetpcakesandcookies" TargetMode="External" Id="rId307" /><Relationship Type="http://schemas.openxmlformats.org/officeDocument/2006/relationships/hyperlink" Target="https://www.facebook.com/SweetPCakesandCookies" TargetMode="External" Id="rId308" /><Relationship Type="http://schemas.openxmlformats.org/officeDocument/2006/relationships/hyperlink" Target="https://www.sweetpcakesandcookies.com/" TargetMode="External" Id="rId309" /><Relationship Type="http://schemas.openxmlformats.org/officeDocument/2006/relationships/hyperlink" Target="https://www.google.com/maps/search/?api=1&amp;query=SweetP+Cakes+and+Cookies+Sunshine+Coast" TargetMode="External" Id="rId310" /><Relationship Type="http://schemas.openxmlformats.org/officeDocument/2006/relationships/hyperlink" Target="https://www.instagram.com/zoandcocakes%20" TargetMode="External" Id="rId311" /><Relationship Type="http://schemas.openxmlformats.org/officeDocument/2006/relationships/hyperlink" Target="https://www.facebook.com/zoandcocakes" TargetMode="External" Id="rId312" /><Relationship Type="http://schemas.openxmlformats.org/officeDocument/2006/relationships/hyperlink" Target="https://zoandco.com.au/" TargetMode="External" Id="rId313" /><Relationship Type="http://schemas.openxmlformats.org/officeDocument/2006/relationships/hyperlink" Target="https://www.google.com/maps/search/?api=1&amp;query=ZO%26Co.+Sunshine+Coast" TargetMode="External" Id="rId314" /><Relationship Type="http://schemas.openxmlformats.org/officeDocument/2006/relationships/hyperlink" Target="https://www.instagram.com/classicmustangeventcarhire" TargetMode="External" Id="rId315" /><Relationship Type="http://schemas.openxmlformats.org/officeDocument/2006/relationships/hyperlink" Target="https://www.facebook.com/ClassicMustangEventCarHire" TargetMode="External" Id="rId316" /><Relationship Type="http://schemas.openxmlformats.org/officeDocument/2006/relationships/hyperlink" Target="https://classicmustangeventcarhire.com.au/" TargetMode="External" Id="rId317" /><Relationship Type="http://schemas.openxmlformats.org/officeDocument/2006/relationships/hyperlink" Target="https://www.google.com/maps/search/?api=1&amp;query=Classic+Mustang+Event+Car+Hire+Sunshine+Coast" TargetMode="External" Id="rId318" /><Relationship Type="http://schemas.openxmlformats.org/officeDocument/2006/relationships/hyperlink" Target="https://www.instagram.com/mydriver_noosa" TargetMode="External" Id="rId319" /><Relationship Type="http://schemas.openxmlformats.org/officeDocument/2006/relationships/hyperlink" Target="https://www.facebook.com/mydrivernoosa" TargetMode="External" Id="rId320" /><Relationship Type="http://schemas.openxmlformats.org/officeDocument/2006/relationships/hyperlink" Target="https://mydrivernoosa.com.au/" TargetMode="External" Id="rId321" /><Relationship Type="http://schemas.openxmlformats.org/officeDocument/2006/relationships/hyperlink" Target="https://www.google.com/maps/search/?api=1&amp;query=My+Driver+Noosa+Sunshine+Coast" TargetMode="External" Id="rId322" /><Relationship Type="http://schemas.openxmlformats.org/officeDocument/2006/relationships/hyperlink" Target="https://www.instagram.com/noosawoodyhire" TargetMode="External" Id="rId323" /><Relationship Type="http://schemas.openxmlformats.org/officeDocument/2006/relationships/hyperlink" Target="https://www.facebook.com/noosawoodyhire" TargetMode="External" Id="rId324" /><Relationship Type="http://schemas.openxmlformats.org/officeDocument/2006/relationships/hyperlink" Target="https://noosawoodyhire.com.au/" TargetMode="External" Id="rId325" /><Relationship Type="http://schemas.openxmlformats.org/officeDocument/2006/relationships/hyperlink" Target="https://www.google.com/maps/search/?api=1&amp;query=Noosa+Woody+Hire+Sunshine+Coast" TargetMode="External" Id="rId326" /><Relationship Type="http://schemas.openxmlformats.org/officeDocument/2006/relationships/hyperlink" Target="https://www.instagram.com/lovebirdweddings" TargetMode="External" Id="rId327" /><Relationship Type="http://schemas.openxmlformats.org/officeDocument/2006/relationships/hyperlink" Target="https://www.facebook.com/lovebirdsandfriends" TargetMode="External" Id="rId328" /><Relationship Type="http://schemas.openxmlformats.org/officeDocument/2006/relationships/hyperlink" Target="https://www.lovebirdweddings.com.au/" TargetMode="External" Id="rId329" /><Relationship Type="http://schemas.openxmlformats.org/officeDocument/2006/relationships/hyperlink" Target="https://www.google.com/maps/search/?api=1&amp;query=Lovebird+Weddings+Sunshine+Coast" TargetMode="External" Id="rId330" /><Relationship Type="http://schemas.openxmlformats.org/officeDocument/2006/relationships/hyperlink" Target="https://instagram.com/noosaweddingandevents" TargetMode="External" Id="rId331" /><Relationship Type="http://schemas.openxmlformats.org/officeDocument/2006/relationships/hyperlink" Target="http://www.facebook.com/noosaweddingandevents" TargetMode="External" Id="rId332" /><Relationship Type="http://schemas.openxmlformats.org/officeDocument/2006/relationships/hyperlink" Target="https://www.noosaweddingandevents.com/" TargetMode="External" Id="rId333" /><Relationship Type="http://schemas.openxmlformats.org/officeDocument/2006/relationships/hyperlink" Target="https://www.google.com/maps/search/?api=1&amp;query=Noosa+Wedding+and+Events+Sunshine+Coast" TargetMode="External" Id="rId334" /><Relationship Type="http://schemas.openxmlformats.org/officeDocument/2006/relationships/hyperlink" Target="https://www.instagram.com/coolumsurfclub" TargetMode="External" Id="rId335" /><Relationship Type="http://schemas.openxmlformats.org/officeDocument/2006/relationships/hyperlink" Target="https://www.facebook.com/CoolumSurfClub" TargetMode="External" Id="rId336" /><Relationship Type="http://schemas.openxmlformats.org/officeDocument/2006/relationships/hyperlink" Target="https://coolumsurfclub.com/" TargetMode="External" Id="rId337" /><Relationship Type="http://schemas.openxmlformats.org/officeDocument/2006/relationships/hyperlink" Target="https://www.google.com/maps/search/?api=1&amp;query=Coolum+Surf+Club+Sunshine+Coast" TargetMode="External" Id="rId338" /><Relationship Type="http://schemas.openxmlformats.org/officeDocument/2006/relationships/hyperlink" Target="https://www.instagram.com/thebridestree" TargetMode="External" Id="rId339" /><Relationship Type="http://schemas.openxmlformats.org/officeDocument/2006/relationships/hyperlink" Target="https://www.facebook.com/thebridestree" TargetMode="External" Id="rId340" /><Relationship Type="http://schemas.openxmlformats.org/officeDocument/2006/relationships/hyperlink" Target="https://www.thebridestree.com.au/" TargetMode="External" Id="rId341" /><Relationship Type="http://schemas.openxmlformats.org/officeDocument/2006/relationships/hyperlink" Target="https://www.google.com/maps/search/?api=1&amp;query=The+Bride%27s+Tree+Sunshine+Coast" TargetMode="External" Id="rId342" /><Relationship Type="http://schemas.openxmlformats.org/officeDocument/2006/relationships/hyperlink" Target="https://www.instagram.com/theolddairymaleny" TargetMode="External" Id="rId343" /><Relationship Type="http://schemas.openxmlformats.org/officeDocument/2006/relationships/hyperlink" Target="https://www.facebook.com/theolddairymaleny" TargetMode="External" Id="rId344" /><Relationship Type="http://schemas.openxmlformats.org/officeDocument/2006/relationships/hyperlink" Target="http://theolddairymaleny.com.au/" TargetMode="External" Id="rId345" /><Relationship Type="http://schemas.openxmlformats.org/officeDocument/2006/relationships/hyperlink" Target="https://www.google.com/maps/search/?api=1&amp;query=The+Old+Dairy+Maleny+Sunshine+Coast" TargetMode="External" Id="rId346" /><Relationship Type="http://schemas.openxmlformats.org/officeDocument/2006/relationships/hyperlink" Target="https://www.instagram.com/bellestudioboutique" TargetMode="External" Id="rId347" /><Relationship Type="http://schemas.openxmlformats.org/officeDocument/2006/relationships/hyperlink" Target="https://www.facebook.com/carolyntaylorsmith13" TargetMode="External" Id="rId348" /><Relationship Type="http://schemas.openxmlformats.org/officeDocument/2006/relationships/hyperlink" Target="https://bellestudioboutique.com.au/" TargetMode="External" Id="rId349" /><Relationship Type="http://schemas.openxmlformats.org/officeDocument/2006/relationships/hyperlink" Target="https://www.google.com/maps/search/?api=1&amp;query=Belle+Studio+Toowoomba" TargetMode="External" Id="rId350" /><Relationship Type="http://schemas.openxmlformats.org/officeDocument/2006/relationships/hyperlink" Target="https://www.instagram.com/bridesoftoowoomba" TargetMode="External" Id="rId351" /><Relationship Type="http://schemas.openxmlformats.org/officeDocument/2006/relationships/hyperlink" Target="https://www.facebook.com/ferraritoowoomba" TargetMode="External" Id="rId352" /><Relationship Type="http://schemas.openxmlformats.org/officeDocument/2006/relationships/hyperlink" Target="https://www.bridesoftoowoomba.com.au/" TargetMode="External" Id="rId353" /><Relationship Type="http://schemas.openxmlformats.org/officeDocument/2006/relationships/hyperlink" Target="https://www.google.com/maps/search/?api=1&amp;query=Brides+of+Toowoomba+Toowoomba" TargetMode="External" Id="rId354" /><Relationship Type="http://schemas.openxmlformats.org/officeDocument/2006/relationships/hyperlink" Target="https://www.instagram.com/jacquelinemaybride" TargetMode="External" Id="rId355" /><Relationship Type="http://schemas.openxmlformats.org/officeDocument/2006/relationships/hyperlink" Target="https://jacquelinemaybride.com.au/" TargetMode="External" Id="rId356" /><Relationship Type="http://schemas.openxmlformats.org/officeDocument/2006/relationships/hyperlink" Target="https://www.google.com/maps/search/?api=1&amp;query=Jacqueline+May+Bride+Toowoomba" TargetMode="External" Id="rId357" /><Relationship Type="http://schemas.openxmlformats.org/officeDocument/2006/relationships/hyperlink" Target="https://www.instagram.com/serendipitycelebrationsqld" TargetMode="External" Id="rId358" /><Relationship Type="http://schemas.openxmlformats.org/officeDocument/2006/relationships/hyperlink" Target="https://www.facebook.com/2118452931802956" TargetMode="External" Id="rId359" /><Relationship Type="http://schemas.openxmlformats.org/officeDocument/2006/relationships/hyperlink" Target="https://serendipitycelebrations.com.au/" TargetMode="External" Id="rId360" /><Relationship Type="http://schemas.openxmlformats.org/officeDocument/2006/relationships/hyperlink" Target="https://www.google.com/maps/search/?api=1&amp;query=Serendipity+Celebrations+Toowoomba" TargetMode="External" Id="rId361" /><Relationship Type="http://schemas.openxmlformats.org/officeDocument/2006/relationships/hyperlink" Target="https://www.instagram.com/westridgeflorist" TargetMode="External" Id="rId362" /><Relationship Type="http://schemas.openxmlformats.org/officeDocument/2006/relationships/hyperlink" Target="https://www.facebook.com/westridgeflorist" TargetMode="External" Id="rId363" /><Relationship Type="http://schemas.openxmlformats.org/officeDocument/2006/relationships/hyperlink" Target="https://westridgeflorist.com.au/" TargetMode="External" Id="rId364" /><Relationship Type="http://schemas.openxmlformats.org/officeDocument/2006/relationships/hyperlink" Target="https://www.google.com/maps/search/?api=1&amp;query=Westridge+Florist+Toowoomba" TargetMode="External" Id="rId365" /><Relationship Type="http://schemas.openxmlformats.org/officeDocument/2006/relationships/hyperlink" Target="https://www.instagram.com/jilliciouscakes" TargetMode="External" Id="rId366" /><Relationship Type="http://schemas.openxmlformats.org/officeDocument/2006/relationships/hyperlink" Target="https://www.facebook.com/Jill-i-cious-Cakes-201876479872403" TargetMode="External" Id="rId367" /><Relationship Type="http://schemas.openxmlformats.org/officeDocument/2006/relationships/hyperlink" Target="https://www.jill-i-ciouscakes.com/" TargetMode="External" Id="rId368" /><Relationship Type="http://schemas.openxmlformats.org/officeDocument/2006/relationships/hyperlink" Target="https://www.google.com/maps/search/?api=1&amp;query=Jillicious+Cakes+Toowoomba" TargetMode="External" Id="rId369" /><Relationship Type="http://schemas.openxmlformats.org/officeDocument/2006/relationships/hyperlink" Target="https://www.facebook.com/TBeeblooms" TargetMode="External" Id="rId370" /><Relationship Type="http://schemas.openxmlformats.org/officeDocument/2006/relationships/hyperlink" Target="https://tbeeblooms.com/" TargetMode="External" Id="rId371" /><Relationship Type="http://schemas.openxmlformats.org/officeDocument/2006/relationships/hyperlink" Target="https://www.google.com/maps/search/?api=1&amp;query=TBee+Blooms+Townsville" TargetMode="External" Id="rId372" /><Relationship Type="http://schemas.openxmlformats.org/officeDocument/2006/relationships/hyperlink" Target="https://www.facebook.com/cakesoncarthew" TargetMode="External" Id="rId373" /><Relationship Type="http://schemas.openxmlformats.org/officeDocument/2006/relationships/hyperlink" Target="https://www.cakesoncarthew.com/" TargetMode="External" Id="rId374" /><Relationship Type="http://schemas.openxmlformats.org/officeDocument/2006/relationships/hyperlink" Target="https://www.google.com/maps/search/?api=1&amp;query=Cakes+on+Carthew+Townsville" TargetMode="External" Id="rId3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28" customWidth="1" min="4" max="4"/>
    <col width="16" customWidth="1" min="5" max="5"/>
    <col width="14" customWidth="1" min="6" max="6"/>
    <col width="11" customWidth="1" min="7" max="7"/>
    <col width="30" customWidth="1" min="8" max="8"/>
    <col width="30" customWidth="1" min="9" max="9"/>
    <col width="16" customWidth="1" min="10" max="10"/>
    <col width="30" customWidth="1" min="11" max="11"/>
    <col width="40" customWidth="1" min="12" max="12"/>
    <col width="7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DM on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What we found</t>
        </is>
      </c>
      <c r="M1" s="1" t="inlineStr">
        <is>
          <t>Suggested first DM (fill the [bracket] first)</t>
        </is>
      </c>
      <c r="N1" s="1" t="inlineStr">
        <is>
          <t>Check on Google Maps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contacted</t>
        </is>
      </c>
      <c r="R1" s="1" t="inlineStr">
        <is>
          <t>Follow-up date</t>
        </is>
      </c>
      <c r="S1" s="1" t="inlineStr">
        <is>
          <t>Notes</t>
        </is>
      </c>
    </row>
    <row r="2">
      <c r="A2" s="2" t="n">
        <v>1</v>
      </c>
      <c r="B2" s="3" t="inlineStr">
        <is>
          <t>MEDIUM</t>
        </is>
      </c>
      <c r="C2" s="2" t="inlineStr">
        <is>
          <t>Weak website</t>
        </is>
      </c>
      <c r="D2" s="2" t="inlineStr">
        <is>
          <t>Lark Music</t>
        </is>
      </c>
      <c r="E2" s="2" t="inlineStr">
        <is>
          <t>DJ or band</t>
        </is>
      </c>
      <c r="F2" s="2" t="inlineStr">
        <is>
          <t>Brisbane</t>
        </is>
      </c>
      <c r="G2" s="2" t="inlineStr">
        <is>
          <t>Instagram</t>
        </is>
      </c>
      <c r="H2" s="4" t="inlineStr">
        <is>
          <t>https://www.instagram.com/larkmusic</t>
        </is>
      </c>
      <c r="I2" s="4" t="inlineStr">
        <is>
          <t>https://www.facebook.com/LarkMusic</t>
        </is>
      </c>
      <c r="J2" s="2" t="inlineStr"/>
      <c r="K2" s="4" t="inlineStr">
        <is>
          <t>https://larkmusic.com.au/</t>
        </is>
      </c>
      <c r="L2" s="2" t="inlineStr">
        <is>
          <t>slow to load (7.4s)</t>
        </is>
      </c>
      <c r="M2" s="2" t="inlineStr">
        <is>
          <t>Hi Lark Music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2" s="4" t="inlineStr">
        <is>
          <t>Open map</t>
        </is>
      </c>
      <c r="O2" s="2" t="inlineStr">
        <is>
          <t>Not contacted</t>
        </is>
      </c>
      <c r="P2" s="2" t="inlineStr"/>
      <c r="Q2" s="2" t="inlineStr"/>
      <c r="R2" s="2" t="inlineStr"/>
      <c r="S2" s="2" t="inlineStr"/>
    </row>
    <row r="3">
      <c r="A3" s="2" t="n">
        <v>2</v>
      </c>
      <c r="B3" s="3" t="inlineStr">
        <is>
          <t>MEDIUM</t>
        </is>
      </c>
      <c r="C3" s="2" t="inlineStr">
        <is>
          <t>Weak website</t>
        </is>
      </c>
      <c r="D3" s="2" t="inlineStr">
        <is>
          <t>Professional DJs</t>
        </is>
      </c>
      <c r="E3" s="2" t="inlineStr">
        <is>
          <t>DJ or band</t>
        </is>
      </c>
      <c r="F3" s="2" t="inlineStr">
        <is>
          <t>Brisbane</t>
        </is>
      </c>
      <c r="G3" s="2" t="inlineStr">
        <is>
          <t>Instagram</t>
        </is>
      </c>
      <c r="H3" s="4" t="inlineStr">
        <is>
          <t>https://www.instagram.com/colliersdjmcphotobooths</t>
        </is>
      </c>
      <c r="I3" s="4" t="inlineStr">
        <is>
          <t>https://www.facebook.com/paulcollierweddingdj.com.au</t>
        </is>
      </c>
      <c r="J3" s="2" t="inlineStr"/>
      <c r="K3" s="4" t="inlineStr">
        <is>
          <t>https://www.professionaldjs.com.au/</t>
        </is>
      </c>
      <c r="L3" s="2" t="inlineStr">
        <is>
          <t>slow to load (5.5s)</t>
        </is>
      </c>
      <c r="M3" s="2" t="inlineStr">
        <is>
          <t>Hi Professional DJs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" s="4" t="inlineStr">
        <is>
          <t>Open map</t>
        </is>
      </c>
      <c r="O3" s="2" t="inlineStr">
        <is>
          <t>Not contacted</t>
        </is>
      </c>
      <c r="P3" s="2" t="inlineStr"/>
      <c r="Q3" s="2" t="inlineStr"/>
      <c r="R3" s="2" t="inlineStr"/>
      <c r="S3" s="2" t="inlineStr"/>
    </row>
    <row r="4">
      <c r="A4" s="2" t="n">
        <v>3</v>
      </c>
      <c r="B4" s="3" t="inlineStr">
        <is>
          <t>MEDIUM</t>
        </is>
      </c>
      <c r="C4" s="2" t="inlineStr">
        <is>
          <t>Weak website</t>
        </is>
      </c>
      <c r="D4" s="2" t="inlineStr">
        <is>
          <t>Two Hearts Bridal Studio</t>
        </is>
      </c>
      <c r="E4" s="2" t="inlineStr">
        <is>
          <t>bridal shop</t>
        </is>
      </c>
      <c r="F4" s="2" t="inlineStr">
        <is>
          <t>Brisbane</t>
        </is>
      </c>
      <c r="G4" s="2" t="inlineStr">
        <is>
          <t>Instagram</t>
        </is>
      </c>
      <c r="H4" s="4" t="inlineStr">
        <is>
          <t>https://www.instagram.com/twoheartsbridalstudio</t>
        </is>
      </c>
      <c r="I4" s="4" t="inlineStr">
        <is>
          <t>https://www.facebook.com/TwoHeartsBridalStudio</t>
        </is>
      </c>
      <c r="J4" s="2" t="inlineStr"/>
      <c r="K4" s="4" t="inlineStr">
        <is>
          <t>https://www.twoheartsbridalstudio.com/</t>
        </is>
      </c>
      <c r="L4" s="2" t="inlineStr">
        <is>
          <t>looks outdated (copyright 2016)</t>
        </is>
      </c>
      <c r="M4" s="2" t="inlineStr">
        <is>
          <t>Hi Two Hearts Bridal Studio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" s="4" t="inlineStr">
        <is>
          <t>Open map</t>
        </is>
      </c>
      <c r="O4" s="2" t="inlineStr">
        <is>
          <t>Not contacted</t>
        </is>
      </c>
      <c r="P4" s="2" t="inlineStr"/>
      <c r="Q4" s="2" t="inlineStr"/>
      <c r="R4" s="2" t="inlineStr"/>
      <c r="S4" s="2" t="inlineStr"/>
    </row>
    <row r="5">
      <c r="A5" s="2" t="n">
        <v>4</v>
      </c>
      <c r="B5" s="3" t="inlineStr">
        <is>
          <t>MEDIUM</t>
        </is>
      </c>
      <c r="C5" s="2" t="inlineStr">
        <is>
          <t>Weak website</t>
        </is>
      </c>
      <c r="D5" s="2" t="inlineStr">
        <is>
          <t>White Atelier Bridal</t>
        </is>
      </c>
      <c r="E5" s="2" t="inlineStr">
        <is>
          <t>bridal shop</t>
        </is>
      </c>
      <c r="F5" s="2" t="inlineStr">
        <is>
          <t>Brisbane</t>
        </is>
      </c>
      <c r="G5" s="2" t="inlineStr">
        <is>
          <t>Instagram</t>
        </is>
      </c>
      <c r="H5" s="4" t="inlineStr">
        <is>
          <t>https://www.instagram.com/whiteatelierbridal</t>
        </is>
      </c>
      <c r="I5" s="4" t="inlineStr">
        <is>
          <t>https://www.facebook.com/whiteatelierbridal</t>
        </is>
      </c>
      <c r="J5" s="2" t="inlineStr"/>
      <c r="K5" s="4" t="inlineStr">
        <is>
          <t>https://whiteatelierbridal.com/</t>
        </is>
      </c>
      <c r="L5" s="2" t="inlineStr">
        <is>
          <t>slow to load (3.9s)</t>
        </is>
      </c>
      <c r="M5" s="2" t="inlineStr">
        <is>
          <t>Hi White Atelier Bridal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" s="4" t="inlineStr">
        <is>
          <t>Open map</t>
        </is>
      </c>
      <c r="O5" s="2" t="inlineStr">
        <is>
          <t>Not contacted</t>
        </is>
      </c>
      <c r="P5" s="2" t="inlineStr"/>
      <c r="Q5" s="2" t="inlineStr"/>
      <c r="R5" s="2" t="inlineStr"/>
      <c r="S5" s="2" t="inlineStr"/>
    </row>
    <row r="6">
      <c r="A6" s="2" t="n">
        <v>5</v>
      </c>
      <c r="B6" s="3" t="inlineStr">
        <is>
          <t>MEDIUM</t>
        </is>
      </c>
      <c r="C6" s="2" t="inlineStr">
        <is>
          <t>Weak website</t>
        </is>
      </c>
      <c r="D6" s="2" t="inlineStr">
        <is>
          <t>The Wright Celebrant</t>
        </is>
      </c>
      <c r="E6" s="2" t="inlineStr">
        <is>
          <t>celebrant</t>
        </is>
      </c>
      <c r="F6" s="2" t="inlineStr">
        <is>
          <t>Brisbane</t>
        </is>
      </c>
      <c r="G6" s="2" t="inlineStr">
        <is>
          <t>Instagram</t>
        </is>
      </c>
      <c r="H6" s="4" t="inlineStr">
        <is>
          <t>https://www.instagram.com/thewrightcelebrant</t>
        </is>
      </c>
      <c r="I6" s="4" t="inlineStr">
        <is>
          <t>https://www.facebook.com/pg/The.Wright.Celebrant/reviews</t>
        </is>
      </c>
      <c r="J6" s="2" t="inlineStr"/>
      <c r="K6" s="4" t="inlineStr">
        <is>
          <t>https://thewrightcelebrant.com.au/</t>
        </is>
      </c>
      <c r="L6" s="2" t="inlineStr">
        <is>
          <t>looks outdated (copyright 2018)</t>
        </is>
      </c>
      <c r="M6" s="2" t="inlineStr">
        <is>
          <t>Hi The Wright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" s="4" t="inlineStr">
        <is>
          <t>Open map</t>
        </is>
      </c>
      <c r="O6" s="2" t="inlineStr">
        <is>
          <t>Not contacted</t>
        </is>
      </c>
      <c r="P6" s="2" t="inlineStr"/>
      <c r="Q6" s="2" t="inlineStr"/>
      <c r="R6" s="2" t="inlineStr"/>
      <c r="S6" s="2" t="inlineStr"/>
    </row>
    <row r="7">
      <c r="A7" s="2" t="n">
        <v>6</v>
      </c>
      <c r="B7" s="3" t="inlineStr">
        <is>
          <t>MEDIUM</t>
        </is>
      </c>
      <c r="C7" s="2" t="inlineStr">
        <is>
          <t>Weak website</t>
        </is>
      </c>
      <c r="D7" s="2" t="inlineStr">
        <is>
          <t>The Wedding Harvest</t>
        </is>
      </c>
      <c r="E7" s="2" t="inlineStr">
        <is>
          <t>event hire</t>
        </is>
      </c>
      <c r="F7" s="2" t="inlineStr">
        <is>
          <t>Brisbane</t>
        </is>
      </c>
      <c r="G7" s="2" t="inlineStr">
        <is>
          <t>Instagram</t>
        </is>
      </c>
      <c r="H7" s="4" t="inlineStr">
        <is>
          <t>https://www.instagram.com/theweddingharvest</t>
        </is>
      </c>
      <c r="I7" s="4" t="inlineStr">
        <is>
          <t>https://www.facebook.com/TheWeddingHarvest</t>
        </is>
      </c>
      <c r="J7" s="2" t="inlineStr"/>
      <c r="K7" s="4" t="inlineStr">
        <is>
          <t>http://theweddingharvest.com/</t>
        </is>
      </c>
      <c r="L7" s="2" t="inlineStr">
        <is>
          <t>no HTTPS (browser shows 'Not secure'); looks outdated (copyright 2020)</t>
        </is>
      </c>
      <c r="M7" s="2" t="inlineStr">
        <is>
          <t>Hi The Wedding Harvest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" s="4" t="inlineStr">
        <is>
          <t>Open map</t>
        </is>
      </c>
      <c r="O7" s="2" t="inlineStr">
        <is>
          <t>Not contacted</t>
        </is>
      </c>
      <c r="P7" s="2" t="inlineStr"/>
      <c r="Q7" s="2" t="inlineStr"/>
      <c r="R7" s="2" t="inlineStr"/>
      <c r="S7" s="2" t="inlineStr"/>
    </row>
    <row r="8">
      <c r="A8" s="2" t="n">
        <v>7</v>
      </c>
      <c r="B8" s="3" t="inlineStr">
        <is>
          <t>MEDIUM</t>
        </is>
      </c>
      <c r="C8" s="2" t="inlineStr">
        <is>
          <t>Weak website</t>
        </is>
      </c>
      <c r="D8" s="2" t="inlineStr">
        <is>
          <t>Bella Brides</t>
        </is>
      </c>
      <c r="E8" s="2" t="inlineStr">
        <is>
          <t>hair and makeup</t>
        </is>
      </c>
      <c r="F8" s="2" t="inlineStr">
        <is>
          <t>Brisbane</t>
        </is>
      </c>
      <c r="G8" s="2" t="inlineStr">
        <is>
          <t>Instagram</t>
        </is>
      </c>
      <c r="H8" s="4" t="inlineStr">
        <is>
          <t>https://www.instagram.com/bella_brides</t>
        </is>
      </c>
      <c r="I8" s="4" t="inlineStr">
        <is>
          <t>https://www.facebook.com/bellabrideshairandmakeup</t>
        </is>
      </c>
      <c r="J8" s="2" t="inlineStr"/>
      <c r="K8" s="4" t="inlineStr">
        <is>
          <t>https://www.bellabrides.com.au/</t>
        </is>
      </c>
      <c r="L8" s="2" t="inlineStr">
        <is>
          <t>looks outdated (copyright 2015)</t>
        </is>
      </c>
      <c r="M8" s="2" t="inlineStr">
        <is>
          <t>Hi Bella Brides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" s="4" t="inlineStr">
        <is>
          <t>Open map</t>
        </is>
      </c>
      <c r="O8" s="2" t="inlineStr">
        <is>
          <t>Not contacted</t>
        </is>
      </c>
      <c r="P8" s="2" t="inlineStr"/>
      <c r="Q8" s="2" t="inlineStr"/>
      <c r="R8" s="2" t="inlineStr"/>
      <c r="S8" s="2" t="inlineStr"/>
    </row>
    <row r="9">
      <c r="A9" s="2" t="n">
        <v>8</v>
      </c>
      <c r="B9" s="3" t="inlineStr">
        <is>
          <t>MEDIUM</t>
        </is>
      </c>
      <c r="C9" s="2" t="inlineStr">
        <is>
          <t>Weak website</t>
        </is>
      </c>
      <c r="D9" s="2" t="inlineStr">
        <is>
          <t>Katie Young's Cakes</t>
        </is>
      </c>
      <c r="E9" s="2" t="inlineStr">
        <is>
          <t>wedding cakes</t>
        </is>
      </c>
      <c r="F9" s="2" t="inlineStr">
        <is>
          <t>Brisbane</t>
        </is>
      </c>
      <c r="G9" s="2" t="inlineStr">
        <is>
          <t>Instagram</t>
        </is>
      </c>
      <c r="H9" s="4" t="inlineStr">
        <is>
          <t>https://www.instagram.com/katieyoungscakes</t>
        </is>
      </c>
      <c r="I9" s="4" t="inlineStr">
        <is>
          <t>https://www.facebook.com/pages/Katie-Youngs-Cakes/152324272365</t>
        </is>
      </c>
      <c r="J9" s="2" t="inlineStr"/>
      <c r="K9" s="4" t="inlineStr">
        <is>
          <t>https://www.katieyoungscakes.com/</t>
        </is>
      </c>
      <c r="L9" s="2" t="inlineStr">
        <is>
          <t>looks outdated (copyright 2021)</t>
        </is>
      </c>
      <c r="M9" s="2" t="inlineStr">
        <is>
          <t>Hi Katie Young's Cakes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" s="4" t="inlineStr">
        <is>
          <t>Open map</t>
        </is>
      </c>
      <c r="O9" s="2" t="inlineStr">
        <is>
          <t>Not contacted</t>
        </is>
      </c>
      <c r="P9" s="2" t="inlineStr"/>
      <c r="Q9" s="2" t="inlineStr"/>
      <c r="R9" s="2" t="inlineStr"/>
      <c r="S9" s="2" t="inlineStr"/>
    </row>
    <row r="10">
      <c r="A10" s="2" t="n">
        <v>9</v>
      </c>
      <c r="B10" s="3" t="inlineStr">
        <is>
          <t>MEDIUM</t>
        </is>
      </c>
      <c r="C10" s="2" t="inlineStr">
        <is>
          <t>Weak website</t>
        </is>
      </c>
      <c r="D10" s="2" t="inlineStr">
        <is>
          <t>Zoe Clark Cakes</t>
        </is>
      </c>
      <c r="E10" s="2" t="inlineStr">
        <is>
          <t>wedding cakes</t>
        </is>
      </c>
      <c r="F10" s="2" t="inlineStr">
        <is>
          <t>Brisbane</t>
        </is>
      </c>
      <c r="G10" s="2" t="inlineStr">
        <is>
          <t>Instagram</t>
        </is>
      </c>
      <c r="H10" s="4" t="inlineStr">
        <is>
          <t>https://www.instagram.com/zoeclarkcakes</t>
        </is>
      </c>
      <c r="I10" s="4" t="inlineStr">
        <is>
          <t>https://www.facebook.com/pg/zoeclarkcakes</t>
        </is>
      </c>
      <c r="J10" s="2" t="inlineStr"/>
      <c r="K10" s="4" t="inlineStr">
        <is>
          <t>https://www.zoeclarkcakes.com/</t>
        </is>
      </c>
      <c r="L10" s="2" t="inlineStr">
        <is>
          <t>looks outdated (copyright 2020)</t>
        </is>
      </c>
      <c r="M10" s="2" t="inlineStr">
        <is>
          <t>Hi Zoe Clark Cakes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" s="4" t="inlineStr">
        <is>
          <t>Open map</t>
        </is>
      </c>
      <c r="O10" s="2" t="inlineStr">
        <is>
          <t>Not contacted</t>
        </is>
      </c>
      <c r="P10" s="2" t="inlineStr"/>
      <c r="Q10" s="2" t="inlineStr"/>
      <c r="R10" s="2" t="inlineStr"/>
      <c r="S10" s="2" t="inlineStr"/>
    </row>
    <row r="11">
      <c r="A11" s="2" t="n">
        <v>10</v>
      </c>
      <c r="B11" s="3" t="inlineStr">
        <is>
          <t>MEDIUM</t>
        </is>
      </c>
      <c r="C11" s="2" t="inlineStr">
        <is>
          <t>Weak website</t>
        </is>
      </c>
      <c r="D11" s="2" t="inlineStr">
        <is>
          <t>All Limousine Transfers</t>
        </is>
      </c>
      <c r="E11" s="2" t="inlineStr">
        <is>
          <t>wedding cars</t>
        </is>
      </c>
      <c r="F11" s="2" t="inlineStr">
        <is>
          <t>Brisbane</t>
        </is>
      </c>
      <c r="G11" s="2" t="inlineStr">
        <is>
          <t>Facebook</t>
        </is>
      </c>
      <c r="H11" s="2" t="inlineStr"/>
      <c r="I11" s="4" t="inlineStr">
        <is>
          <t>https://www.facebook.com/AllLimousineTransfers</t>
        </is>
      </c>
      <c r="J11" s="2" t="inlineStr"/>
      <c r="K11" s="4" t="inlineStr">
        <is>
          <t>https://alllimousinetransfers.com/</t>
        </is>
      </c>
      <c r="L11" s="2" t="inlineStr">
        <is>
          <t>looks outdated (copyright 2021); slow to load (4.2s)</t>
        </is>
      </c>
      <c r="M11" s="2" t="inlineStr">
        <is>
          <t>Hi All Limousine Transfers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1" s="4" t="inlineStr">
        <is>
          <t>Open map</t>
        </is>
      </c>
      <c r="O11" s="2" t="inlineStr">
        <is>
          <t>Not contacted</t>
        </is>
      </c>
      <c r="P11" s="2" t="inlineStr"/>
      <c r="Q11" s="2" t="inlineStr"/>
      <c r="R11" s="2" t="inlineStr"/>
      <c r="S11" s="2" t="inlineStr"/>
    </row>
    <row r="12">
      <c r="A12" s="2" t="n">
        <v>11</v>
      </c>
      <c r="B12" s="3" t="inlineStr">
        <is>
          <t>MEDIUM</t>
        </is>
      </c>
      <c r="C12" s="2" t="inlineStr">
        <is>
          <t>Weak website</t>
        </is>
      </c>
      <c r="D12" s="2" t="inlineStr">
        <is>
          <t>Melanie Jane Weddings and Events</t>
        </is>
      </c>
      <c r="E12" s="2" t="inlineStr">
        <is>
          <t>wedding planner or stylist</t>
        </is>
      </c>
      <c r="F12" s="2" t="inlineStr">
        <is>
          <t>Brisbane</t>
        </is>
      </c>
      <c r="G12" s="2" t="inlineStr">
        <is>
          <t>Instagram</t>
        </is>
      </c>
      <c r="H12" s="4" t="inlineStr">
        <is>
          <t>https://www.instagram.com/melaniejaneweddingsandevents</t>
        </is>
      </c>
      <c r="I12" s="4" t="inlineStr">
        <is>
          <t>https://www.facebook.com/melaniejaneweddingsandevents</t>
        </is>
      </c>
      <c r="J12" s="2" t="inlineStr"/>
      <c r="K12" s="4" t="inlineStr">
        <is>
          <t>https://melaniejaneweddingsandevents.com.au/</t>
        </is>
      </c>
      <c r="L12" s="2" t="inlineStr">
        <is>
          <t>slow to load (3.7s)</t>
        </is>
      </c>
      <c r="M12" s="2" t="inlineStr">
        <is>
          <t>Hi Melanie Jane Weddings and Events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2" s="4" t="inlineStr">
        <is>
          <t>Open map</t>
        </is>
      </c>
      <c r="O12" s="2" t="inlineStr">
        <is>
          <t>Not contacted</t>
        </is>
      </c>
      <c r="P12" s="2" t="inlineStr"/>
      <c r="Q12" s="2" t="inlineStr"/>
      <c r="R12" s="2" t="inlineStr"/>
      <c r="S12" s="2" t="inlineStr"/>
    </row>
    <row r="13">
      <c r="A13" s="2" t="n">
        <v>12</v>
      </c>
      <c r="B13" s="3" t="inlineStr">
        <is>
          <t>MEDIUM</t>
        </is>
      </c>
      <c r="C13" s="2" t="inlineStr">
        <is>
          <t>Weak website</t>
        </is>
      </c>
      <c r="D13" s="2" t="inlineStr">
        <is>
          <t>Raw Blooms</t>
        </is>
      </c>
      <c r="E13" s="2" t="inlineStr">
        <is>
          <t>florist</t>
        </is>
      </c>
      <c r="F13" s="2" t="inlineStr">
        <is>
          <t>Bundaberg</t>
        </is>
      </c>
      <c r="G13" s="2" t="inlineStr">
        <is>
          <t>Instagram</t>
        </is>
      </c>
      <c r="H13" s="4" t="inlineStr">
        <is>
          <t>https://www.instagram.com/rawbloomsgingin</t>
        </is>
      </c>
      <c r="I13" s="4" t="inlineStr">
        <is>
          <t>https://www.facebook.com/rawbloomsgingin</t>
        </is>
      </c>
      <c r="J13" s="2" t="inlineStr"/>
      <c r="K13" s="4" t="inlineStr">
        <is>
          <t>https://www.rawblooms.com.au/</t>
        </is>
      </c>
      <c r="L13" s="2" t="inlineStr">
        <is>
          <t>looks outdated (copyright 2023)</t>
        </is>
      </c>
      <c r="M13" s="2" t="inlineStr">
        <is>
          <t>Hi Raw Blooms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3" s="4" t="inlineStr">
        <is>
          <t>Open map</t>
        </is>
      </c>
      <c r="O13" s="2" t="inlineStr">
        <is>
          <t>Not contacted</t>
        </is>
      </c>
      <c r="P13" s="2" t="inlineStr"/>
      <c r="Q13" s="2" t="inlineStr"/>
      <c r="R13" s="2" t="inlineStr"/>
      <c r="S13" s="2" t="inlineStr"/>
    </row>
    <row r="14">
      <c r="A14" s="2" t="n">
        <v>13</v>
      </c>
      <c r="B14" s="3" t="inlineStr">
        <is>
          <t>MEDIUM</t>
        </is>
      </c>
      <c r="C14" s="2" t="inlineStr">
        <is>
          <t>Weak website</t>
        </is>
      </c>
      <c r="D14" s="2" t="inlineStr">
        <is>
          <t>Young Australian Hotel</t>
        </is>
      </c>
      <c r="E14" s="2" t="inlineStr">
        <is>
          <t>wedding venue</t>
        </is>
      </c>
      <c r="F14" s="2" t="inlineStr">
        <is>
          <t>Bundaberg</t>
        </is>
      </c>
      <c r="G14" s="2" t="inlineStr">
        <is>
          <t>Instagram</t>
        </is>
      </c>
      <c r="H14" s="4" t="inlineStr">
        <is>
          <t>https://instagram.com/youngaussiebundy</t>
        </is>
      </c>
      <c r="I14" s="4" t="inlineStr">
        <is>
          <t>https://www.facebook.com/YoungAustralianHotel</t>
        </is>
      </c>
      <c r="J14" s="2" t="inlineStr"/>
      <c r="K14" s="4" t="inlineStr">
        <is>
          <t>https://youngaustralianhotel.com.au/</t>
        </is>
      </c>
      <c r="L14" s="2" t="inlineStr">
        <is>
          <t>missing meta description</t>
        </is>
      </c>
      <c r="M14" s="2" t="inlineStr">
        <is>
          <t>Hi Young Australian Hotel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4" s="4" t="inlineStr">
        <is>
          <t>Open map</t>
        </is>
      </c>
      <c r="O14" s="2" t="inlineStr">
        <is>
          <t>Not contacted</t>
        </is>
      </c>
      <c r="P14" s="2" t="inlineStr"/>
      <c r="Q14" s="2" t="inlineStr"/>
      <c r="R14" s="2" t="inlineStr"/>
      <c r="S14" s="2" t="inlineStr"/>
    </row>
    <row r="15">
      <c r="A15" s="2" t="n">
        <v>14</v>
      </c>
      <c r="B15" s="3" t="inlineStr">
        <is>
          <t>MEDIUM</t>
        </is>
      </c>
      <c r="C15" s="2" t="inlineStr">
        <is>
          <t>Weak website</t>
        </is>
      </c>
      <c r="D15" s="2" t="inlineStr">
        <is>
          <t>Cairns Weddings - Kay Earl Celebrant</t>
        </is>
      </c>
      <c r="E15" s="2" t="inlineStr">
        <is>
          <t>celebrant</t>
        </is>
      </c>
      <c r="F15" s="2" t="inlineStr">
        <is>
          <t>Cairns</t>
        </is>
      </c>
      <c r="G15" s="2" t="inlineStr">
        <is>
          <t>Facebook</t>
        </is>
      </c>
      <c r="H15" s="2" t="inlineStr"/>
      <c r="I15" s="4" t="inlineStr">
        <is>
          <t>https://www.facebook.com/CairnsWeddings</t>
        </is>
      </c>
      <c r="J15" s="2" t="inlineStr"/>
      <c r="K15" s="4" t="inlineStr">
        <is>
          <t>https://cairnsweddings.com.au/</t>
        </is>
      </c>
      <c r="L15" s="2" t="inlineStr">
        <is>
          <t>looks outdated (copyright 2019)</t>
        </is>
      </c>
      <c r="M15" s="2" t="inlineStr">
        <is>
          <t>Hi Cairns Weddings - Kay Earl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5" s="4" t="inlineStr">
        <is>
          <t>Open map</t>
        </is>
      </c>
      <c r="O15" s="2" t="inlineStr">
        <is>
          <t>Not contacted</t>
        </is>
      </c>
      <c r="P15" s="2" t="inlineStr"/>
      <c r="Q15" s="2" t="inlineStr"/>
      <c r="R15" s="2" t="inlineStr"/>
      <c r="S15" s="2" t="inlineStr"/>
    </row>
    <row r="16">
      <c r="A16" s="2" t="n">
        <v>15</v>
      </c>
      <c r="B16" s="3" t="inlineStr">
        <is>
          <t>MEDIUM</t>
        </is>
      </c>
      <c r="C16" s="2" t="inlineStr">
        <is>
          <t>Weak website</t>
        </is>
      </c>
      <c r="D16" s="2" t="inlineStr">
        <is>
          <t>Holy Matrimony Celebrant</t>
        </is>
      </c>
      <c r="E16" s="2" t="inlineStr">
        <is>
          <t>celebrant</t>
        </is>
      </c>
      <c r="F16" s="2" t="inlineStr">
        <is>
          <t>Cairns</t>
        </is>
      </c>
      <c r="G16" s="2" t="inlineStr">
        <is>
          <t>Instagram</t>
        </is>
      </c>
      <c r="H16" s="4" t="inlineStr">
        <is>
          <t>https://www.instagram.com/holymatrimonty</t>
        </is>
      </c>
      <c r="I16" s="4" t="inlineStr">
        <is>
          <t>https://www.facebook.com/holymatrimonty</t>
        </is>
      </c>
      <c r="J16" s="2" t="inlineStr"/>
      <c r="K16" s="4" t="inlineStr">
        <is>
          <t>https://www.holymatrimonty.com.au/</t>
        </is>
      </c>
      <c r="L16" s="2" t="inlineStr">
        <is>
          <t>looks outdated (copyright 2023)</t>
        </is>
      </c>
      <c r="M16" s="2" t="inlineStr">
        <is>
          <t>Hi Holy Matrimony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6" s="4" t="inlineStr">
        <is>
          <t>Open map</t>
        </is>
      </c>
      <c r="O16" s="2" t="inlineStr">
        <is>
          <t>Not contacted</t>
        </is>
      </c>
      <c r="P16" s="2" t="inlineStr"/>
      <c r="Q16" s="2" t="inlineStr"/>
      <c r="R16" s="2" t="inlineStr"/>
      <c r="S16" s="2" t="inlineStr"/>
    </row>
    <row r="17">
      <c r="A17" s="2" t="n">
        <v>16</v>
      </c>
      <c r="B17" s="3" t="inlineStr">
        <is>
          <t>MEDIUM</t>
        </is>
      </c>
      <c r="C17" s="2" t="inlineStr">
        <is>
          <t>Weak website</t>
        </is>
      </c>
      <c r="D17" s="2" t="inlineStr">
        <is>
          <t>NQCelebrations</t>
        </is>
      </c>
      <c r="E17" s="2" t="inlineStr">
        <is>
          <t>celebrant</t>
        </is>
      </c>
      <c r="F17" s="2" t="inlineStr">
        <is>
          <t>Cairns</t>
        </is>
      </c>
      <c r="G17" s="2" t="inlineStr">
        <is>
          <t>Instagram</t>
        </is>
      </c>
      <c r="H17" s="4" t="inlineStr">
        <is>
          <t>https://instagram.com/NQCelebrations</t>
        </is>
      </c>
      <c r="I17" s="4" t="inlineStr">
        <is>
          <t>https://www.facebook.com/NQCelebrationsCairnsMarriageCelebrant</t>
        </is>
      </c>
      <c r="J17" s="2" t="inlineStr"/>
      <c r="K17" s="4" t="inlineStr">
        <is>
          <t>https://nqcelebrations.com/</t>
        </is>
      </c>
      <c r="L17" s="2" t="inlineStr">
        <is>
          <t>slow to load (3.4s)</t>
        </is>
      </c>
      <c r="M17" s="2" t="inlineStr">
        <is>
          <t>Hi NQCelebrations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7" s="4" t="inlineStr">
        <is>
          <t>Open map</t>
        </is>
      </c>
      <c r="O17" s="2" t="inlineStr">
        <is>
          <t>Not contacted</t>
        </is>
      </c>
      <c r="P17" s="2" t="inlineStr"/>
      <c r="Q17" s="2" t="inlineStr"/>
      <c r="R17" s="2" t="inlineStr"/>
      <c r="S17" s="2" t="inlineStr"/>
    </row>
    <row r="18">
      <c r="A18" s="2" t="n">
        <v>17</v>
      </c>
      <c r="B18" s="3" t="inlineStr">
        <is>
          <t>MEDIUM</t>
        </is>
      </c>
      <c r="C18" s="2" t="inlineStr">
        <is>
          <t>Weak website</t>
        </is>
      </c>
      <c r="D18" s="2" t="inlineStr">
        <is>
          <t>Cairns Secret Garden</t>
        </is>
      </c>
      <c r="E18" s="2" t="inlineStr">
        <is>
          <t>wedding venue</t>
        </is>
      </c>
      <c r="F18" s="2" t="inlineStr">
        <is>
          <t>Cairns</t>
        </is>
      </c>
      <c r="G18" s="2" t="inlineStr">
        <is>
          <t>Instagram</t>
        </is>
      </c>
      <c r="H18" s="4" t="inlineStr">
        <is>
          <t>https://www.instagram.com/cairnssecretgardenweddingvenue</t>
        </is>
      </c>
      <c r="I18" s="4" t="inlineStr">
        <is>
          <t>https://www.facebook.com/cairnssecretgardenweddingvenue</t>
        </is>
      </c>
      <c r="J18" s="2" t="inlineStr"/>
      <c r="K18" s="4" t="inlineStr">
        <is>
          <t>https://www.cairnssecretgarden.au/</t>
        </is>
      </c>
      <c r="L18" s="2" t="inlineStr">
        <is>
          <t>looks outdated (copyright 2022)</t>
        </is>
      </c>
      <c r="M18" s="2" t="inlineStr">
        <is>
          <t>Hi Cairns Secret Garden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8" s="4" t="inlineStr">
        <is>
          <t>Open map</t>
        </is>
      </c>
      <c r="O18" s="2" t="inlineStr">
        <is>
          <t>Not contacted</t>
        </is>
      </c>
      <c r="P18" s="2" t="inlineStr"/>
      <c r="Q18" s="2" t="inlineStr"/>
      <c r="R18" s="2" t="inlineStr"/>
      <c r="S18" s="2" t="inlineStr"/>
    </row>
    <row r="19">
      <c r="A19" s="2" t="n">
        <v>18</v>
      </c>
      <c r="B19" s="3" t="inlineStr">
        <is>
          <t>MEDIUM</t>
        </is>
      </c>
      <c r="C19" s="2" t="inlineStr">
        <is>
          <t>Weak website</t>
        </is>
      </c>
      <c r="D19" s="2" t="inlineStr">
        <is>
          <t>The Memory Makers</t>
        </is>
      </c>
      <c r="E19" s="2" t="inlineStr">
        <is>
          <t>DJ or band</t>
        </is>
      </c>
      <c r="F19" s="2" t="inlineStr">
        <is>
          <t>Gold Coast</t>
        </is>
      </c>
      <c r="G19" s="2" t="inlineStr">
        <is>
          <t>Instagram</t>
        </is>
      </c>
      <c r="H19" s="4" t="inlineStr">
        <is>
          <t>https://www.instagram.com/thememorymakersmusic</t>
        </is>
      </c>
      <c r="I19" s="4" t="inlineStr">
        <is>
          <t>https://www.facebook.com/thememorymakersmusic</t>
        </is>
      </c>
      <c r="J19" s="2" t="inlineStr"/>
      <c r="K19" s="4" t="inlineStr">
        <is>
          <t>https://www.thememorymakers.com.au/</t>
        </is>
      </c>
      <c r="L19" s="2" t="inlineStr">
        <is>
          <t>looks outdated (copyright 2023)</t>
        </is>
      </c>
      <c r="M19" s="2" t="inlineStr">
        <is>
          <t>Hi The Memory Makers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9" s="4" t="inlineStr">
        <is>
          <t>Open map</t>
        </is>
      </c>
      <c r="O19" s="2" t="inlineStr">
        <is>
          <t>Not contacted</t>
        </is>
      </c>
      <c r="P19" s="2" t="inlineStr"/>
      <c r="Q19" s="2" t="inlineStr"/>
      <c r="R19" s="2" t="inlineStr"/>
      <c r="S19" s="2" t="inlineStr"/>
    </row>
    <row r="20">
      <c r="A20" s="2" t="n">
        <v>19</v>
      </c>
      <c r="B20" s="3" t="inlineStr">
        <is>
          <t>MEDIUM</t>
        </is>
      </c>
      <c r="C20" s="2" t="inlineStr">
        <is>
          <t>Weak website</t>
        </is>
      </c>
      <c r="D20" s="2" t="inlineStr">
        <is>
          <t>Rosa &amp; Mary's Bridal</t>
        </is>
      </c>
      <c r="E20" s="2" t="inlineStr">
        <is>
          <t>bridal shop</t>
        </is>
      </c>
      <c r="F20" s="2" t="inlineStr">
        <is>
          <t>Gold Coast</t>
        </is>
      </c>
      <c r="G20" s="2" t="inlineStr">
        <is>
          <t>Instagram</t>
        </is>
      </c>
      <c r="H20" s="4" t="inlineStr">
        <is>
          <t>https://www.instagram.com/rosaandmarysbridal</t>
        </is>
      </c>
      <c r="I20" s="4" t="inlineStr">
        <is>
          <t>https://www.facebook.com/Rosaandmarybridal</t>
        </is>
      </c>
      <c r="J20" s="2" t="inlineStr"/>
      <c r="K20" s="4" t="inlineStr">
        <is>
          <t>https://rosaandmarybridal.com.au/</t>
        </is>
      </c>
      <c r="L20" s="2" t="inlineStr">
        <is>
          <t>looks outdated (copyright 2019)</t>
        </is>
      </c>
      <c r="M20" s="2" t="inlineStr">
        <is>
          <t>Hi Rosa &amp; Mary's Bridal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0" s="4" t="inlineStr">
        <is>
          <t>Open map</t>
        </is>
      </c>
      <c r="O20" s="2" t="inlineStr">
        <is>
          <t>Not contacted</t>
        </is>
      </c>
      <c r="P20" s="2" t="inlineStr"/>
      <c r="Q20" s="2" t="inlineStr"/>
      <c r="R20" s="2" t="inlineStr"/>
      <c r="S20" s="2" t="inlineStr"/>
    </row>
    <row r="21">
      <c r="A21" s="2" t="n">
        <v>20</v>
      </c>
      <c r="B21" s="3" t="inlineStr">
        <is>
          <t>MEDIUM</t>
        </is>
      </c>
      <c r="C21" s="2" t="inlineStr">
        <is>
          <t>Weak website</t>
        </is>
      </c>
      <c r="D21" s="2" t="inlineStr">
        <is>
          <t>Dylan Bond Celebrant</t>
        </is>
      </c>
      <c r="E21" s="2" t="inlineStr">
        <is>
          <t>celebrant</t>
        </is>
      </c>
      <c r="F21" s="2" t="inlineStr">
        <is>
          <t>Gold Coast</t>
        </is>
      </c>
      <c r="G21" s="2" t="inlineStr">
        <is>
          <t>Instagram</t>
        </is>
      </c>
      <c r="H21" s="4" t="inlineStr">
        <is>
          <t>https://www.instagram.com/dylanbondcelebrantmc</t>
        </is>
      </c>
      <c r="I21" s="4" t="inlineStr">
        <is>
          <t>https://www.facebook.com/dylanbondcelebrantmc</t>
        </is>
      </c>
      <c r="J21" s="2" t="inlineStr"/>
      <c r="K21" s="4" t="inlineStr">
        <is>
          <t>https://dylanbond.com.au/</t>
        </is>
      </c>
      <c r="L21" s="2" t="inlineStr">
        <is>
          <t>looks outdated (copyright 2020)</t>
        </is>
      </c>
      <c r="M21" s="2" t="inlineStr">
        <is>
          <t>Hi Dylan Bond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1" s="4" t="inlineStr">
        <is>
          <t>Open map</t>
        </is>
      </c>
      <c r="O21" s="2" t="inlineStr">
        <is>
          <t>Not contacted</t>
        </is>
      </c>
      <c r="P21" s="2" t="inlineStr"/>
      <c r="Q21" s="2" t="inlineStr"/>
      <c r="R21" s="2" t="inlineStr"/>
      <c r="S21" s="2" t="inlineStr"/>
    </row>
    <row r="22">
      <c r="A22" s="2" t="n">
        <v>21</v>
      </c>
      <c r="B22" s="3" t="inlineStr">
        <is>
          <t>MEDIUM</t>
        </is>
      </c>
      <c r="C22" s="2" t="inlineStr">
        <is>
          <t>Weak website</t>
        </is>
      </c>
      <c r="D22" s="2" t="inlineStr">
        <is>
          <t>Love Story Ceremonies</t>
        </is>
      </c>
      <c r="E22" s="2" t="inlineStr">
        <is>
          <t>celebrant</t>
        </is>
      </c>
      <c r="F22" s="2" t="inlineStr">
        <is>
          <t>Gold Coast</t>
        </is>
      </c>
      <c r="G22" s="2" t="inlineStr">
        <is>
          <t>Instagram</t>
        </is>
      </c>
      <c r="H22" s="4" t="inlineStr">
        <is>
          <t>http://instagram.com/j0cardozo</t>
        </is>
      </c>
      <c r="I22" s="4" t="inlineStr">
        <is>
          <t>https://www.facebook.com/lovestoryceremonies</t>
        </is>
      </c>
      <c r="J22" s="2" t="inlineStr"/>
      <c r="K22" s="4" t="inlineStr">
        <is>
          <t>https://www.lovestoryceremonies.com/</t>
        </is>
      </c>
      <c r="L22" s="2" t="inlineStr">
        <is>
          <t>looks outdated (copyright 2019)</t>
        </is>
      </c>
      <c r="M22" s="2" t="inlineStr">
        <is>
          <t>Hi Love Story Ceremonies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2" s="4" t="inlineStr">
        <is>
          <t>Open map</t>
        </is>
      </c>
      <c r="O22" s="2" t="inlineStr">
        <is>
          <t>Not contacted</t>
        </is>
      </c>
      <c r="P22" s="2" t="inlineStr"/>
      <c r="Q22" s="2" t="inlineStr"/>
      <c r="R22" s="2" t="inlineStr"/>
      <c r="S22" s="2" t="inlineStr"/>
    </row>
    <row r="23">
      <c r="A23" s="2" t="n">
        <v>22</v>
      </c>
      <c r="B23" s="3" t="inlineStr">
        <is>
          <t>MEDIUM</t>
        </is>
      </c>
      <c r="C23" s="2" t="inlineStr">
        <is>
          <t>Weak website</t>
        </is>
      </c>
      <c r="D23" s="2" t="inlineStr">
        <is>
          <t>Your Celebrations</t>
        </is>
      </c>
      <c r="E23" s="2" t="inlineStr">
        <is>
          <t>celebrant</t>
        </is>
      </c>
      <c r="F23" s="2" t="inlineStr">
        <is>
          <t>Gold Coast</t>
        </is>
      </c>
      <c r="G23" s="2" t="inlineStr">
        <is>
          <t>Instagram</t>
        </is>
      </c>
      <c r="H23" s="4" t="inlineStr">
        <is>
          <t>https://www.instagram.com/robynwagnercelebrations</t>
        </is>
      </c>
      <c r="I23" s="4" t="inlineStr">
        <is>
          <t>https://www.facebook.com/Robyn-Wagner-Celebrations-148542741867253</t>
        </is>
      </c>
      <c r="J23" s="2" t="inlineStr"/>
      <c r="K23" s="4" t="inlineStr">
        <is>
          <t>https://yourcelebrations.com.au/</t>
        </is>
      </c>
      <c r="L23" s="2" t="inlineStr">
        <is>
          <t>looks outdated (copyright 2015); slow to load (3.1s)</t>
        </is>
      </c>
      <c r="M23" s="2" t="inlineStr">
        <is>
          <t>Hi Your Celebrations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23" s="4" t="inlineStr">
        <is>
          <t>Open map</t>
        </is>
      </c>
      <c r="O23" s="2" t="inlineStr">
        <is>
          <t>Not contacted</t>
        </is>
      </c>
      <c r="P23" s="2" t="inlineStr"/>
      <c r="Q23" s="2" t="inlineStr"/>
      <c r="R23" s="2" t="inlineStr"/>
      <c r="S23" s="2" t="inlineStr"/>
    </row>
    <row r="24">
      <c r="A24" s="2" t="n">
        <v>23</v>
      </c>
      <c r="B24" s="3" t="inlineStr">
        <is>
          <t>MEDIUM</t>
        </is>
      </c>
      <c r="C24" s="2" t="inlineStr">
        <is>
          <t>Weak website</t>
        </is>
      </c>
      <c r="D24" s="2" t="inlineStr">
        <is>
          <t>Missy La'Belle</t>
        </is>
      </c>
      <c r="E24" s="2" t="inlineStr">
        <is>
          <t>florist</t>
        </is>
      </c>
      <c r="F24" s="2" t="inlineStr">
        <is>
          <t>Gold Coast</t>
        </is>
      </c>
      <c r="G24" s="2" t="inlineStr">
        <is>
          <t>Instagram</t>
        </is>
      </c>
      <c r="H24" s="4" t="inlineStr">
        <is>
          <t>https://instagram.com/missylabelle</t>
        </is>
      </c>
      <c r="I24" s="4" t="inlineStr">
        <is>
          <t>http://www.facebook.com/missylabelleflowers</t>
        </is>
      </c>
      <c r="J24" s="2" t="inlineStr"/>
      <c r="K24" s="4" t="inlineStr">
        <is>
          <t>https://www.missylabelle.com/</t>
        </is>
      </c>
      <c r="L24" s="2" t="inlineStr">
        <is>
          <t>missing meta description</t>
        </is>
      </c>
      <c r="M24" s="2" t="inlineStr">
        <is>
          <t>Hi Missy La'Belle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4" s="4" t="inlineStr">
        <is>
          <t>Open map</t>
        </is>
      </c>
      <c r="O24" s="2" t="inlineStr">
        <is>
          <t>Not contacted</t>
        </is>
      </c>
      <c r="P24" s="2" t="inlineStr"/>
      <c r="Q24" s="2" t="inlineStr"/>
      <c r="R24" s="2" t="inlineStr"/>
      <c r="S24" s="2" t="inlineStr"/>
    </row>
    <row r="25">
      <c r="A25" s="2" t="n">
        <v>24</v>
      </c>
      <c r="B25" s="3" t="inlineStr">
        <is>
          <t>MEDIUM</t>
        </is>
      </c>
      <c r="C25" s="2" t="inlineStr">
        <is>
          <t>Weak website</t>
        </is>
      </c>
      <c r="D25" s="2" t="inlineStr">
        <is>
          <t>Amanda Higl</t>
        </is>
      </c>
      <c r="E25" s="2" t="inlineStr">
        <is>
          <t>hair and makeup</t>
        </is>
      </c>
      <c r="F25" s="2" t="inlineStr">
        <is>
          <t>Gold Coast</t>
        </is>
      </c>
      <c r="G25" s="2" t="inlineStr">
        <is>
          <t>Instagram</t>
        </is>
      </c>
      <c r="H25" s="4" t="inlineStr">
        <is>
          <t>https://www.instagram.com/amandahigl_hairandmakeup</t>
        </is>
      </c>
      <c r="I25" s="4" t="inlineStr">
        <is>
          <t>https://facebook.com/151747901559691</t>
        </is>
      </c>
      <c r="J25" s="2" t="inlineStr"/>
      <c r="K25" s="4" t="inlineStr">
        <is>
          <t>https://amandahigl.com.au/</t>
        </is>
      </c>
      <c r="L25" s="2" t="inlineStr">
        <is>
          <t>looks outdated (copyright 2019)</t>
        </is>
      </c>
      <c r="M25" s="2" t="inlineStr">
        <is>
          <t>Hi Amanda Higl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5" s="4" t="inlineStr">
        <is>
          <t>Open map</t>
        </is>
      </c>
      <c r="O25" s="2" t="inlineStr">
        <is>
          <t>Not contacted</t>
        </is>
      </c>
      <c r="P25" s="2" t="inlineStr"/>
      <c r="Q25" s="2" t="inlineStr"/>
      <c r="R25" s="2" t="inlineStr"/>
      <c r="S25" s="2" t="inlineStr"/>
    </row>
    <row r="26">
      <c r="A26" s="2" t="n">
        <v>25</v>
      </c>
      <c r="B26" s="3" t="inlineStr">
        <is>
          <t>MEDIUM</t>
        </is>
      </c>
      <c r="C26" s="2" t="inlineStr">
        <is>
          <t>Weak website</t>
        </is>
      </c>
      <c r="D26" s="2" t="inlineStr">
        <is>
          <t>Natalie Lucas Makeup</t>
        </is>
      </c>
      <c r="E26" s="2" t="inlineStr">
        <is>
          <t>hair and makeup</t>
        </is>
      </c>
      <c r="F26" s="2" t="inlineStr">
        <is>
          <t>Gold Coast</t>
        </is>
      </c>
      <c r="G26" s="2" t="inlineStr">
        <is>
          <t>Instagram</t>
        </is>
      </c>
      <c r="H26" s="4" t="inlineStr">
        <is>
          <t>https://instagram.com/natalielucasmua</t>
        </is>
      </c>
      <c r="I26" s="4" t="inlineStr">
        <is>
          <t>https://www.facebook.com/natalielucasmua</t>
        </is>
      </c>
      <c r="J26" s="2" t="inlineStr"/>
      <c r="K26" s="4" t="inlineStr">
        <is>
          <t>https://www.natalielucasmakeup.com/</t>
        </is>
      </c>
      <c r="L26" s="2" t="inlineStr">
        <is>
          <t>looks outdated (copyright 2022)</t>
        </is>
      </c>
      <c r="M26" s="2" t="inlineStr">
        <is>
          <t>Hi Natalie Lucas Makeup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6" s="4" t="inlineStr">
        <is>
          <t>Open map</t>
        </is>
      </c>
      <c r="O26" s="2" t="inlineStr">
        <is>
          <t>Not contacted</t>
        </is>
      </c>
      <c r="P26" s="2" t="inlineStr"/>
      <c r="Q26" s="2" t="inlineStr"/>
      <c r="R26" s="2" t="inlineStr"/>
      <c r="S26" s="2" t="inlineStr"/>
    </row>
    <row r="27">
      <c r="A27" s="2" t="n">
        <v>26</v>
      </c>
      <c r="B27" s="3" t="inlineStr">
        <is>
          <t>MEDIUM</t>
        </is>
      </c>
      <c r="C27" s="2" t="inlineStr">
        <is>
          <t>Weak website</t>
        </is>
      </c>
      <c r="D27" s="2" t="inlineStr">
        <is>
          <t>One Love Bridal</t>
        </is>
      </c>
      <c r="E27" s="2" t="inlineStr">
        <is>
          <t>hair and makeup</t>
        </is>
      </c>
      <c r="F27" s="2" t="inlineStr">
        <is>
          <t>Gold Coast</t>
        </is>
      </c>
      <c r="G27" s="2" t="inlineStr">
        <is>
          <t>Instagram</t>
        </is>
      </c>
      <c r="H27" s="4" t="inlineStr">
        <is>
          <t>https://www.instagram.com/onelovebridal.au</t>
        </is>
      </c>
      <c r="I27" s="4" t="inlineStr">
        <is>
          <t>https://www.facebook.com/people/One-Love-Bridal/100064081482842</t>
        </is>
      </c>
      <c r="J27" s="2" t="inlineStr"/>
      <c r="K27" s="4" t="inlineStr">
        <is>
          <t>https://www.onelovebridal.com/</t>
        </is>
      </c>
      <c r="L27" s="2" t="inlineStr">
        <is>
          <t>looks outdated (copyright 2023)</t>
        </is>
      </c>
      <c r="M27" s="2" t="inlineStr">
        <is>
          <t>Hi One Love Bridal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7" s="4" t="inlineStr">
        <is>
          <t>Open map</t>
        </is>
      </c>
      <c r="O27" s="2" t="inlineStr">
        <is>
          <t>Not contacted</t>
        </is>
      </c>
      <c r="P27" s="2" t="inlineStr"/>
      <c r="Q27" s="2" t="inlineStr"/>
      <c r="R27" s="2" t="inlineStr"/>
      <c r="S27" s="2" t="inlineStr"/>
    </row>
    <row r="28">
      <c r="A28" s="2" t="n">
        <v>27</v>
      </c>
      <c r="B28" s="3" t="inlineStr">
        <is>
          <t>MEDIUM</t>
        </is>
      </c>
      <c r="C28" s="2" t="inlineStr">
        <is>
          <t>Weak website</t>
        </is>
      </c>
      <c r="D28" s="2" t="inlineStr">
        <is>
          <t>Cake Me Gourmet</t>
        </is>
      </c>
      <c r="E28" s="2" t="inlineStr">
        <is>
          <t>wedding cakes</t>
        </is>
      </c>
      <c r="F28" s="2" t="inlineStr">
        <is>
          <t>Gold Coast</t>
        </is>
      </c>
      <c r="G28" s="2" t="inlineStr">
        <is>
          <t>Instagram</t>
        </is>
      </c>
      <c r="H28" s="4" t="inlineStr">
        <is>
          <t>https://www.instagram.com/cakemegourmetgc</t>
        </is>
      </c>
      <c r="I28" s="4" t="inlineStr">
        <is>
          <t>https://www.facebook.com/CAKEMEGOURMETGC</t>
        </is>
      </c>
      <c r="J28" s="2" t="inlineStr"/>
      <c r="K28" s="4" t="inlineStr">
        <is>
          <t>https://www.cakemegourmet.com/</t>
        </is>
      </c>
      <c r="L28" s="2" t="inlineStr">
        <is>
          <t>looks outdated (copyright 2023)</t>
        </is>
      </c>
      <c r="M28" s="2" t="inlineStr">
        <is>
          <t>Hi Cake Me Gourmet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8" s="4" t="inlineStr">
        <is>
          <t>Open map</t>
        </is>
      </c>
      <c r="O28" s="2" t="inlineStr">
        <is>
          <t>Not contacted</t>
        </is>
      </c>
      <c r="P28" s="2" t="inlineStr"/>
      <c r="Q28" s="2" t="inlineStr"/>
      <c r="R28" s="2" t="inlineStr"/>
      <c r="S28" s="2" t="inlineStr"/>
    </row>
    <row r="29">
      <c r="A29" s="2" t="n">
        <v>28</v>
      </c>
      <c r="B29" s="3" t="inlineStr">
        <is>
          <t>MEDIUM</t>
        </is>
      </c>
      <c r="C29" s="2" t="inlineStr">
        <is>
          <t>Weak website</t>
        </is>
      </c>
      <c r="D29" s="2" t="inlineStr">
        <is>
          <t>Hello Little Crumb</t>
        </is>
      </c>
      <c r="E29" s="2" t="inlineStr">
        <is>
          <t>wedding cakes</t>
        </is>
      </c>
      <c r="F29" s="2" t="inlineStr">
        <is>
          <t>Gold Coast</t>
        </is>
      </c>
      <c r="G29" s="2" t="inlineStr">
        <is>
          <t>Instagram</t>
        </is>
      </c>
      <c r="H29" s="4" t="inlineStr">
        <is>
          <t>https://www.instagram.com/hellolittlecrumb</t>
        </is>
      </c>
      <c r="I29" s="2" t="inlineStr"/>
      <c r="J29" s="2" t="inlineStr"/>
      <c r="K29" s="4" t="inlineStr">
        <is>
          <t>https://hellolittlecrumb.com/</t>
        </is>
      </c>
      <c r="L29" s="2" t="inlineStr">
        <is>
          <t>missing meta description</t>
        </is>
      </c>
      <c r="M29" s="2" t="inlineStr">
        <is>
          <t>Hi Hello Little Crumb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29" s="4" t="inlineStr">
        <is>
          <t>Open map</t>
        </is>
      </c>
      <c r="O29" s="2" t="inlineStr">
        <is>
          <t>Not contacted</t>
        </is>
      </c>
      <c r="P29" s="2" t="inlineStr"/>
      <c r="Q29" s="2" t="inlineStr"/>
      <c r="R29" s="2" t="inlineStr"/>
      <c r="S29" s="2" t="inlineStr"/>
    </row>
    <row r="30">
      <c r="A30" s="2" t="n">
        <v>29</v>
      </c>
      <c r="B30" s="3" t="inlineStr">
        <is>
          <t>MEDIUM</t>
        </is>
      </c>
      <c r="C30" s="2" t="inlineStr">
        <is>
          <t>Weak website</t>
        </is>
      </c>
      <c r="D30" s="2" t="inlineStr">
        <is>
          <t>Royal Cakes by Nadia</t>
        </is>
      </c>
      <c r="E30" s="2" t="inlineStr">
        <is>
          <t>wedding cakes</t>
        </is>
      </c>
      <c r="F30" s="2" t="inlineStr">
        <is>
          <t>Gold Coast</t>
        </is>
      </c>
      <c r="G30" s="2" t="inlineStr">
        <is>
          <t>Instagram</t>
        </is>
      </c>
      <c r="H30" s="4" t="inlineStr">
        <is>
          <t>https://www.instagram.com/royalcakesbynadia</t>
        </is>
      </c>
      <c r="I30" s="4" t="inlineStr">
        <is>
          <t>https://www.facebook.com/profile.php</t>
        </is>
      </c>
      <c r="J30" s="2" t="inlineStr"/>
      <c r="K30" s="4" t="inlineStr">
        <is>
          <t>https://www.royalcakesbynadia.com/</t>
        </is>
      </c>
      <c r="L30" s="2" t="inlineStr">
        <is>
          <t>looks outdated (copyright 2023)</t>
        </is>
      </c>
      <c r="M30" s="2" t="inlineStr">
        <is>
          <t>Hi Royal Cakes by Nadia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0" s="4" t="inlineStr">
        <is>
          <t>Open map</t>
        </is>
      </c>
      <c r="O30" s="2" t="inlineStr">
        <is>
          <t>Not contacted</t>
        </is>
      </c>
      <c r="P30" s="2" t="inlineStr"/>
      <c r="Q30" s="2" t="inlineStr"/>
      <c r="R30" s="2" t="inlineStr"/>
      <c r="S30" s="2" t="inlineStr"/>
    </row>
    <row r="31">
      <c r="A31" s="2" t="n">
        <v>30</v>
      </c>
      <c r="B31" s="3" t="inlineStr">
        <is>
          <t>MEDIUM</t>
        </is>
      </c>
      <c r="C31" s="2" t="inlineStr">
        <is>
          <t>Weak website</t>
        </is>
      </c>
      <c r="D31" s="2" t="inlineStr">
        <is>
          <t>Gold Coast Luxury Vintage Car Hire</t>
        </is>
      </c>
      <c r="E31" s="2" t="inlineStr">
        <is>
          <t>wedding cars</t>
        </is>
      </c>
      <c r="F31" s="2" t="inlineStr">
        <is>
          <t>Gold Coast</t>
        </is>
      </c>
      <c r="G31" s="2" t="inlineStr">
        <is>
          <t>Facebook</t>
        </is>
      </c>
      <c r="H31" s="2" t="inlineStr"/>
      <c r="I31" s="4" t="inlineStr">
        <is>
          <t>https://www.facebook.com/GCLuxuryVintageCarHire</t>
        </is>
      </c>
      <c r="J31" s="2" t="inlineStr"/>
      <c r="K31" s="4" t="inlineStr">
        <is>
          <t>https://gcluxuryvintagecarhire.com.au/</t>
        </is>
      </c>
      <c r="L31" s="2" t="inlineStr">
        <is>
          <t>looks outdated (copyright 2023)</t>
        </is>
      </c>
      <c r="M31" s="2" t="inlineStr">
        <is>
          <t>Hi Gold Coast Luxury Vintage Car Hire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1" s="4" t="inlineStr">
        <is>
          <t>Open map</t>
        </is>
      </c>
      <c r="O31" s="2" t="inlineStr">
        <is>
          <t>Not contacted</t>
        </is>
      </c>
      <c r="P31" s="2" t="inlineStr"/>
      <c r="Q31" s="2" t="inlineStr"/>
      <c r="R31" s="2" t="inlineStr"/>
      <c r="S31" s="2" t="inlineStr"/>
    </row>
    <row r="32">
      <c r="A32" s="2" t="n">
        <v>31</v>
      </c>
      <c r="B32" s="3" t="inlineStr">
        <is>
          <t>MEDIUM</t>
        </is>
      </c>
      <c r="C32" s="2" t="inlineStr">
        <is>
          <t>Weak website</t>
        </is>
      </c>
      <c r="D32" s="2" t="inlineStr">
        <is>
          <t>Halo Luxury Car Rentals</t>
        </is>
      </c>
      <c r="E32" s="2" t="inlineStr">
        <is>
          <t>wedding cars</t>
        </is>
      </c>
      <c r="F32" s="2" t="inlineStr">
        <is>
          <t>Gold Coast</t>
        </is>
      </c>
      <c r="G32" s="2" t="inlineStr">
        <is>
          <t>Instagram</t>
        </is>
      </c>
      <c r="H32" s="4" t="inlineStr">
        <is>
          <t>https://www.instagram.com/halorentals</t>
        </is>
      </c>
      <c r="I32" s="4" t="inlineStr">
        <is>
          <t>https://www.facebook.com/halorentals</t>
        </is>
      </c>
      <c r="J32" s="2" t="inlineStr"/>
      <c r="K32" s="4" t="inlineStr">
        <is>
          <t>https://halorentals.com.au/</t>
        </is>
      </c>
      <c r="L32" s="2" t="inlineStr">
        <is>
          <t>looks outdated (copyright 2022); missing meta description</t>
        </is>
      </c>
      <c r="M32" s="2" t="inlineStr">
        <is>
          <t>Hi Halo Luxury Car Rentals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2" s="4" t="inlineStr">
        <is>
          <t>Open map</t>
        </is>
      </c>
      <c r="O32" s="2" t="inlineStr">
        <is>
          <t>Not contacted</t>
        </is>
      </c>
      <c r="P32" s="2" t="inlineStr"/>
      <c r="Q32" s="2" t="inlineStr"/>
      <c r="R32" s="2" t="inlineStr"/>
      <c r="S32" s="2" t="inlineStr"/>
    </row>
    <row r="33">
      <c r="A33" s="2" t="n">
        <v>32</v>
      </c>
      <c r="B33" s="3" t="inlineStr">
        <is>
          <t>MEDIUM</t>
        </is>
      </c>
      <c r="C33" s="2" t="inlineStr">
        <is>
          <t>Weak website</t>
        </is>
      </c>
      <c r="D33" s="2" t="inlineStr">
        <is>
          <t>Event Stylist &amp; Co</t>
        </is>
      </c>
      <c r="E33" s="2" t="inlineStr">
        <is>
          <t>wedding planner or stylist</t>
        </is>
      </c>
      <c r="F33" s="2" t="inlineStr">
        <is>
          <t>Gold Coast</t>
        </is>
      </c>
      <c r="G33" s="2" t="inlineStr">
        <is>
          <t>Instagram</t>
        </is>
      </c>
      <c r="H33" s="4" t="inlineStr">
        <is>
          <t>https://www.instagram.com/eventstylistandco</t>
        </is>
      </c>
      <c r="I33" s="2" t="inlineStr"/>
      <c r="J33" s="2" t="inlineStr"/>
      <c r="K33" s="4" t="inlineStr">
        <is>
          <t>https://www.eventstylistandco.com/</t>
        </is>
      </c>
      <c r="L33" s="2" t="inlineStr">
        <is>
          <t>missing meta description</t>
        </is>
      </c>
      <c r="M33" s="2" t="inlineStr">
        <is>
          <t>Hi Event Stylist &amp; Co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3" s="4" t="inlineStr">
        <is>
          <t>Open map</t>
        </is>
      </c>
      <c r="O33" s="2" t="inlineStr">
        <is>
          <t>Not contacted</t>
        </is>
      </c>
      <c r="P33" s="2" t="inlineStr"/>
      <c r="Q33" s="2" t="inlineStr"/>
      <c r="R33" s="2" t="inlineStr"/>
      <c r="S33" s="2" t="inlineStr"/>
    </row>
    <row r="34">
      <c r="A34" s="2" t="n">
        <v>33</v>
      </c>
      <c r="B34" s="3" t="inlineStr">
        <is>
          <t>MEDIUM</t>
        </is>
      </c>
      <c r="C34" s="2" t="inlineStr">
        <is>
          <t>Weak website</t>
        </is>
      </c>
      <c r="D34" s="2" t="inlineStr">
        <is>
          <t>The Gold Coast Bride</t>
        </is>
      </c>
      <c r="E34" s="2" t="inlineStr">
        <is>
          <t>wedding planner or stylist</t>
        </is>
      </c>
      <c r="F34" s="2" t="inlineStr">
        <is>
          <t>Gold Coast</t>
        </is>
      </c>
      <c r="G34" s="2" t="inlineStr">
        <is>
          <t>Instagram</t>
        </is>
      </c>
      <c r="H34" s="4" t="inlineStr">
        <is>
          <t>https://instagram.com/goldcoastbride</t>
        </is>
      </c>
      <c r="I34" s="4" t="inlineStr">
        <is>
          <t>http://www.facebook.com/thegoldcoastbride</t>
        </is>
      </c>
      <c r="J34" s="2" t="inlineStr"/>
      <c r="K34" s="4" t="inlineStr">
        <is>
          <t>https://www.thegoldcoastbride.com.au/</t>
        </is>
      </c>
      <c r="L34" s="2" t="inlineStr">
        <is>
          <t>looks outdated (copyright 2019)</t>
        </is>
      </c>
      <c r="M34" s="2" t="inlineStr">
        <is>
          <t>Hi The Gold Coast Bride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4" s="4" t="inlineStr">
        <is>
          <t>Open map</t>
        </is>
      </c>
      <c r="O34" s="2" t="inlineStr">
        <is>
          <t>Not contacted</t>
        </is>
      </c>
      <c r="P34" s="2" t="inlineStr"/>
      <c r="Q34" s="2" t="inlineStr"/>
      <c r="R34" s="2" t="inlineStr"/>
      <c r="S34" s="2" t="inlineStr"/>
    </row>
    <row r="35">
      <c r="A35" s="2" t="n">
        <v>34</v>
      </c>
      <c r="B35" s="3" t="inlineStr">
        <is>
          <t>MEDIUM</t>
        </is>
      </c>
      <c r="C35" s="2" t="inlineStr">
        <is>
          <t>Weak website</t>
        </is>
      </c>
      <c r="D35" s="2" t="inlineStr">
        <is>
          <t>Coolibah Downs Private Estate</t>
        </is>
      </c>
      <c r="E35" s="2" t="inlineStr">
        <is>
          <t>wedding venue</t>
        </is>
      </c>
      <c r="F35" s="2" t="inlineStr">
        <is>
          <t>Gold Coast</t>
        </is>
      </c>
      <c r="G35" s="2" t="inlineStr">
        <is>
          <t>Instagram</t>
        </is>
      </c>
      <c r="H35" s="4" t="inlineStr">
        <is>
          <t>https://www.instagram.com/coolibahdownsprivateestate</t>
        </is>
      </c>
      <c r="I35" s="4" t="inlineStr">
        <is>
          <t>https://www.facebook.com/CoolibahDowns</t>
        </is>
      </c>
      <c r="J35" s="2" t="inlineStr"/>
      <c r="K35" s="4" t="inlineStr">
        <is>
          <t>https://www.coolibahdowns.com.au/</t>
        </is>
      </c>
      <c r="L35" s="2" t="inlineStr">
        <is>
          <t>looks outdated (copyright 2023)</t>
        </is>
      </c>
      <c r="M35" s="2" t="inlineStr">
        <is>
          <t>Hi Coolibah Downs Private Estate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5" s="4" t="inlineStr">
        <is>
          <t>Open map</t>
        </is>
      </c>
      <c r="O35" s="2" t="inlineStr">
        <is>
          <t>Not contacted</t>
        </is>
      </c>
      <c r="P35" s="2" t="inlineStr"/>
      <c r="Q35" s="2" t="inlineStr"/>
      <c r="R35" s="2" t="inlineStr"/>
      <c r="S35" s="2" t="inlineStr"/>
    </row>
    <row r="36">
      <c r="A36" s="2" t="n">
        <v>35</v>
      </c>
      <c r="B36" s="3" t="inlineStr">
        <is>
          <t>MEDIUM</t>
        </is>
      </c>
      <c r="C36" s="2" t="inlineStr">
        <is>
          <t>Weak website</t>
        </is>
      </c>
      <c r="D36" s="2" t="inlineStr">
        <is>
          <t>The Island Gold Coast</t>
        </is>
      </c>
      <c r="E36" s="2" t="inlineStr">
        <is>
          <t>wedding venue</t>
        </is>
      </c>
      <c r="F36" s="2" t="inlineStr">
        <is>
          <t>Gold Coast</t>
        </is>
      </c>
      <c r="G36" s="2" t="inlineStr">
        <is>
          <t>Instagram</t>
        </is>
      </c>
      <c r="H36" s="4" t="inlineStr">
        <is>
          <t>https://www.instagram.com/theislandgoldcoast</t>
        </is>
      </c>
      <c r="I36" s="2" t="inlineStr"/>
      <c r="J36" s="2" t="inlineStr"/>
      <c r="K36" s="4" t="inlineStr">
        <is>
          <t>https://www.theislandgoldcoast.com.au/</t>
        </is>
      </c>
      <c r="L36" s="2" t="inlineStr">
        <is>
          <t>slow to load (3.4s)</t>
        </is>
      </c>
      <c r="M36" s="2" t="inlineStr">
        <is>
          <t>Hi The Island Gold Coast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6" s="4" t="inlineStr">
        <is>
          <t>Open map</t>
        </is>
      </c>
      <c r="O36" s="2" t="inlineStr">
        <is>
          <t>Not contacted</t>
        </is>
      </c>
      <c r="P36" s="2" t="inlineStr"/>
      <c r="Q36" s="2" t="inlineStr"/>
      <c r="R36" s="2" t="inlineStr"/>
      <c r="S36" s="2" t="inlineStr"/>
    </row>
    <row r="37">
      <c r="A37" s="2" t="n">
        <v>36</v>
      </c>
      <c r="B37" s="3" t="inlineStr">
        <is>
          <t>MEDIUM</t>
        </is>
      </c>
      <c r="C37" s="2" t="inlineStr">
        <is>
          <t>Weak website</t>
        </is>
      </c>
      <c r="D37" s="2" t="inlineStr">
        <is>
          <t>Marriage Fraser Coast</t>
        </is>
      </c>
      <c r="E37" s="2" t="inlineStr">
        <is>
          <t>celebrant</t>
        </is>
      </c>
      <c r="F37" s="2" t="inlineStr">
        <is>
          <t>Hervey Bay</t>
        </is>
      </c>
      <c r="G37" s="2" t="inlineStr">
        <is>
          <t>Facebook</t>
        </is>
      </c>
      <c r="H37" s="2" t="inlineStr"/>
      <c r="I37" s="4" t="inlineStr">
        <is>
          <t>https://facebook.com/434128746732264</t>
        </is>
      </c>
      <c r="J37" s="2" t="inlineStr"/>
      <c r="K37" s="4" t="inlineStr">
        <is>
          <t>https://marriagefrasercoast.au/</t>
        </is>
      </c>
      <c r="L37" s="2" t="inlineStr">
        <is>
          <t>slow to load (4.3s)</t>
        </is>
      </c>
      <c r="M37" s="2" t="inlineStr">
        <is>
          <t>Hi Marriage Fraser Coast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37" s="4" t="inlineStr">
        <is>
          <t>Open map</t>
        </is>
      </c>
      <c r="O37" s="2" t="inlineStr">
        <is>
          <t>Not contacted</t>
        </is>
      </c>
      <c r="P37" s="2" t="inlineStr"/>
      <c r="Q37" s="2" t="inlineStr"/>
      <c r="R37" s="2" t="inlineStr"/>
      <c r="S37" s="2" t="inlineStr"/>
    </row>
    <row r="38">
      <c r="A38" s="2" t="n">
        <v>37</v>
      </c>
      <c r="B38" s="3" t="inlineStr">
        <is>
          <t>MEDIUM</t>
        </is>
      </c>
      <c r="C38" s="2" t="inlineStr">
        <is>
          <t>Weak website</t>
        </is>
      </c>
      <c r="D38" s="2" t="inlineStr">
        <is>
          <t>Blooms &amp; Petals Florist</t>
        </is>
      </c>
      <c r="E38" s="2" t="inlineStr">
        <is>
          <t>florist</t>
        </is>
      </c>
      <c r="F38" s="2" t="inlineStr">
        <is>
          <t>Hervey Bay</t>
        </is>
      </c>
      <c r="G38" s="2" t="inlineStr">
        <is>
          <t>Facebook</t>
        </is>
      </c>
      <c r="H38" s="2" t="inlineStr"/>
      <c r="I38" s="4" t="inlineStr">
        <is>
          <t>https://www.facebook.com/bloomsandpetalsfloristherveybay</t>
        </is>
      </c>
      <c r="J38" s="2" t="inlineStr"/>
      <c r="K38" s="4" t="inlineStr">
        <is>
          <t>https://bloomsandpetalsflorist.com.au/</t>
        </is>
      </c>
      <c r="L38" s="2" t="inlineStr">
        <is>
          <t>missing meta description</t>
        </is>
      </c>
      <c r="M38" s="2" t="inlineStr">
        <is>
          <t>Hi Blooms &amp; Petals Florist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8" s="4" t="inlineStr">
        <is>
          <t>Open map</t>
        </is>
      </c>
      <c r="O38" s="2" t="inlineStr">
        <is>
          <t>Not contacted</t>
        </is>
      </c>
      <c r="P38" s="2" t="inlineStr"/>
      <c r="Q38" s="2" t="inlineStr"/>
      <c r="R38" s="2" t="inlineStr"/>
      <c r="S38" s="2" t="inlineStr"/>
    </row>
    <row r="39">
      <c r="A39" s="2" t="n">
        <v>38</v>
      </c>
      <c r="B39" s="3" t="inlineStr">
        <is>
          <t>MEDIUM</t>
        </is>
      </c>
      <c r="C39" s="2" t="inlineStr">
        <is>
          <t>Weak website</t>
        </is>
      </c>
      <c r="D39" s="2" t="inlineStr">
        <is>
          <t>Lisa Klein Makeup</t>
        </is>
      </c>
      <c r="E39" s="2" t="inlineStr">
        <is>
          <t>hair and makeup</t>
        </is>
      </c>
      <c r="F39" s="2" t="inlineStr">
        <is>
          <t>Hervey Bay</t>
        </is>
      </c>
      <c r="G39" s="2" t="inlineStr">
        <is>
          <t>Facebook</t>
        </is>
      </c>
      <c r="H39" s="2" t="inlineStr"/>
      <c r="I39" s="4" t="inlineStr">
        <is>
          <t>https://www.facebook.com/Lisa-Klein-Professional-Makeup-Artist-143179855730752</t>
        </is>
      </c>
      <c r="J39" s="2" t="inlineStr"/>
      <c r="K39" s="4" t="inlineStr">
        <is>
          <t>https://www.lisaklein.com.au/</t>
        </is>
      </c>
      <c r="L39" s="2" t="inlineStr">
        <is>
          <t>not mobile-friendly (no viewport tag); missing meta description</t>
        </is>
      </c>
      <c r="M39" s="2" t="inlineStr">
        <is>
          <t>Hi Lisa Klein Makeup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39" s="4" t="inlineStr">
        <is>
          <t>Open map</t>
        </is>
      </c>
      <c r="O39" s="2" t="inlineStr">
        <is>
          <t>Not contacted</t>
        </is>
      </c>
      <c r="P39" s="2" t="inlineStr"/>
      <c r="Q39" s="2" t="inlineStr"/>
      <c r="R39" s="2" t="inlineStr"/>
      <c r="S39" s="2" t="inlineStr"/>
    </row>
    <row r="40">
      <c r="A40" s="2" t="n">
        <v>39</v>
      </c>
      <c r="B40" s="3" t="inlineStr">
        <is>
          <t>MEDIUM</t>
        </is>
      </c>
      <c r="C40" s="2" t="inlineStr">
        <is>
          <t>Weak website</t>
        </is>
      </c>
      <c r="D40" s="2" t="inlineStr">
        <is>
          <t>Boho Events &amp; Styling</t>
        </is>
      </c>
      <c r="E40" s="2" t="inlineStr">
        <is>
          <t>wedding planner or stylist</t>
        </is>
      </c>
      <c r="F40" s="2" t="inlineStr">
        <is>
          <t>Hervey Bay</t>
        </is>
      </c>
      <c r="G40" s="2" t="inlineStr">
        <is>
          <t>Instagram</t>
        </is>
      </c>
      <c r="H40" s="4" t="inlineStr">
        <is>
          <t>https://www.instagram.com/bohoeventsstyling</t>
        </is>
      </c>
      <c r="I40" s="4" t="inlineStr">
        <is>
          <t>https://www.facebook.com/BohoEventsStyling</t>
        </is>
      </c>
      <c r="J40" s="2" t="inlineStr"/>
      <c r="K40" s="4" t="inlineStr">
        <is>
          <t>https://bohoeventsandstyling.com.au/</t>
        </is>
      </c>
      <c r="L40" s="2" t="inlineStr">
        <is>
          <t>slow to load (3.2s)</t>
        </is>
      </c>
      <c r="M40" s="2" t="inlineStr">
        <is>
          <t>Hi Boho Events &amp; Styling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0" s="4" t="inlineStr">
        <is>
          <t>Open map</t>
        </is>
      </c>
      <c r="O40" s="2" t="inlineStr">
        <is>
          <t>Not contacted</t>
        </is>
      </c>
      <c r="P40" s="2" t="inlineStr"/>
      <c r="Q40" s="2" t="inlineStr"/>
      <c r="R40" s="2" t="inlineStr"/>
      <c r="S40" s="2" t="inlineStr"/>
    </row>
    <row r="41">
      <c r="A41" s="2" t="n">
        <v>40</v>
      </c>
      <c r="B41" s="3" t="inlineStr">
        <is>
          <t>MEDIUM</t>
        </is>
      </c>
      <c r="C41" s="2" t="inlineStr">
        <is>
          <t>Weak website</t>
        </is>
      </c>
      <c r="D41" s="2" t="inlineStr">
        <is>
          <t>Grace &amp; Style</t>
        </is>
      </c>
      <c r="E41" s="2" t="inlineStr">
        <is>
          <t>hair and makeup</t>
        </is>
      </c>
      <c r="F41" s="2" t="inlineStr">
        <is>
          <t>Ipswich</t>
        </is>
      </c>
      <c r="G41" s="2" t="inlineStr">
        <is>
          <t>Instagram</t>
        </is>
      </c>
      <c r="H41" s="4" t="inlineStr">
        <is>
          <t>http://instagram.com/graceandstylemakeup</t>
        </is>
      </c>
      <c r="I41" s="4" t="inlineStr">
        <is>
          <t>http://www.facebook.com/GraceAndStyle</t>
        </is>
      </c>
      <c r="J41" s="2" t="inlineStr"/>
      <c r="K41" s="4" t="inlineStr">
        <is>
          <t>https://www.graceandstyle.com.au/</t>
        </is>
      </c>
      <c r="L41" s="2" t="inlineStr">
        <is>
          <t>looks outdated (copyright 2022)</t>
        </is>
      </c>
      <c r="M41" s="2" t="inlineStr">
        <is>
          <t>Hi Grace &amp; Style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1" s="4" t="inlineStr">
        <is>
          <t>Open map</t>
        </is>
      </c>
      <c r="O41" s="2" t="inlineStr">
        <is>
          <t>Not contacted</t>
        </is>
      </c>
      <c r="P41" s="2" t="inlineStr"/>
      <c r="Q41" s="2" t="inlineStr"/>
      <c r="R41" s="2" t="inlineStr"/>
      <c r="S41" s="2" t="inlineStr"/>
    </row>
    <row r="42">
      <c r="A42" s="2" t="n">
        <v>41</v>
      </c>
      <c r="B42" s="3" t="inlineStr">
        <is>
          <t>MEDIUM</t>
        </is>
      </c>
      <c r="C42" s="2" t="inlineStr">
        <is>
          <t>Weak website</t>
        </is>
      </c>
      <c r="D42" s="2" t="inlineStr">
        <is>
          <t>The Cake Lady</t>
        </is>
      </c>
      <c r="E42" s="2" t="inlineStr">
        <is>
          <t>wedding cakes</t>
        </is>
      </c>
      <c r="F42" s="2" t="inlineStr">
        <is>
          <t>Ipswich</t>
        </is>
      </c>
      <c r="G42" s="2" t="inlineStr">
        <is>
          <t>Instagram</t>
        </is>
      </c>
      <c r="H42" s="4" t="inlineStr">
        <is>
          <t>https://www.instagram.com/thecakeladyipswich</t>
        </is>
      </c>
      <c r="I42" s="4" t="inlineStr">
        <is>
          <t>https://www.facebook.com/thecakeladyipswich</t>
        </is>
      </c>
      <c r="J42" s="2" t="inlineStr"/>
      <c r="K42" s="4" t="inlineStr">
        <is>
          <t>https://www.cakelady.com.au/</t>
        </is>
      </c>
      <c r="L42" s="2" t="inlineStr">
        <is>
          <t>looks outdated (copyright 2019); slow to load (3.1s)</t>
        </is>
      </c>
      <c r="M42" s="2" t="inlineStr">
        <is>
          <t>Hi The Cake Lady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2" s="4" t="inlineStr">
        <is>
          <t>Open map</t>
        </is>
      </c>
      <c r="O42" s="2" t="inlineStr">
        <is>
          <t>Not contacted</t>
        </is>
      </c>
      <c r="P42" s="2" t="inlineStr"/>
      <c r="Q42" s="2" t="inlineStr"/>
      <c r="R42" s="2" t="inlineStr"/>
      <c r="S42" s="2" t="inlineStr"/>
    </row>
    <row r="43">
      <c r="A43" s="2" t="n">
        <v>42</v>
      </c>
      <c r="B43" s="3" t="inlineStr">
        <is>
          <t>MEDIUM</t>
        </is>
      </c>
      <c r="C43" s="2" t="inlineStr">
        <is>
          <t>Weak website</t>
        </is>
      </c>
      <c r="D43" s="2" t="inlineStr">
        <is>
          <t>Darling St Chapel</t>
        </is>
      </c>
      <c r="E43" s="2" t="inlineStr">
        <is>
          <t>wedding venue</t>
        </is>
      </c>
      <c r="F43" s="2" t="inlineStr">
        <is>
          <t>Ipswich</t>
        </is>
      </c>
      <c r="G43" s="2" t="inlineStr">
        <is>
          <t>Facebook</t>
        </is>
      </c>
      <c r="H43" s="2" t="inlineStr"/>
      <c r="I43" s="4" t="inlineStr">
        <is>
          <t>https://www.facebook.com/Darling-St-Chapel-207432589284855</t>
        </is>
      </c>
      <c r="J43" s="2" t="inlineStr"/>
      <c r="K43" s="4" t="inlineStr">
        <is>
          <t>https://darlingstchapel.com.au/</t>
        </is>
      </c>
      <c r="L43" s="2" t="inlineStr">
        <is>
          <t>slow to load (6.4s)</t>
        </is>
      </c>
      <c r="M43" s="2" t="inlineStr">
        <is>
          <t>Hi Darling St Chapel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3" s="4" t="inlineStr">
        <is>
          <t>Open map</t>
        </is>
      </c>
      <c r="O43" s="2" t="inlineStr">
        <is>
          <t>Not contacted</t>
        </is>
      </c>
      <c r="P43" s="2" t="inlineStr"/>
      <c r="Q43" s="2" t="inlineStr"/>
      <c r="R43" s="2" t="inlineStr"/>
      <c r="S43" s="2" t="inlineStr"/>
    </row>
    <row r="44">
      <c r="A44" s="2" t="n">
        <v>43</v>
      </c>
      <c r="B44" s="3" t="inlineStr">
        <is>
          <t>MEDIUM</t>
        </is>
      </c>
      <c r="C44" s="2" t="inlineStr">
        <is>
          <t>Weak website</t>
        </is>
      </c>
      <c r="D44" s="2" t="inlineStr">
        <is>
          <t>Ann's Unique Cakes</t>
        </is>
      </c>
      <c r="E44" s="2" t="inlineStr">
        <is>
          <t>wedding cakes</t>
        </is>
      </c>
      <c r="F44" s="2" t="inlineStr">
        <is>
          <t>Logan</t>
        </is>
      </c>
      <c r="G44" s="2" t="inlineStr">
        <is>
          <t>Facebook</t>
        </is>
      </c>
      <c r="H44" s="2" t="inlineStr"/>
      <c r="I44" s="4" t="inlineStr">
        <is>
          <t>https://www.facebook.com/AnnsUniqueCake</t>
        </is>
      </c>
      <c r="J44" s="2" t="inlineStr"/>
      <c r="K44" s="4" t="inlineStr">
        <is>
          <t>https://www.annsuniquecakes.com/</t>
        </is>
      </c>
      <c r="L44" s="2" t="inlineStr">
        <is>
          <t>looks outdated (copyright 2020)</t>
        </is>
      </c>
      <c r="M44" s="2" t="inlineStr">
        <is>
          <t>Hi Ann's Unique Cakes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4" s="4" t="inlineStr">
        <is>
          <t>Open map</t>
        </is>
      </c>
      <c r="O44" s="2" t="inlineStr">
        <is>
          <t>Not contacted</t>
        </is>
      </c>
      <c r="P44" s="2" t="inlineStr"/>
      <c r="Q44" s="2" t="inlineStr"/>
      <c r="R44" s="2" t="inlineStr"/>
      <c r="S44" s="2" t="inlineStr"/>
    </row>
    <row r="45">
      <c r="A45" s="2" t="n">
        <v>44</v>
      </c>
      <c r="B45" s="3" t="inlineStr">
        <is>
          <t>MEDIUM</t>
        </is>
      </c>
      <c r="C45" s="2" t="inlineStr">
        <is>
          <t>Weak website</t>
        </is>
      </c>
      <c r="D45" s="2" t="inlineStr">
        <is>
          <t>Diggers Services Club</t>
        </is>
      </c>
      <c r="E45" s="2" t="inlineStr">
        <is>
          <t>wedding venue</t>
        </is>
      </c>
      <c r="F45" s="2" t="inlineStr">
        <is>
          <t>Logan</t>
        </is>
      </c>
      <c r="G45" s="2" t="inlineStr">
        <is>
          <t>Facebook</t>
        </is>
      </c>
      <c r="H45" s="2" t="inlineStr"/>
      <c r="I45" s="4" t="inlineStr">
        <is>
          <t>https://www.facebook.com/diggersservicesclub</t>
        </is>
      </c>
      <c r="J45" s="2" t="inlineStr"/>
      <c r="K45" s="4" t="inlineStr">
        <is>
          <t>https://www.diggersservicesclub.com.au/</t>
        </is>
      </c>
      <c r="L45" s="2" t="inlineStr">
        <is>
          <t>looks outdated (copyright 2023)</t>
        </is>
      </c>
      <c r="M45" s="2" t="inlineStr">
        <is>
          <t>Hi Diggers Services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5" s="4" t="inlineStr">
        <is>
          <t>Open map</t>
        </is>
      </c>
      <c r="O45" s="2" t="inlineStr">
        <is>
          <t>Not contacted</t>
        </is>
      </c>
      <c r="P45" s="2" t="inlineStr"/>
      <c r="Q45" s="2" t="inlineStr"/>
      <c r="R45" s="2" t="inlineStr"/>
      <c r="S45" s="2" t="inlineStr"/>
    </row>
    <row r="46">
      <c r="A46" s="2" t="n">
        <v>45</v>
      </c>
      <c r="B46" s="3" t="inlineStr">
        <is>
          <t>MEDIUM</t>
        </is>
      </c>
      <c r="C46" s="2" t="inlineStr">
        <is>
          <t>Weak website</t>
        </is>
      </c>
      <c r="D46" s="2" t="inlineStr">
        <is>
          <t>Chevy the Celebrant</t>
        </is>
      </c>
      <c r="E46" s="2" t="inlineStr">
        <is>
          <t>celebrant</t>
        </is>
      </c>
      <c r="F46" s="2" t="inlineStr">
        <is>
          <t>Mackay</t>
        </is>
      </c>
      <c r="G46" s="2" t="inlineStr">
        <is>
          <t>Instagram</t>
        </is>
      </c>
      <c r="H46" s="4" t="inlineStr">
        <is>
          <t>https://www.instagram.com/chevythecelebrant</t>
        </is>
      </c>
      <c r="I46" s="4" t="inlineStr">
        <is>
          <t>https://www.facebook.com/chevythecelebrant</t>
        </is>
      </c>
      <c r="J46" s="2" t="inlineStr"/>
      <c r="K46" s="4" t="inlineStr">
        <is>
          <t>https://chevythecelebrant.com.au/</t>
        </is>
      </c>
      <c r="L46" s="2" t="inlineStr">
        <is>
          <t>looks outdated (copyright 2022)</t>
        </is>
      </c>
      <c r="M46" s="2" t="inlineStr">
        <is>
          <t>Hi Chevy the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6" s="4" t="inlineStr">
        <is>
          <t>Open map</t>
        </is>
      </c>
      <c r="O46" s="2" t="inlineStr">
        <is>
          <t>Not contacted</t>
        </is>
      </c>
      <c r="P46" s="2" t="inlineStr"/>
      <c r="Q46" s="2" t="inlineStr"/>
      <c r="R46" s="2" t="inlineStr"/>
      <c r="S46" s="2" t="inlineStr"/>
    </row>
    <row r="47">
      <c r="A47" s="2" t="n">
        <v>46</v>
      </c>
      <c r="B47" s="3" t="inlineStr">
        <is>
          <t>MEDIUM</t>
        </is>
      </c>
      <c r="C47" s="2" t="inlineStr">
        <is>
          <t>Weak website</t>
        </is>
      </c>
      <c r="D47" s="2" t="inlineStr">
        <is>
          <t>Say I Do Celebrancy</t>
        </is>
      </c>
      <c r="E47" s="2" t="inlineStr">
        <is>
          <t>celebrant</t>
        </is>
      </c>
      <c r="F47" s="2" t="inlineStr">
        <is>
          <t>Mackay</t>
        </is>
      </c>
      <c r="G47" s="2" t="inlineStr">
        <is>
          <t>Instagram</t>
        </is>
      </c>
      <c r="H47" s="4" t="inlineStr">
        <is>
          <t>https://www.instagram.com/say_i_do_celebrancy</t>
        </is>
      </c>
      <c r="I47" s="2" t="inlineStr"/>
      <c r="J47" s="2" t="inlineStr"/>
      <c r="K47" s="4" t="inlineStr">
        <is>
          <t>https://sayidocelebrancy.com/</t>
        </is>
      </c>
      <c r="L47" s="2" t="inlineStr">
        <is>
          <t>slow to load (5.0s)</t>
        </is>
      </c>
      <c r="M47" s="2" t="inlineStr">
        <is>
          <t>Hi Say I Do Celebrancy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47" s="4" t="inlineStr">
        <is>
          <t>Open map</t>
        </is>
      </c>
      <c r="O47" s="2" t="inlineStr">
        <is>
          <t>Not contacted</t>
        </is>
      </c>
      <c r="P47" s="2" t="inlineStr"/>
      <c r="Q47" s="2" t="inlineStr"/>
      <c r="R47" s="2" t="inlineStr"/>
      <c r="S47" s="2" t="inlineStr"/>
    </row>
    <row r="48">
      <c r="A48" s="2" t="n">
        <v>47</v>
      </c>
      <c r="B48" s="3" t="inlineStr">
        <is>
          <t>MEDIUM</t>
        </is>
      </c>
      <c r="C48" s="2" t="inlineStr">
        <is>
          <t>Weak website</t>
        </is>
      </c>
      <c r="D48" s="2" t="inlineStr">
        <is>
          <t>Tamara Brown Makeup</t>
        </is>
      </c>
      <c r="E48" s="2" t="inlineStr">
        <is>
          <t>hair and makeup</t>
        </is>
      </c>
      <c r="F48" s="2" t="inlineStr">
        <is>
          <t>Mackay</t>
        </is>
      </c>
      <c r="G48" s="2" t="inlineStr">
        <is>
          <t>Instagram</t>
        </is>
      </c>
      <c r="H48" s="4" t="inlineStr">
        <is>
          <t>https://www.instagram.com/tamarabrownmakeup</t>
        </is>
      </c>
      <c r="I48" s="4" t="inlineStr">
        <is>
          <t>https://www.facebook.com/makeupbytamqld</t>
        </is>
      </c>
      <c r="J48" s="2" t="inlineStr"/>
      <c r="K48" s="4" t="inlineStr">
        <is>
          <t>https://www.tamarabrownmakeup.com.au/</t>
        </is>
      </c>
      <c r="L48" s="2" t="inlineStr">
        <is>
          <t>looks outdated (copyright 2023)</t>
        </is>
      </c>
      <c r="M48" s="2" t="inlineStr">
        <is>
          <t>Hi Tamara Brown Makeup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8" s="4" t="inlineStr">
        <is>
          <t>Open map</t>
        </is>
      </c>
      <c r="O48" s="2" t="inlineStr">
        <is>
          <t>Not contacted</t>
        </is>
      </c>
      <c r="P48" s="2" t="inlineStr"/>
      <c r="Q48" s="2" t="inlineStr"/>
      <c r="R48" s="2" t="inlineStr"/>
      <c r="S48" s="2" t="inlineStr"/>
    </row>
    <row r="49">
      <c r="A49" s="2" t="n">
        <v>48</v>
      </c>
      <c r="B49" s="3" t="inlineStr">
        <is>
          <t>MEDIUM</t>
        </is>
      </c>
      <c r="C49" s="2" t="inlineStr">
        <is>
          <t>Weak website</t>
        </is>
      </c>
      <c r="D49" s="2" t="inlineStr">
        <is>
          <t>Jojo's Bakehouse</t>
        </is>
      </c>
      <c r="E49" s="2" t="inlineStr">
        <is>
          <t>wedding cakes</t>
        </is>
      </c>
      <c r="F49" s="2" t="inlineStr">
        <is>
          <t>Mackay</t>
        </is>
      </c>
      <c r="G49" s="2" t="inlineStr">
        <is>
          <t>Instagram</t>
        </is>
      </c>
      <c r="H49" s="4" t="inlineStr">
        <is>
          <t>http://instagram.com/jojos_bakehouse</t>
        </is>
      </c>
      <c r="I49" s="4" t="inlineStr">
        <is>
          <t>http://www.facebook.com/jojobakehouse</t>
        </is>
      </c>
      <c r="J49" s="2" t="inlineStr"/>
      <c r="K49" s="4" t="inlineStr">
        <is>
          <t>https://www.jojosbakehouse.com.au/</t>
        </is>
      </c>
      <c r="L49" s="2" t="inlineStr">
        <is>
          <t>looks outdated (copyright 2011)</t>
        </is>
      </c>
      <c r="M49" s="2" t="inlineStr">
        <is>
          <t>Hi Jojo's Bakehouse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49" s="4" t="inlineStr">
        <is>
          <t>Open map</t>
        </is>
      </c>
      <c r="O49" s="2" t="inlineStr">
        <is>
          <t>Not contacted</t>
        </is>
      </c>
      <c r="P49" s="2" t="inlineStr"/>
      <c r="Q49" s="2" t="inlineStr"/>
      <c r="R49" s="2" t="inlineStr"/>
      <c r="S49" s="2" t="inlineStr"/>
    </row>
    <row r="50">
      <c r="A50" s="2" t="n">
        <v>49</v>
      </c>
      <c r="B50" s="3" t="inlineStr">
        <is>
          <t>MEDIUM</t>
        </is>
      </c>
      <c r="C50" s="2" t="inlineStr">
        <is>
          <t>Weak website</t>
        </is>
      </c>
      <c r="D50" s="2" t="inlineStr">
        <is>
          <t>Mackay Cakes</t>
        </is>
      </c>
      <c r="E50" s="2" t="inlineStr">
        <is>
          <t>wedding cakes</t>
        </is>
      </c>
      <c r="F50" s="2" t="inlineStr">
        <is>
          <t>Mackay</t>
        </is>
      </c>
      <c r="G50" s="2" t="inlineStr">
        <is>
          <t>Instagram</t>
        </is>
      </c>
      <c r="H50" s="4" t="inlineStr">
        <is>
          <t>https://www.instagram.com/exclusivecakes4all</t>
        </is>
      </c>
      <c r="I50" s="4" t="inlineStr">
        <is>
          <t>https://www.facebook.com/Exclusivecakes</t>
        </is>
      </c>
      <c r="J50" s="2" t="inlineStr"/>
      <c r="K50" s="4" t="inlineStr">
        <is>
          <t>https://mackaycakes.com.au/</t>
        </is>
      </c>
      <c r="L50" s="2" t="inlineStr">
        <is>
          <t>looks outdated (copyright 2015)</t>
        </is>
      </c>
      <c r="M50" s="2" t="inlineStr">
        <is>
          <t>Hi Mackay Cakes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0" s="4" t="inlineStr">
        <is>
          <t>Open map</t>
        </is>
      </c>
      <c r="O50" s="2" t="inlineStr">
        <is>
          <t>Not contacted</t>
        </is>
      </c>
      <c r="P50" s="2" t="inlineStr"/>
      <c r="Q50" s="2" t="inlineStr"/>
      <c r="R50" s="2" t="inlineStr"/>
      <c r="S50" s="2" t="inlineStr"/>
    </row>
    <row r="51">
      <c r="A51" s="2" t="n">
        <v>50</v>
      </c>
      <c r="B51" s="3" t="inlineStr">
        <is>
          <t>MEDIUM</t>
        </is>
      </c>
      <c r="C51" s="2" t="inlineStr">
        <is>
          <t>Weak website</t>
        </is>
      </c>
      <c r="D51" s="2" t="inlineStr">
        <is>
          <t>Scarborough Seaside Flowers</t>
        </is>
      </c>
      <c r="E51" s="2" t="inlineStr">
        <is>
          <t>florist</t>
        </is>
      </c>
      <c r="F51" s="2" t="inlineStr">
        <is>
          <t>Moreton Bay</t>
        </is>
      </c>
      <c r="G51" s="2" t="inlineStr">
        <is>
          <t>Instagram</t>
        </is>
      </c>
      <c r="H51" s="4" t="inlineStr">
        <is>
          <t>https://www.instagram.com/sseasideflowers</t>
        </is>
      </c>
      <c r="I51" s="4" t="inlineStr">
        <is>
          <t>https://www.facebook.com/scarboroughseasideflowers</t>
        </is>
      </c>
      <c r="J51" s="2" t="inlineStr"/>
      <c r="K51" s="4" t="inlineStr">
        <is>
          <t>https://www.scarboroughseasideflowers.com.au/</t>
        </is>
      </c>
      <c r="L51" s="2" t="inlineStr">
        <is>
          <t>slow to load (7.0s)</t>
        </is>
      </c>
      <c r="M51" s="2" t="inlineStr">
        <is>
          <t>Hi Scarborough Seaside Flowers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1" s="4" t="inlineStr">
        <is>
          <t>Open map</t>
        </is>
      </c>
      <c r="O51" s="2" t="inlineStr">
        <is>
          <t>Not contacted</t>
        </is>
      </c>
      <c r="P51" s="2" t="inlineStr"/>
      <c r="Q51" s="2" t="inlineStr"/>
      <c r="R51" s="2" t="inlineStr"/>
      <c r="S51" s="2" t="inlineStr"/>
    </row>
    <row r="52">
      <c r="A52" s="2" t="n">
        <v>51</v>
      </c>
      <c r="B52" s="3" t="inlineStr">
        <is>
          <t>MEDIUM</t>
        </is>
      </c>
      <c r="C52" s="2" t="inlineStr">
        <is>
          <t>Weak website</t>
        </is>
      </c>
      <c r="D52" s="2" t="inlineStr">
        <is>
          <t>Reid's Place</t>
        </is>
      </c>
      <c r="E52" s="2" t="inlineStr">
        <is>
          <t>wedding venue</t>
        </is>
      </c>
      <c r="F52" s="2" t="inlineStr">
        <is>
          <t>Moreton Bay</t>
        </is>
      </c>
      <c r="G52" s="2" t="inlineStr">
        <is>
          <t>Facebook</t>
        </is>
      </c>
      <c r="H52" s="2" t="inlineStr"/>
      <c r="I52" s="4" t="inlineStr">
        <is>
          <t>https://www.facebook.com/reidsplacecelebrations</t>
        </is>
      </c>
      <c r="J52" s="2" t="inlineStr"/>
      <c r="K52" s="4" t="inlineStr">
        <is>
          <t>https://www.reidsplace.com.au/</t>
        </is>
      </c>
      <c r="L52" s="2" t="inlineStr">
        <is>
          <t>missing meta description</t>
        </is>
      </c>
      <c r="M52" s="2" t="inlineStr">
        <is>
          <t>Hi Reid's Place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2" s="4" t="inlineStr">
        <is>
          <t>Open map</t>
        </is>
      </c>
      <c r="O52" s="2" t="inlineStr">
        <is>
          <t>Not contacted</t>
        </is>
      </c>
      <c r="P52" s="2" t="inlineStr"/>
      <c r="Q52" s="2" t="inlineStr"/>
      <c r="R52" s="2" t="inlineStr"/>
      <c r="S52" s="2" t="inlineStr"/>
    </row>
    <row r="53">
      <c r="A53" s="2" t="n">
        <v>52</v>
      </c>
      <c r="B53" s="3" t="inlineStr">
        <is>
          <t>MEDIUM</t>
        </is>
      </c>
      <c r="C53" s="2" t="inlineStr">
        <is>
          <t>Weak website</t>
        </is>
      </c>
      <c r="D53" s="2" t="inlineStr">
        <is>
          <t>Andrea Schumacher Celebrant</t>
        </is>
      </c>
      <c r="E53" s="2" t="inlineStr">
        <is>
          <t>celebrant</t>
        </is>
      </c>
      <c r="F53" s="2" t="inlineStr">
        <is>
          <t>Other QLD</t>
        </is>
      </c>
      <c r="G53" s="2" t="inlineStr">
        <is>
          <t>Instagram</t>
        </is>
      </c>
      <c r="H53" s="4" t="inlineStr">
        <is>
          <t>https://www.instagram.com/andrea_marriagecelebrant</t>
        </is>
      </c>
      <c r="I53" s="4" t="inlineStr">
        <is>
          <t>https://www.facebook.com/AndreaSchumacherMarriageCelebrant</t>
        </is>
      </c>
      <c r="J53" s="2" t="inlineStr"/>
      <c r="K53" s="4" t="inlineStr">
        <is>
          <t>https://scenicrimcelebrant.com.au/</t>
        </is>
      </c>
      <c r="L53" s="2" t="inlineStr">
        <is>
          <t>looks outdated (copyright 2015); missing meta description</t>
        </is>
      </c>
      <c r="M53" s="2" t="inlineStr">
        <is>
          <t>Hi Andrea Schumacher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3" s="4" t="inlineStr">
        <is>
          <t>Open map</t>
        </is>
      </c>
      <c r="O53" s="2" t="inlineStr">
        <is>
          <t>Not contacted</t>
        </is>
      </c>
      <c r="P53" s="2" t="inlineStr"/>
      <c r="Q53" s="2" t="inlineStr"/>
      <c r="R53" s="2" t="inlineStr"/>
      <c r="S53" s="2" t="inlineStr"/>
    </row>
    <row r="54">
      <c r="A54" s="2" t="n">
        <v>53</v>
      </c>
      <c r="B54" s="3" t="inlineStr">
        <is>
          <t>MEDIUM</t>
        </is>
      </c>
      <c r="C54" s="2" t="inlineStr">
        <is>
          <t>Weak website</t>
        </is>
      </c>
      <c r="D54" s="2" t="inlineStr">
        <is>
          <t>Deanna McKeowen Whitsunday Wedding Celebrant</t>
        </is>
      </c>
      <c r="E54" s="2" t="inlineStr">
        <is>
          <t>celebrant</t>
        </is>
      </c>
      <c r="F54" s="2" t="inlineStr">
        <is>
          <t>Other QLD</t>
        </is>
      </c>
      <c r="G54" s="2" t="inlineStr">
        <is>
          <t>Instagram</t>
        </is>
      </c>
      <c r="H54" s="4" t="inlineStr">
        <is>
          <t>https://www.instagram.com/deannamckeowen_celebrant</t>
        </is>
      </c>
      <c r="I54" s="4" t="inlineStr">
        <is>
          <t>https://www.facebook.com/deannamckeowenwhitsundayweddingcelebrant</t>
        </is>
      </c>
      <c r="J54" s="2" t="inlineStr"/>
      <c r="K54" s="4" t="inlineStr">
        <is>
          <t>https://www.whitsundayweddingcelebrant.com.au/</t>
        </is>
      </c>
      <c r="L54" s="2" t="inlineStr">
        <is>
          <t>looks outdated (copyright 2022)</t>
        </is>
      </c>
      <c r="M54" s="2" t="inlineStr">
        <is>
          <t>Hi Deanna McKeowen Whitsunday Wedding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4" s="4" t="inlineStr">
        <is>
          <t>Open map</t>
        </is>
      </c>
      <c r="O54" s="2" t="inlineStr">
        <is>
          <t>Not contacted</t>
        </is>
      </c>
      <c r="P54" s="2" t="inlineStr"/>
      <c r="Q54" s="2" t="inlineStr"/>
      <c r="R54" s="2" t="inlineStr"/>
      <c r="S54" s="2" t="inlineStr"/>
    </row>
    <row r="55">
      <c r="A55" s="2" t="n">
        <v>54</v>
      </c>
      <c r="B55" s="3" t="inlineStr">
        <is>
          <t>MEDIUM</t>
        </is>
      </c>
      <c r="C55" s="2" t="inlineStr">
        <is>
          <t>Weak website</t>
        </is>
      </c>
      <c r="D55" s="2" t="inlineStr">
        <is>
          <t>Marry Me Amanda</t>
        </is>
      </c>
      <c r="E55" s="2" t="inlineStr">
        <is>
          <t>celebrant</t>
        </is>
      </c>
      <c r="F55" s="2" t="inlineStr">
        <is>
          <t>Other QLD</t>
        </is>
      </c>
      <c r="G55" s="2" t="inlineStr">
        <is>
          <t>Instagram</t>
        </is>
      </c>
      <c r="H55" s="4" t="inlineStr">
        <is>
          <t>https://www.instagram.com/marrymeamanda</t>
        </is>
      </c>
      <c r="I55" s="4" t="inlineStr">
        <is>
          <t>https://www.facebook.com/profile.php</t>
        </is>
      </c>
      <c r="J55" s="2" t="inlineStr"/>
      <c r="K55" s="4" t="inlineStr">
        <is>
          <t>https://www.marrymeamanda.com/</t>
        </is>
      </c>
      <c r="L55" s="2" t="inlineStr">
        <is>
          <t>looks outdated (copyright 2023)</t>
        </is>
      </c>
      <c r="M55" s="2" t="inlineStr">
        <is>
          <t>Hi Marry Me Amanda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5" s="4" t="inlineStr">
        <is>
          <t>Open map</t>
        </is>
      </c>
      <c r="O55" s="2" t="inlineStr">
        <is>
          <t>Not contacted</t>
        </is>
      </c>
      <c r="P55" s="2" t="inlineStr"/>
      <c r="Q55" s="2" t="inlineStr"/>
      <c r="R55" s="2" t="inlineStr"/>
      <c r="S55" s="2" t="inlineStr"/>
    </row>
    <row r="56">
      <c r="A56" s="2" t="n">
        <v>55</v>
      </c>
      <c r="B56" s="3" t="inlineStr">
        <is>
          <t>MEDIUM</t>
        </is>
      </c>
      <c r="C56" s="2" t="inlineStr">
        <is>
          <t>Weak website</t>
        </is>
      </c>
      <c r="D56" s="2" t="inlineStr">
        <is>
          <t>Paul Skinner Celebrant (Whitsundays Online)</t>
        </is>
      </c>
      <c r="E56" s="2" t="inlineStr">
        <is>
          <t>celebrant</t>
        </is>
      </c>
      <c r="F56" s="2" t="inlineStr">
        <is>
          <t>Other QLD</t>
        </is>
      </c>
      <c r="G56" s="2" t="inlineStr">
        <is>
          <t>Instagram</t>
        </is>
      </c>
      <c r="H56" s="4" t="inlineStr">
        <is>
          <t>https://www.instagram.com/paulskinner.marriagecelebrant</t>
        </is>
      </c>
      <c r="I56" s="4" t="inlineStr">
        <is>
          <t>https://www.facebook.com/PaulSkinnerCelebrant</t>
        </is>
      </c>
      <c r="J56" s="2" t="inlineStr"/>
      <c r="K56" s="4" t="inlineStr">
        <is>
          <t>https://whitsundaysonline.com/</t>
        </is>
      </c>
      <c r="L56" s="2" t="inlineStr">
        <is>
          <t>looks outdated (copyright 2023); missing meta description</t>
        </is>
      </c>
      <c r="M56" s="2" t="inlineStr">
        <is>
          <t>Hi Paul Skinner Celebrant (Whitsundays Online)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6" s="4" t="inlineStr">
        <is>
          <t>Open map</t>
        </is>
      </c>
      <c r="O56" s="2" t="inlineStr">
        <is>
          <t>Not contacted</t>
        </is>
      </c>
      <c r="P56" s="2" t="inlineStr"/>
      <c r="Q56" s="2" t="inlineStr"/>
      <c r="R56" s="2" t="inlineStr"/>
      <c r="S56" s="2" t="inlineStr"/>
    </row>
    <row r="57">
      <c r="A57" s="2" t="n">
        <v>56</v>
      </c>
      <c r="B57" s="3" t="inlineStr">
        <is>
          <t>MEDIUM</t>
        </is>
      </c>
      <c r="C57" s="2" t="inlineStr">
        <is>
          <t>Weak website</t>
        </is>
      </c>
      <c r="D57" s="2" t="inlineStr">
        <is>
          <t>Registry Weddings Whitsundays</t>
        </is>
      </c>
      <c r="E57" s="2" t="inlineStr">
        <is>
          <t>celebrant</t>
        </is>
      </c>
      <c r="F57" s="2" t="inlineStr">
        <is>
          <t>Other QLD</t>
        </is>
      </c>
      <c r="G57" s="2" t="inlineStr">
        <is>
          <t>Instagram</t>
        </is>
      </c>
      <c r="H57" s="4" t="inlineStr">
        <is>
          <t>https://www.instagram.com/kyliemcintoshcelebrant</t>
        </is>
      </c>
      <c r="I57" s="4" t="inlineStr">
        <is>
          <t>https://www.facebook.com/kyliemcintoshweddingcelebrant</t>
        </is>
      </c>
      <c r="J57" s="2" t="inlineStr"/>
      <c r="K57" s="4" t="inlineStr">
        <is>
          <t>https://www.registryweddingswhitsundays.com.au/</t>
        </is>
      </c>
      <c r="L57" s="2" t="inlineStr">
        <is>
          <t>slow to load (4.2s)</t>
        </is>
      </c>
      <c r="M57" s="2" t="inlineStr">
        <is>
          <t>Hi Registry Weddings Whitsundays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57" s="4" t="inlineStr">
        <is>
          <t>Open map</t>
        </is>
      </c>
      <c r="O57" s="2" t="inlineStr">
        <is>
          <t>Not contacted</t>
        </is>
      </c>
      <c r="P57" s="2" t="inlineStr"/>
      <c r="Q57" s="2" t="inlineStr"/>
      <c r="R57" s="2" t="inlineStr"/>
      <c r="S57" s="2" t="inlineStr"/>
    </row>
    <row r="58">
      <c r="A58" s="2" t="n">
        <v>57</v>
      </c>
      <c r="B58" s="3" t="inlineStr">
        <is>
          <t>MEDIUM</t>
        </is>
      </c>
      <c r="C58" s="2" t="inlineStr">
        <is>
          <t>Weak website</t>
        </is>
      </c>
      <c r="D58" s="2" t="inlineStr">
        <is>
          <t>The Love Chronicles</t>
        </is>
      </c>
      <c r="E58" s="2" t="inlineStr">
        <is>
          <t>celebrant</t>
        </is>
      </c>
      <c r="F58" s="2" t="inlineStr">
        <is>
          <t>Other QLD</t>
        </is>
      </c>
      <c r="G58" s="2" t="inlineStr">
        <is>
          <t>Instagram</t>
        </is>
      </c>
      <c r="H58" s="4" t="inlineStr">
        <is>
          <t>https://www.instagram.com/wed_by_anna</t>
        </is>
      </c>
      <c r="I58" s="4" t="inlineStr">
        <is>
          <t>https://www.facebook.com/portdouglasmarriages</t>
        </is>
      </c>
      <c r="J58" s="2" t="inlineStr"/>
      <c r="K58" s="4" t="inlineStr">
        <is>
          <t>https://thelovechronicles.com.au/</t>
        </is>
      </c>
      <c r="L58" s="2" t="inlineStr">
        <is>
          <t>looks outdated (copyright 2015)</t>
        </is>
      </c>
      <c r="M58" s="2" t="inlineStr">
        <is>
          <t>Hi The Love Chronicles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8" s="4" t="inlineStr">
        <is>
          <t>Open map</t>
        </is>
      </c>
      <c r="O58" s="2" t="inlineStr">
        <is>
          <t>Not contacted</t>
        </is>
      </c>
      <c r="P58" s="2" t="inlineStr"/>
      <c r="Q58" s="2" t="inlineStr"/>
      <c r="R58" s="2" t="inlineStr"/>
      <c r="S58" s="2" t="inlineStr"/>
    </row>
    <row r="59">
      <c r="A59" s="2" t="n">
        <v>58</v>
      </c>
      <c r="B59" s="3" t="inlineStr">
        <is>
          <t>MEDIUM</t>
        </is>
      </c>
      <c r="C59" s="2" t="inlineStr">
        <is>
          <t>Weak website</t>
        </is>
      </c>
      <c r="D59" s="2" t="inlineStr">
        <is>
          <t>Flowers by Wynne</t>
        </is>
      </c>
      <c r="E59" s="2" t="inlineStr">
        <is>
          <t>florist</t>
        </is>
      </c>
      <c r="F59" s="2" t="inlineStr">
        <is>
          <t>Other QLD</t>
        </is>
      </c>
      <c r="G59" s="2" t="inlineStr">
        <is>
          <t>Instagram</t>
        </is>
      </c>
      <c r="H59" s="4" t="inlineStr">
        <is>
          <t>https://www.instagram.com/flowersbywynne</t>
        </is>
      </c>
      <c r="I59" s="4" t="inlineStr">
        <is>
          <t>https://www.facebook.com/flowersbywynne/photos</t>
        </is>
      </c>
      <c r="J59" s="2" t="inlineStr"/>
      <c r="K59" s="4" t="inlineStr">
        <is>
          <t>https://flowersbywynne.com.au/</t>
        </is>
      </c>
      <c r="L59" s="2" t="inlineStr">
        <is>
          <t>missing meta description</t>
        </is>
      </c>
      <c r="M59" s="2" t="inlineStr">
        <is>
          <t>Hi Flowers by Wynne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59" s="4" t="inlineStr">
        <is>
          <t>Open map</t>
        </is>
      </c>
      <c r="O59" s="2" t="inlineStr">
        <is>
          <t>Not contacted</t>
        </is>
      </c>
      <c r="P59" s="2" t="inlineStr"/>
      <c r="Q59" s="2" t="inlineStr"/>
      <c r="R59" s="2" t="inlineStr"/>
      <c r="S59" s="2" t="inlineStr"/>
    </row>
    <row r="60">
      <c r="A60" s="2" t="n">
        <v>59</v>
      </c>
      <c r="B60" s="3" t="inlineStr">
        <is>
          <t>MEDIUM</t>
        </is>
      </c>
      <c r="C60" s="2" t="inlineStr">
        <is>
          <t>Weak website</t>
        </is>
      </c>
      <c r="D60" s="2" t="inlineStr">
        <is>
          <t>Leigh McCoy</t>
        </is>
      </c>
      <c r="E60" s="2" t="inlineStr">
        <is>
          <t>hair and makeup</t>
        </is>
      </c>
      <c r="F60" s="2" t="inlineStr">
        <is>
          <t>Other QLD</t>
        </is>
      </c>
      <c r="G60" s="2" t="inlineStr">
        <is>
          <t>Instagram</t>
        </is>
      </c>
      <c r="H60" s="4" t="inlineStr">
        <is>
          <t>https://www.instagram.com/leighmccoy_/channel</t>
        </is>
      </c>
      <c r="I60" s="2" t="inlineStr"/>
      <c r="J60" s="2" t="inlineStr"/>
      <c r="K60" s="4" t="inlineStr">
        <is>
          <t>https://www.leighmccoy.com/</t>
        </is>
      </c>
      <c r="L60" s="2" t="inlineStr">
        <is>
          <t>looks outdated (copyright 2021)</t>
        </is>
      </c>
      <c r="M60" s="2" t="inlineStr">
        <is>
          <t>Hi Leigh McCoy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0" s="4" t="inlineStr">
        <is>
          <t>Open map</t>
        </is>
      </c>
      <c r="O60" s="2" t="inlineStr">
        <is>
          <t>Not contacted</t>
        </is>
      </c>
      <c r="P60" s="2" t="inlineStr"/>
      <c r="Q60" s="2" t="inlineStr"/>
      <c r="R60" s="2" t="inlineStr"/>
      <c r="S60" s="2" t="inlineStr"/>
    </row>
    <row r="61">
      <c r="A61" s="2" t="n">
        <v>60</v>
      </c>
      <c r="B61" s="3" t="inlineStr">
        <is>
          <t>MEDIUM</t>
        </is>
      </c>
      <c r="C61" s="2" t="inlineStr">
        <is>
          <t>Weak website</t>
        </is>
      </c>
      <c r="D61" s="2" t="inlineStr">
        <is>
          <t>Naturally SAS Hair &amp; Beauty</t>
        </is>
      </c>
      <c r="E61" s="2" t="inlineStr">
        <is>
          <t>hair and makeup</t>
        </is>
      </c>
      <c r="F61" s="2" t="inlineStr">
        <is>
          <t>Other QLD</t>
        </is>
      </c>
      <c r="G61" s="2" t="inlineStr">
        <is>
          <t>Instagram</t>
        </is>
      </c>
      <c r="H61" s="4" t="inlineStr">
        <is>
          <t>https://www.instagram.com/naturally_sas_hair_beauty</t>
        </is>
      </c>
      <c r="I61" s="4" t="inlineStr">
        <is>
          <t>https://www.facebook.com/NaturallySAS</t>
        </is>
      </c>
      <c r="J61" s="2" t="inlineStr"/>
      <c r="K61" s="4" t="inlineStr">
        <is>
          <t>https://naturallysas.com.au/</t>
        </is>
      </c>
      <c r="L61" s="2" t="inlineStr">
        <is>
          <t>slow to load (3.0s)</t>
        </is>
      </c>
      <c r="M61" s="2" t="inlineStr">
        <is>
          <t>Hi Naturally SAS Hair &amp; Beauty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1" s="4" t="inlineStr">
        <is>
          <t>Open map</t>
        </is>
      </c>
      <c r="O61" s="2" t="inlineStr">
        <is>
          <t>Not contacted</t>
        </is>
      </c>
      <c r="P61" s="2" t="inlineStr"/>
      <c r="Q61" s="2" t="inlineStr"/>
      <c r="R61" s="2" t="inlineStr"/>
      <c r="S61" s="2" t="inlineStr"/>
    </row>
    <row r="62">
      <c r="A62" s="2" t="n">
        <v>61</v>
      </c>
      <c r="B62" s="3" t="inlineStr">
        <is>
          <t>MEDIUM</t>
        </is>
      </c>
      <c r="C62" s="2" t="inlineStr">
        <is>
          <t>Weak website</t>
        </is>
      </c>
      <c r="D62" s="2" t="inlineStr">
        <is>
          <t>Weddings Port Douglas</t>
        </is>
      </c>
      <c r="E62" s="2" t="inlineStr">
        <is>
          <t>wedding planner or stylist</t>
        </is>
      </c>
      <c r="F62" s="2" t="inlineStr">
        <is>
          <t>Other QLD</t>
        </is>
      </c>
      <c r="G62" s="2" t="inlineStr">
        <is>
          <t>Instagram</t>
        </is>
      </c>
      <c r="H62" s="4" t="inlineStr">
        <is>
          <t>https://www.instagram.com/portdouglasweddings</t>
        </is>
      </c>
      <c r="I62" s="4" t="inlineStr">
        <is>
          <t>https://www.facebook.com/portdouglaswedding</t>
        </is>
      </c>
      <c r="J62" s="2" t="inlineStr"/>
      <c r="K62" s="4" t="inlineStr">
        <is>
          <t>https://www.weddingsportdouglas.com.au/</t>
        </is>
      </c>
      <c r="L62" s="2" t="inlineStr">
        <is>
          <t>looks outdated (copyright 2023); slow to load (4.1s)</t>
        </is>
      </c>
      <c r="M62" s="2" t="inlineStr">
        <is>
          <t>Hi Weddings Port Douglas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2" s="4" t="inlineStr">
        <is>
          <t>Open map</t>
        </is>
      </c>
      <c r="O62" s="2" t="inlineStr">
        <is>
          <t>Not contacted</t>
        </is>
      </c>
      <c r="P62" s="2" t="inlineStr"/>
      <c r="Q62" s="2" t="inlineStr"/>
      <c r="R62" s="2" t="inlineStr"/>
      <c r="S62" s="2" t="inlineStr"/>
    </row>
    <row r="63">
      <c r="A63" s="2" t="n">
        <v>62</v>
      </c>
      <c r="B63" s="3" t="inlineStr">
        <is>
          <t>MEDIUM</t>
        </is>
      </c>
      <c r="C63" s="2" t="inlineStr">
        <is>
          <t>Weak website</t>
        </is>
      </c>
      <c r="D63" s="2" t="inlineStr">
        <is>
          <t>Villa Botanica</t>
        </is>
      </c>
      <c r="E63" s="2" t="inlineStr">
        <is>
          <t>wedding venue</t>
        </is>
      </c>
      <c r="F63" s="2" t="inlineStr">
        <is>
          <t>Other QLD</t>
        </is>
      </c>
      <c r="G63" s="2" t="inlineStr">
        <is>
          <t>Instagram</t>
        </is>
      </c>
      <c r="H63" s="4" t="inlineStr">
        <is>
          <t>https://www.instagram.com/villabotanicawhitsundays</t>
        </is>
      </c>
      <c r="I63" s="4" t="inlineStr">
        <is>
          <t>https://www.facebook.com/villabotanica</t>
        </is>
      </c>
      <c r="J63" s="2" t="inlineStr"/>
      <c r="K63" s="4" t="inlineStr">
        <is>
          <t>https://villabotanica.com.au/</t>
        </is>
      </c>
      <c r="L63" s="2" t="inlineStr">
        <is>
          <t>slow to load (3.2s)</t>
        </is>
      </c>
      <c r="M63" s="2" t="inlineStr">
        <is>
          <t>Hi Villa Botanica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3" s="4" t="inlineStr">
        <is>
          <t>Open map</t>
        </is>
      </c>
      <c r="O63" s="2" t="inlineStr">
        <is>
          <t>Not contacted</t>
        </is>
      </c>
      <c r="P63" s="2" t="inlineStr"/>
      <c r="Q63" s="2" t="inlineStr"/>
      <c r="R63" s="2" t="inlineStr"/>
      <c r="S63" s="2" t="inlineStr"/>
    </row>
    <row r="64">
      <c r="A64" s="2" t="n">
        <v>63</v>
      </c>
      <c r="B64" s="3" t="inlineStr">
        <is>
          <t>MEDIUM</t>
        </is>
      </c>
      <c r="C64" s="2" t="inlineStr">
        <is>
          <t>Weak website</t>
        </is>
      </c>
      <c r="D64" s="2" t="inlineStr">
        <is>
          <t>Villa Paradise Cove</t>
        </is>
      </c>
      <c r="E64" s="2" t="inlineStr">
        <is>
          <t>wedding venue</t>
        </is>
      </c>
      <c r="F64" s="2" t="inlineStr">
        <is>
          <t>Other QLD</t>
        </is>
      </c>
      <c r="G64" s="2" t="inlineStr">
        <is>
          <t>Instagram</t>
        </is>
      </c>
      <c r="H64" s="4" t="inlineStr">
        <is>
          <t>https://www.instagram.com/paradisecovewhitsundays</t>
        </is>
      </c>
      <c r="I64" s="4" t="inlineStr">
        <is>
          <t>https://www.facebook.com/paradisecovewhitsundays</t>
        </is>
      </c>
      <c r="J64" s="2" t="inlineStr"/>
      <c r="K64" s="4" t="inlineStr">
        <is>
          <t>https://villaparadisecove.com.au/</t>
        </is>
      </c>
      <c r="L64" s="2" t="inlineStr">
        <is>
          <t>slow to load (5.4s)</t>
        </is>
      </c>
      <c r="M64" s="2" t="inlineStr">
        <is>
          <t>Hi Villa Paradise Cove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4" s="4" t="inlineStr">
        <is>
          <t>Open map</t>
        </is>
      </c>
      <c r="O64" s="2" t="inlineStr">
        <is>
          <t>Not contacted</t>
        </is>
      </c>
      <c r="P64" s="2" t="inlineStr"/>
      <c r="Q64" s="2" t="inlineStr"/>
      <c r="R64" s="2" t="inlineStr"/>
      <c r="S64" s="2" t="inlineStr"/>
    </row>
    <row r="65">
      <c r="A65" s="2" t="n">
        <v>64</v>
      </c>
      <c r="B65" s="3" t="inlineStr">
        <is>
          <t>MEDIUM</t>
        </is>
      </c>
      <c r="C65" s="2" t="inlineStr">
        <is>
          <t>Weak website</t>
        </is>
      </c>
      <c r="D65" s="2" t="inlineStr">
        <is>
          <t>Redlands Registry Weddings</t>
        </is>
      </c>
      <c r="E65" s="2" t="inlineStr">
        <is>
          <t>celebrant</t>
        </is>
      </c>
      <c r="F65" s="2" t="inlineStr">
        <is>
          <t>Redlands</t>
        </is>
      </c>
      <c r="G65" s="2" t="inlineStr">
        <is>
          <t>Instagram</t>
        </is>
      </c>
      <c r="H65" s="4" t="inlineStr">
        <is>
          <t>https://www.instagram.com/redlands_registry_weddings</t>
        </is>
      </c>
      <c r="I65" s="2" t="inlineStr"/>
      <c r="J65" s="2" t="inlineStr"/>
      <c r="K65" s="4" t="inlineStr">
        <is>
          <t>https://www.redlandsregistryweddings.com.au/</t>
        </is>
      </c>
      <c r="L65" s="2" t="inlineStr">
        <is>
          <t>looks outdated (copyright 2023)</t>
        </is>
      </c>
      <c r="M65" s="2" t="inlineStr">
        <is>
          <t>Hi Redlands Registry Weddings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5" s="4" t="inlineStr">
        <is>
          <t>Open map</t>
        </is>
      </c>
      <c r="O65" s="2" t="inlineStr">
        <is>
          <t>Not contacted</t>
        </is>
      </c>
      <c r="P65" s="2" t="inlineStr"/>
      <c r="Q65" s="2" t="inlineStr"/>
      <c r="R65" s="2" t="inlineStr"/>
      <c r="S65" s="2" t="inlineStr"/>
    </row>
    <row r="66">
      <c r="A66" s="2" t="n">
        <v>65</v>
      </c>
      <c r="B66" s="3" t="inlineStr">
        <is>
          <t>MEDIUM</t>
        </is>
      </c>
      <c r="C66" s="2" t="inlineStr">
        <is>
          <t>Weak website</t>
        </is>
      </c>
      <c r="D66" s="2" t="inlineStr">
        <is>
          <t>Cakes by Simone</t>
        </is>
      </c>
      <c r="E66" s="2" t="inlineStr">
        <is>
          <t>wedding cakes</t>
        </is>
      </c>
      <c r="F66" s="2" t="inlineStr">
        <is>
          <t>Redlands</t>
        </is>
      </c>
      <c r="G66" s="2" t="inlineStr">
        <is>
          <t>Facebook</t>
        </is>
      </c>
      <c r="H66" s="2" t="inlineStr"/>
      <c r="I66" s="4" t="inlineStr">
        <is>
          <t>https://www.facebook.com/pages/Cakes-by-Simone/351155011082</t>
        </is>
      </c>
      <c r="J66" s="2" t="inlineStr"/>
      <c r="K66" s="4" t="inlineStr">
        <is>
          <t>https://www.cakesbysimone.com.au/</t>
        </is>
      </c>
      <c r="L66" s="2" t="inlineStr">
        <is>
          <t>not mobile-friendly (no viewport tag); missing meta description</t>
        </is>
      </c>
      <c r="M66" s="2" t="inlineStr">
        <is>
          <t>Hi Cakes by Simone team! [one real detail from their page]. We're AceAds, a web design studio. We noticed your website is hard to use on a phone. We'd be happy to make you a free preview of what a website could look like. Want one? No cost, no obligation.</t>
        </is>
      </c>
      <c r="N66" s="4" t="inlineStr">
        <is>
          <t>Open map</t>
        </is>
      </c>
      <c r="O66" s="2" t="inlineStr">
        <is>
          <t>Not contacted</t>
        </is>
      </c>
      <c r="P66" s="2" t="inlineStr"/>
      <c r="Q66" s="2" t="inlineStr"/>
      <c r="R66" s="2" t="inlineStr"/>
      <c r="S66" s="2" t="inlineStr"/>
    </row>
    <row r="67">
      <c r="A67" s="2" t="n">
        <v>66</v>
      </c>
      <c r="B67" s="3" t="inlineStr">
        <is>
          <t>MEDIUM</t>
        </is>
      </c>
      <c r="C67" s="2" t="inlineStr">
        <is>
          <t>Weak website</t>
        </is>
      </c>
      <c r="D67" s="2" t="inlineStr">
        <is>
          <t>Heather Sanders Celebrant</t>
        </is>
      </c>
      <c r="E67" s="2" t="inlineStr">
        <is>
          <t>celebrant</t>
        </is>
      </c>
      <c r="F67" s="2" t="inlineStr">
        <is>
          <t>Rockhampton</t>
        </is>
      </c>
      <c r="G67" s="2" t="inlineStr">
        <is>
          <t>Instagram</t>
        </is>
      </c>
      <c r="H67" s="4" t="inlineStr">
        <is>
          <t>https://www.instagram.com/heathersanderscelebrant</t>
        </is>
      </c>
      <c r="I67" s="4" t="inlineStr">
        <is>
          <t>https://www.facebook.com/heathersanderscelebrant</t>
        </is>
      </c>
      <c r="J67" s="2" t="inlineStr"/>
      <c r="K67" s="4" t="inlineStr">
        <is>
          <t>https://www.heathersanderscelebrant.com.au/</t>
        </is>
      </c>
      <c r="L67" s="2" t="inlineStr">
        <is>
          <t>looks outdated (copyright 2021)</t>
        </is>
      </c>
      <c r="M67" s="2" t="inlineStr">
        <is>
          <t>Hi Heather Sanders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7" s="4" t="inlineStr">
        <is>
          <t>Open map</t>
        </is>
      </c>
      <c r="O67" s="2" t="inlineStr">
        <is>
          <t>Not contacted</t>
        </is>
      </c>
      <c r="P67" s="2" t="inlineStr"/>
      <c r="Q67" s="2" t="inlineStr"/>
      <c r="R67" s="2" t="inlineStr"/>
      <c r="S67" s="2" t="inlineStr"/>
    </row>
    <row r="68">
      <c r="A68" s="2" t="n">
        <v>67</v>
      </c>
      <c r="B68" s="3" t="inlineStr">
        <is>
          <t>MEDIUM</t>
        </is>
      </c>
      <c r="C68" s="2" t="inlineStr">
        <is>
          <t>Weak website</t>
        </is>
      </c>
      <c r="D68" s="2" t="inlineStr">
        <is>
          <t>Rockhampton Florist</t>
        </is>
      </c>
      <c r="E68" s="2" t="inlineStr">
        <is>
          <t>florist</t>
        </is>
      </c>
      <c r="F68" s="2" t="inlineStr">
        <is>
          <t>Rockhampton</t>
        </is>
      </c>
      <c r="G68" s="2" t="inlineStr">
        <is>
          <t>Instagram</t>
        </is>
      </c>
      <c r="H68" s="4" t="inlineStr">
        <is>
          <t>https://www.instagram.com/rockhamptonflorist</t>
        </is>
      </c>
      <c r="I68" s="4" t="inlineStr">
        <is>
          <t>https://www.facebook.com/rtonflorist1</t>
        </is>
      </c>
      <c r="J68" s="2" t="inlineStr"/>
      <c r="K68" s="4" t="inlineStr">
        <is>
          <t>https://www.rockhamptonflorist.com.au/</t>
        </is>
      </c>
      <c r="L68" s="2" t="inlineStr">
        <is>
          <t>looks outdated (copyright 2023)</t>
        </is>
      </c>
      <c r="M68" s="2" t="inlineStr">
        <is>
          <t>Hi Rockhampton Florist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8" s="4" t="inlineStr">
        <is>
          <t>Open map</t>
        </is>
      </c>
      <c r="O68" s="2" t="inlineStr">
        <is>
          <t>Not contacted</t>
        </is>
      </c>
      <c r="P68" s="2" t="inlineStr"/>
      <c r="Q68" s="2" t="inlineStr"/>
      <c r="R68" s="2" t="inlineStr"/>
      <c r="S68" s="2" t="inlineStr"/>
    </row>
    <row r="69">
      <c r="A69" s="2" t="n">
        <v>68</v>
      </c>
      <c r="B69" s="3" t="inlineStr">
        <is>
          <t>MEDIUM</t>
        </is>
      </c>
      <c r="C69" s="2" t="inlineStr">
        <is>
          <t>Weak website</t>
        </is>
      </c>
      <c r="D69" s="2" t="inlineStr">
        <is>
          <t>Cutting Edge Boutique</t>
        </is>
      </c>
      <c r="E69" s="2" t="inlineStr">
        <is>
          <t>hair and makeup</t>
        </is>
      </c>
      <c r="F69" s="2" t="inlineStr">
        <is>
          <t>Rockhampton</t>
        </is>
      </c>
      <c r="G69" s="2" t="inlineStr">
        <is>
          <t>Instagram</t>
        </is>
      </c>
      <c r="H69" s="4" t="inlineStr">
        <is>
          <t>https://www.instagram.com/cuttingedgeboutique_yeppoon</t>
        </is>
      </c>
      <c r="I69" s="4" t="inlineStr">
        <is>
          <t>https://www.facebook.com/cuttingedgeboutique</t>
        </is>
      </c>
      <c r="J69" s="2" t="inlineStr"/>
      <c r="K69" s="4" t="inlineStr">
        <is>
          <t>https://www.cuttingedgeboutique.com.au/</t>
        </is>
      </c>
      <c r="L69" s="2" t="inlineStr">
        <is>
          <t>looks outdated (copyright 2021)</t>
        </is>
      </c>
      <c r="M69" s="2" t="inlineStr">
        <is>
          <t>Hi Cutting Edge Boutique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69" s="4" t="inlineStr">
        <is>
          <t>Open map</t>
        </is>
      </c>
      <c r="O69" s="2" t="inlineStr">
        <is>
          <t>Not contacted</t>
        </is>
      </c>
      <c r="P69" s="2" t="inlineStr"/>
      <c r="Q69" s="2" t="inlineStr"/>
      <c r="R69" s="2" t="inlineStr"/>
      <c r="S69" s="2" t="inlineStr"/>
    </row>
    <row r="70">
      <c r="A70" s="2" t="n">
        <v>69</v>
      </c>
      <c r="B70" s="3" t="inlineStr">
        <is>
          <t>MEDIUM</t>
        </is>
      </c>
      <c r="C70" s="2" t="inlineStr">
        <is>
          <t>Weak website</t>
        </is>
      </c>
      <c r="D70" s="2" t="inlineStr">
        <is>
          <t>Love Note Music</t>
        </is>
      </c>
      <c r="E70" s="2" t="inlineStr">
        <is>
          <t>DJ or band</t>
        </is>
      </c>
      <c r="F70" s="2" t="inlineStr">
        <is>
          <t>Sunshine Coast</t>
        </is>
      </c>
      <c r="G70" s="2" t="inlineStr">
        <is>
          <t>Instagram</t>
        </is>
      </c>
      <c r="H70" s="4" t="inlineStr">
        <is>
          <t>https://www.instagram.com/lovenotemusic</t>
        </is>
      </c>
      <c r="I70" s="4" t="inlineStr">
        <is>
          <t>https://www.facebook.com/love.note.music</t>
        </is>
      </c>
      <c r="J70" s="2" t="inlineStr"/>
      <c r="K70" s="4" t="inlineStr">
        <is>
          <t>https://lovenotemusic.com.au/</t>
        </is>
      </c>
      <c r="L70" s="2" t="inlineStr">
        <is>
          <t>slow to load (3.9s)</t>
        </is>
      </c>
      <c r="M70" s="2" t="inlineStr">
        <is>
          <t>Hi Love Note Music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0" s="4" t="inlineStr">
        <is>
          <t>Open map</t>
        </is>
      </c>
      <c r="O70" s="2" t="inlineStr">
        <is>
          <t>Not contacted</t>
        </is>
      </c>
      <c r="P70" s="2" t="inlineStr"/>
      <c r="Q70" s="2" t="inlineStr"/>
      <c r="R70" s="2" t="inlineStr"/>
      <c r="S70" s="2" t="inlineStr"/>
    </row>
    <row r="71">
      <c r="A71" s="2" t="n">
        <v>70</v>
      </c>
      <c r="B71" s="3" t="inlineStr">
        <is>
          <t>MEDIUM</t>
        </is>
      </c>
      <c r="C71" s="2" t="inlineStr">
        <is>
          <t>Weak website</t>
        </is>
      </c>
      <c r="D71" s="2" t="inlineStr">
        <is>
          <t>Caity the Celebrant</t>
        </is>
      </c>
      <c r="E71" s="2" t="inlineStr">
        <is>
          <t>celebrant</t>
        </is>
      </c>
      <c r="F71" s="2" t="inlineStr">
        <is>
          <t>Sunshine Coast</t>
        </is>
      </c>
      <c r="G71" s="2" t="inlineStr">
        <is>
          <t>Instagram</t>
        </is>
      </c>
      <c r="H71" s="4" t="inlineStr">
        <is>
          <t>https://www.instagram.com/caitythecelebrant</t>
        </is>
      </c>
      <c r="I71" s="4" t="inlineStr">
        <is>
          <t>https://www.facebook.com/Caitythecelebrant</t>
        </is>
      </c>
      <c r="J71" s="2" t="inlineStr"/>
      <c r="K71" s="4" t="inlineStr">
        <is>
          <t>https://www.caitythecelebrant.com.au/</t>
        </is>
      </c>
      <c r="L71" s="2" t="inlineStr">
        <is>
          <t>looks outdated (copyright 2021)</t>
        </is>
      </c>
      <c r="M71" s="2" t="inlineStr">
        <is>
          <t>Hi Caity the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1" s="4" t="inlineStr">
        <is>
          <t>Open map</t>
        </is>
      </c>
      <c r="O71" s="2" t="inlineStr">
        <is>
          <t>Not contacted</t>
        </is>
      </c>
      <c r="P71" s="2" t="inlineStr"/>
      <c r="Q71" s="2" t="inlineStr"/>
      <c r="R71" s="2" t="inlineStr"/>
      <c r="S71" s="2" t="inlineStr"/>
    </row>
    <row r="72">
      <c r="A72" s="2" t="n">
        <v>71</v>
      </c>
      <c r="B72" s="3" t="inlineStr">
        <is>
          <t>MEDIUM</t>
        </is>
      </c>
      <c r="C72" s="2" t="inlineStr">
        <is>
          <t>Weak website</t>
        </is>
      </c>
      <c r="D72" s="2" t="inlineStr">
        <is>
          <t>Ceremonies by Emma</t>
        </is>
      </c>
      <c r="E72" s="2" t="inlineStr">
        <is>
          <t>celebrant</t>
        </is>
      </c>
      <c r="F72" s="2" t="inlineStr">
        <is>
          <t>Sunshine Coast</t>
        </is>
      </c>
      <c r="G72" s="2" t="inlineStr">
        <is>
          <t>Instagram</t>
        </is>
      </c>
      <c r="H72" s="4" t="inlineStr">
        <is>
          <t>https://www.instagram.com/ceremoniesbyemma_</t>
        </is>
      </c>
      <c r="I72" s="4" t="inlineStr">
        <is>
          <t>https://www.facebook.com/ceremoniesbyemma</t>
        </is>
      </c>
      <c r="J72" s="2" t="inlineStr"/>
      <c r="K72" s="4" t="inlineStr">
        <is>
          <t>https://ceremoniesbyemma.com.au/</t>
        </is>
      </c>
      <c r="L72" s="2" t="inlineStr">
        <is>
          <t>slow to load (6.1s)</t>
        </is>
      </c>
      <c r="M72" s="2" t="inlineStr">
        <is>
          <t>Hi Ceremonies by Emma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2" s="4" t="inlineStr">
        <is>
          <t>Open map</t>
        </is>
      </c>
      <c r="O72" s="2" t="inlineStr">
        <is>
          <t>Not contacted</t>
        </is>
      </c>
      <c r="P72" s="2" t="inlineStr"/>
      <c r="Q72" s="2" t="inlineStr"/>
      <c r="R72" s="2" t="inlineStr"/>
      <c r="S72" s="2" t="inlineStr"/>
    </row>
    <row r="73">
      <c r="A73" s="2" t="n">
        <v>72</v>
      </c>
      <c r="B73" s="3" t="inlineStr">
        <is>
          <t>MEDIUM</t>
        </is>
      </c>
      <c r="C73" s="2" t="inlineStr">
        <is>
          <t>Weak website</t>
        </is>
      </c>
      <c r="D73" s="2" t="inlineStr">
        <is>
          <t>The Sunny Celebrant</t>
        </is>
      </c>
      <c r="E73" s="2" t="inlineStr">
        <is>
          <t>celebrant</t>
        </is>
      </c>
      <c r="F73" s="2" t="inlineStr">
        <is>
          <t>Sunshine Coast</t>
        </is>
      </c>
      <c r="G73" s="2" t="inlineStr">
        <is>
          <t>Instagram</t>
        </is>
      </c>
      <c r="H73" s="4" t="inlineStr">
        <is>
          <t>https://www.instagram.com/natalieskye_thesunnycelebrant</t>
        </is>
      </c>
      <c r="I73" s="4" t="inlineStr">
        <is>
          <t>https://www.facebook.com/thesunnycelebrantnatalieskye</t>
        </is>
      </c>
      <c r="J73" s="2" t="inlineStr"/>
      <c r="K73" s="4" t="inlineStr">
        <is>
          <t>https://www.thesunnycelebrant.com.au/</t>
        </is>
      </c>
      <c r="L73" s="2" t="inlineStr">
        <is>
          <t>missing meta description</t>
        </is>
      </c>
      <c r="M73" s="2" t="inlineStr">
        <is>
          <t>Hi The Sunny Celebrant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3" s="4" t="inlineStr">
        <is>
          <t>Open map</t>
        </is>
      </c>
      <c r="O73" s="2" t="inlineStr">
        <is>
          <t>Not contacted</t>
        </is>
      </c>
      <c r="P73" s="2" t="inlineStr"/>
      <c r="Q73" s="2" t="inlineStr"/>
      <c r="R73" s="2" t="inlineStr"/>
      <c r="S73" s="2" t="inlineStr"/>
    </row>
    <row r="74">
      <c r="A74" s="2" t="n">
        <v>73</v>
      </c>
      <c r="B74" s="3" t="inlineStr">
        <is>
          <t>MEDIUM</t>
        </is>
      </c>
      <c r="C74" s="2" t="inlineStr">
        <is>
          <t>Weak website</t>
        </is>
      </c>
      <c r="D74" s="2" t="inlineStr">
        <is>
          <t>Suncoast Wedding &amp; Event Hire Co.</t>
        </is>
      </c>
      <c r="E74" s="2" t="inlineStr">
        <is>
          <t>event hire</t>
        </is>
      </c>
      <c r="F74" s="2" t="inlineStr">
        <is>
          <t>Sunshine Coast</t>
        </is>
      </c>
      <c r="G74" s="2" t="inlineStr">
        <is>
          <t>Instagram</t>
        </is>
      </c>
      <c r="H74" s="4" t="inlineStr">
        <is>
          <t>https://www.instagram.com/elopementsnoosa</t>
        </is>
      </c>
      <c r="I74" s="4" t="inlineStr">
        <is>
          <t>https://www.facebook.com/elopementsnoosa</t>
        </is>
      </c>
      <c r="J74" s="2" t="inlineStr"/>
      <c r="K74" s="4" t="inlineStr">
        <is>
          <t>https://suncoastweddingco.com/</t>
        </is>
      </c>
      <c r="L74" s="2" t="inlineStr">
        <is>
          <t>looks outdated (copyright 2023); missing meta description</t>
        </is>
      </c>
      <c r="M74" s="2" t="inlineStr">
        <is>
          <t>Hi Suncoast Wedding &amp; Event Hire Co.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4" s="4" t="inlineStr">
        <is>
          <t>Open map</t>
        </is>
      </c>
      <c r="O74" s="2" t="inlineStr">
        <is>
          <t>Not contacted</t>
        </is>
      </c>
      <c r="P74" s="2" t="inlineStr"/>
      <c r="Q74" s="2" t="inlineStr"/>
      <c r="R74" s="2" t="inlineStr"/>
      <c r="S74" s="2" t="inlineStr"/>
    </row>
    <row r="75">
      <c r="A75" s="2" t="n">
        <v>74</v>
      </c>
      <c r="B75" s="3" t="inlineStr">
        <is>
          <t>MEDIUM</t>
        </is>
      </c>
      <c r="C75" s="2" t="inlineStr">
        <is>
          <t>Weak website</t>
        </is>
      </c>
      <c r="D75" s="2" t="inlineStr">
        <is>
          <t>The Orange Blossom</t>
        </is>
      </c>
      <c r="E75" s="2" t="inlineStr">
        <is>
          <t>florist</t>
        </is>
      </c>
      <c r="F75" s="2" t="inlineStr">
        <is>
          <t>Sunshine Coast</t>
        </is>
      </c>
      <c r="G75" s="2" t="inlineStr">
        <is>
          <t>Instagram</t>
        </is>
      </c>
      <c r="H75" s="4" t="inlineStr">
        <is>
          <t>https://www.instagram.com/theorangeblossom</t>
        </is>
      </c>
      <c r="I75" s="4" t="inlineStr">
        <is>
          <t>https://www.facebook.com/theorangeblossomaus</t>
        </is>
      </c>
      <c r="J75" s="2" t="inlineStr"/>
      <c r="K75" s="4" t="inlineStr">
        <is>
          <t>https://www.theorangeblossom.com.au/</t>
        </is>
      </c>
      <c r="L75" s="2" t="inlineStr">
        <is>
          <t>looks outdated (copyright 2023)</t>
        </is>
      </c>
      <c r="M75" s="2" t="inlineStr">
        <is>
          <t>Hi The Orange Blossom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5" s="4" t="inlineStr">
        <is>
          <t>Open map</t>
        </is>
      </c>
      <c r="O75" s="2" t="inlineStr">
        <is>
          <t>Not contacted</t>
        </is>
      </c>
      <c r="P75" s="2" t="inlineStr"/>
      <c r="Q75" s="2" t="inlineStr"/>
      <c r="R75" s="2" t="inlineStr"/>
      <c r="S75" s="2" t="inlineStr"/>
    </row>
    <row r="76">
      <c r="A76" s="2" t="n">
        <v>75</v>
      </c>
      <c r="B76" s="3" t="inlineStr">
        <is>
          <t>MEDIUM</t>
        </is>
      </c>
      <c r="C76" s="2" t="inlineStr">
        <is>
          <t>Weak website</t>
        </is>
      </c>
      <c r="D76" s="2" t="inlineStr">
        <is>
          <t>Urban Botanica Noosa</t>
        </is>
      </c>
      <c r="E76" s="2" t="inlineStr">
        <is>
          <t>florist</t>
        </is>
      </c>
      <c r="F76" s="2" t="inlineStr">
        <is>
          <t>Sunshine Coast</t>
        </is>
      </c>
      <c r="G76" s="2" t="inlineStr">
        <is>
          <t>Instagram</t>
        </is>
      </c>
      <c r="H76" s="4" t="inlineStr">
        <is>
          <t>https://instagram.com/urbanbotanica_</t>
        </is>
      </c>
      <c r="I76" s="4" t="inlineStr">
        <is>
          <t>https://www.facebook.com/Urbanbotanica</t>
        </is>
      </c>
      <c r="J76" s="2" t="inlineStr"/>
      <c r="K76" s="4" t="inlineStr">
        <is>
          <t>https://www.urbanbotanicanoosa.com/</t>
        </is>
      </c>
      <c r="L76" s="2" t="inlineStr">
        <is>
          <t>looks outdated (copyright 2019)</t>
        </is>
      </c>
      <c r="M76" s="2" t="inlineStr">
        <is>
          <t>Hi Urban Botanica Noosa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6" s="4" t="inlineStr">
        <is>
          <t>Open map</t>
        </is>
      </c>
      <c r="O76" s="2" t="inlineStr">
        <is>
          <t>Not contacted</t>
        </is>
      </c>
      <c r="P76" s="2" t="inlineStr"/>
      <c r="Q76" s="2" t="inlineStr"/>
      <c r="R76" s="2" t="inlineStr"/>
      <c r="S76" s="2" t="inlineStr"/>
    </row>
    <row r="77">
      <c r="A77" s="2" t="n">
        <v>76</v>
      </c>
      <c r="B77" s="3" t="inlineStr">
        <is>
          <t>MEDIUM</t>
        </is>
      </c>
      <c r="C77" s="2" t="inlineStr">
        <is>
          <t>Weak website</t>
        </is>
      </c>
      <c r="D77" s="2" t="inlineStr">
        <is>
          <t>Allure Bridal Stylists</t>
        </is>
      </c>
      <c r="E77" s="2" t="inlineStr">
        <is>
          <t>hair and makeup</t>
        </is>
      </c>
      <c r="F77" s="2" t="inlineStr">
        <is>
          <t>Sunshine Coast</t>
        </is>
      </c>
      <c r="G77" s="2" t="inlineStr">
        <is>
          <t>Instagram</t>
        </is>
      </c>
      <c r="H77" s="4" t="inlineStr">
        <is>
          <t>https://www.instagram.com/allurebridalstylists</t>
        </is>
      </c>
      <c r="I77" s="4" t="inlineStr">
        <is>
          <t>http://www.facebook.com/allurebridalstylists</t>
        </is>
      </c>
      <c r="J77" s="2" t="inlineStr"/>
      <c r="K77" s="4" t="inlineStr">
        <is>
          <t>https://www.allurebridalstylists.com/</t>
        </is>
      </c>
      <c r="L77" s="2" t="inlineStr">
        <is>
          <t>looks outdated (copyright 2017)</t>
        </is>
      </c>
      <c r="M77" s="2" t="inlineStr">
        <is>
          <t>Hi Allure Bridal Stylists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7" s="4" t="inlineStr">
        <is>
          <t>Open map</t>
        </is>
      </c>
      <c r="O77" s="2" t="inlineStr">
        <is>
          <t>Not contacted</t>
        </is>
      </c>
      <c r="P77" s="2" t="inlineStr"/>
      <c r="Q77" s="2" t="inlineStr"/>
      <c r="R77" s="2" t="inlineStr"/>
      <c r="S77" s="2" t="inlineStr"/>
    </row>
    <row r="78">
      <c r="A78" s="2" t="n">
        <v>77</v>
      </c>
      <c r="B78" s="3" t="inlineStr">
        <is>
          <t>MEDIUM</t>
        </is>
      </c>
      <c r="C78" s="2" t="inlineStr">
        <is>
          <t>Weak website</t>
        </is>
      </c>
      <c r="D78" s="2" t="inlineStr">
        <is>
          <t>By Sarah Jane</t>
        </is>
      </c>
      <c r="E78" s="2" t="inlineStr">
        <is>
          <t>hair and makeup</t>
        </is>
      </c>
      <c r="F78" s="2" t="inlineStr">
        <is>
          <t>Sunshine Coast</t>
        </is>
      </c>
      <c r="G78" s="2" t="inlineStr">
        <is>
          <t>Instagram</t>
        </is>
      </c>
      <c r="H78" s="4" t="inlineStr">
        <is>
          <t>https://www.instagram.com/bysarahjane</t>
        </is>
      </c>
      <c r="I78" s="4" t="inlineStr">
        <is>
          <t>https://www.facebook.com/bysarahjanemaleny</t>
        </is>
      </c>
      <c r="J78" s="2" t="inlineStr"/>
      <c r="K78" s="4" t="inlineStr">
        <is>
          <t>https://www.bysarahjane.com.au/</t>
        </is>
      </c>
      <c r="L78" s="2" t="inlineStr">
        <is>
          <t>missing meta description; slow to load (4.5s)</t>
        </is>
      </c>
      <c r="M78" s="2" t="inlineStr">
        <is>
          <t>Hi By Sarah Jane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8" s="4" t="inlineStr">
        <is>
          <t>Open map</t>
        </is>
      </c>
      <c r="O78" s="2" t="inlineStr">
        <is>
          <t>Not contacted</t>
        </is>
      </c>
      <c r="P78" s="2" t="inlineStr"/>
      <c r="Q78" s="2" t="inlineStr"/>
      <c r="R78" s="2" t="inlineStr"/>
      <c r="S78" s="2" t="inlineStr"/>
    </row>
    <row r="79">
      <c r="A79" s="2" t="n">
        <v>78</v>
      </c>
      <c r="B79" s="3" t="inlineStr">
        <is>
          <t>MEDIUM</t>
        </is>
      </c>
      <c r="C79" s="2" t="inlineStr">
        <is>
          <t>Weak website</t>
        </is>
      </c>
      <c r="D79" s="2" t="inlineStr">
        <is>
          <t>Hayley Patterson</t>
        </is>
      </c>
      <c r="E79" s="2" t="inlineStr">
        <is>
          <t>hair and makeup</t>
        </is>
      </c>
      <c r="F79" s="2" t="inlineStr">
        <is>
          <t>Sunshine Coast</t>
        </is>
      </c>
      <c r="G79" s="2" t="inlineStr">
        <is>
          <t>Instagram</t>
        </is>
      </c>
      <c r="H79" s="4" t="inlineStr">
        <is>
          <t>https://www.instagram.com/hayleypatterson_hmua</t>
        </is>
      </c>
      <c r="I79" s="2" t="inlineStr"/>
      <c r="J79" s="2" t="inlineStr"/>
      <c r="K79" s="4" t="inlineStr">
        <is>
          <t>https://hayleypatterson.com.au/</t>
        </is>
      </c>
      <c r="L79" s="2" t="inlineStr">
        <is>
          <t>slow to load (8.4s)</t>
        </is>
      </c>
      <c r="M79" s="2" t="inlineStr">
        <is>
          <t>Hi Hayley Patterson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79" s="4" t="inlineStr">
        <is>
          <t>Open map</t>
        </is>
      </c>
      <c r="O79" s="2" t="inlineStr">
        <is>
          <t>Not contacted</t>
        </is>
      </c>
      <c r="P79" s="2" t="inlineStr"/>
      <c r="Q79" s="2" t="inlineStr"/>
      <c r="R79" s="2" t="inlineStr"/>
      <c r="S79" s="2" t="inlineStr"/>
    </row>
    <row r="80">
      <c r="A80" s="2" t="n">
        <v>79</v>
      </c>
      <c r="B80" s="3" t="inlineStr">
        <is>
          <t>MEDIUM</t>
        </is>
      </c>
      <c r="C80" s="2" t="inlineStr">
        <is>
          <t>Weak website</t>
        </is>
      </c>
      <c r="D80" s="2" t="inlineStr">
        <is>
          <t>Makeup by Marlies</t>
        </is>
      </c>
      <c r="E80" s="2" t="inlineStr">
        <is>
          <t>hair and makeup</t>
        </is>
      </c>
      <c r="F80" s="2" t="inlineStr">
        <is>
          <t>Sunshine Coast</t>
        </is>
      </c>
      <c r="G80" s="2" t="inlineStr">
        <is>
          <t>Instagram</t>
        </is>
      </c>
      <c r="H80" s="4" t="inlineStr">
        <is>
          <t>http://instagram.com/makeup_by_marlies</t>
        </is>
      </c>
      <c r="I80" s="4" t="inlineStr">
        <is>
          <t>https://www.facebook.com/makeupbymarlies.com.au</t>
        </is>
      </c>
      <c r="J80" s="2" t="inlineStr"/>
      <c r="K80" s="4" t="inlineStr">
        <is>
          <t>https://makeupbymarlies.com.au/</t>
        </is>
      </c>
      <c r="L80" s="2" t="inlineStr">
        <is>
          <t>slow to load (3.9s)</t>
        </is>
      </c>
      <c r="M80" s="2" t="inlineStr">
        <is>
          <t>Hi Makeup by Marlies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0" s="4" t="inlineStr">
        <is>
          <t>Open map</t>
        </is>
      </c>
      <c r="O80" s="2" t="inlineStr">
        <is>
          <t>Not contacted</t>
        </is>
      </c>
      <c r="P80" s="2" t="inlineStr"/>
      <c r="Q80" s="2" t="inlineStr"/>
      <c r="R80" s="2" t="inlineStr"/>
      <c r="S80" s="2" t="inlineStr"/>
    </row>
    <row r="81">
      <c r="A81" s="2" t="n">
        <v>80</v>
      </c>
      <c r="B81" s="3" t="inlineStr">
        <is>
          <t>MEDIUM</t>
        </is>
      </c>
      <c r="C81" s="2" t="inlineStr">
        <is>
          <t>Weak website</t>
        </is>
      </c>
      <c r="D81" s="2" t="inlineStr">
        <is>
          <t>Cupcake Elegance</t>
        </is>
      </c>
      <c r="E81" s="2" t="inlineStr">
        <is>
          <t>wedding cakes</t>
        </is>
      </c>
      <c r="F81" s="2" t="inlineStr">
        <is>
          <t>Sunshine Coast</t>
        </is>
      </c>
      <c r="G81" s="2" t="inlineStr">
        <is>
          <t>Instagram</t>
        </is>
      </c>
      <c r="H81" s="4" t="inlineStr">
        <is>
          <t>https://www.instagram.com/cupcake_elegance</t>
        </is>
      </c>
      <c r="I81" s="4" t="inlineStr">
        <is>
          <t>https://www.facebook.com/pg/Angela.CupcakeElegance</t>
        </is>
      </c>
      <c r="J81" s="2" t="inlineStr"/>
      <c r="K81" s="4" t="inlineStr">
        <is>
          <t>https://cupcake-elegance.com.au/</t>
        </is>
      </c>
      <c r="L81" s="2" t="inlineStr">
        <is>
          <t>looks outdated (copyright 2018); missing meta description</t>
        </is>
      </c>
      <c r="M81" s="2" t="inlineStr">
        <is>
          <t>Hi Cupcake Elegance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1" s="4" t="inlineStr">
        <is>
          <t>Open map</t>
        </is>
      </c>
      <c r="O81" s="2" t="inlineStr">
        <is>
          <t>Not contacted</t>
        </is>
      </c>
      <c r="P81" s="2" t="inlineStr"/>
      <c r="Q81" s="2" t="inlineStr"/>
      <c r="R81" s="2" t="inlineStr"/>
      <c r="S81" s="2" t="inlineStr"/>
    </row>
    <row r="82">
      <c r="A82" s="2" t="n">
        <v>81</v>
      </c>
      <c r="B82" s="3" t="inlineStr">
        <is>
          <t>MEDIUM</t>
        </is>
      </c>
      <c r="C82" s="2" t="inlineStr">
        <is>
          <t>Weak website</t>
        </is>
      </c>
      <c r="D82" s="2" t="inlineStr">
        <is>
          <t>Lea Cake Design</t>
        </is>
      </c>
      <c r="E82" s="2" t="inlineStr">
        <is>
          <t>wedding cakes</t>
        </is>
      </c>
      <c r="F82" s="2" t="inlineStr">
        <is>
          <t>Sunshine Coast</t>
        </is>
      </c>
      <c r="G82" s="2" t="inlineStr">
        <is>
          <t>Instagram</t>
        </is>
      </c>
      <c r="H82" s="4" t="inlineStr">
        <is>
          <t>https://www.instagram.com/lea.cake.design</t>
        </is>
      </c>
      <c r="I82" s="4" t="inlineStr">
        <is>
          <t>https://www.facebook.com/leacakeau</t>
        </is>
      </c>
      <c r="J82" s="2" t="inlineStr"/>
      <c r="K82" s="4" t="inlineStr">
        <is>
          <t>https://leacakedesign.com.au/</t>
        </is>
      </c>
      <c r="L82" s="2" t="inlineStr">
        <is>
          <t>slow to load (8.6s)</t>
        </is>
      </c>
      <c r="M82" s="2" t="inlineStr">
        <is>
          <t>Hi Lea Cake Design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2" s="4" t="inlineStr">
        <is>
          <t>Open map</t>
        </is>
      </c>
      <c r="O82" s="2" t="inlineStr">
        <is>
          <t>Not contacted</t>
        </is>
      </c>
      <c r="P82" s="2" t="inlineStr"/>
      <c r="Q82" s="2" t="inlineStr"/>
      <c r="R82" s="2" t="inlineStr"/>
      <c r="S82" s="2" t="inlineStr"/>
    </row>
    <row r="83">
      <c r="A83" s="2" t="n">
        <v>82</v>
      </c>
      <c r="B83" s="3" t="inlineStr">
        <is>
          <t>MEDIUM</t>
        </is>
      </c>
      <c r="C83" s="2" t="inlineStr">
        <is>
          <t>Weak website</t>
        </is>
      </c>
      <c r="D83" s="2" t="inlineStr">
        <is>
          <t>SweetP Cakes and Cookies</t>
        </is>
      </c>
      <c r="E83" s="2" t="inlineStr">
        <is>
          <t>wedding cakes</t>
        </is>
      </c>
      <c r="F83" s="2" t="inlineStr">
        <is>
          <t>Sunshine Coast</t>
        </is>
      </c>
      <c r="G83" s="2" t="inlineStr">
        <is>
          <t>Instagram</t>
        </is>
      </c>
      <c r="H83" s="4" t="inlineStr">
        <is>
          <t>https://www.instagram.com/sweetpcakesandcookies</t>
        </is>
      </c>
      <c r="I83" s="4" t="inlineStr">
        <is>
          <t>https://www.facebook.com/SweetPCakesandCookies</t>
        </is>
      </c>
      <c r="J83" s="2" t="inlineStr"/>
      <c r="K83" s="4" t="inlineStr">
        <is>
          <t>https://www.sweetpcakesandcookies.com/</t>
        </is>
      </c>
      <c r="L83" s="2" t="inlineStr">
        <is>
          <t>looks outdated (copyright 2019)</t>
        </is>
      </c>
      <c r="M83" s="2" t="inlineStr">
        <is>
          <t>Hi SweetP Cakes and Cookies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3" s="4" t="inlineStr">
        <is>
          <t>Open map</t>
        </is>
      </c>
      <c r="O83" s="2" t="inlineStr">
        <is>
          <t>Not contacted</t>
        </is>
      </c>
      <c r="P83" s="2" t="inlineStr"/>
      <c r="Q83" s="2" t="inlineStr"/>
      <c r="R83" s="2" t="inlineStr"/>
      <c r="S83" s="2" t="inlineStr"/>
    </row>
    <row r="84">
      <c r="A84" s="2" t="n">
        <v>83</v>
      </c>
      <c r="B84" s="3" t="inlineStr">
        <is>
          <t>MEDIUM</t>
        </is>
      </c>
      <c r="C84" s="2" t="inlineStr">
        <is>
          <t>Weak website</t>
        </is>
      </c>
      <c r="D84" s="2" t="inlineStr">
        <is>
          <t>ZO&amp;Co.</t>
        </is>
      </c>
      <c r="E84" s="2" t="inlineStr">
        <is>
          <t>wedding cakes</t>
        </is>
      </c>
      <c r="F84" s="2" t="inlineStr">
        <is>
          <t>Sunshine Coast</t>
        </is>
      </c>
      <c r="G84" s="2" t="inlineStr">
        <is>
          <t>Instagram</t>
        </is>
      </c>
      <c r="H84" s="4" t="inlineStr">
        <is>
          <t>https://www.instagram.com/zoandcocakes%20</t>
        </is>
      </c>
      <c r="I84" s="4" t="inlineStr">
        <is>
          <t>https://www.facebook.com/zoandcocakes</t>
        </is>
      </c>
      <c r="J84" s="2" t="inlineStr"/>
      <c r="K84" s="4" t="inlineStr">
        <is>
          <t>https://zoandco.com.au/</t>
        </is>
      </c>
      <c r="L84" s="2" t="inlineStr">
        <is>
          <t>slow to load (6.8s)</t>
        </is>
      </c>
      <c r="M84" s="2" t="inlineStr">
        <is>
          <t>Hi ZO&amp;Co.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4" s="4" t="inlineStr">
        <is>
          <t>Open map</t>
        </is>
      </c>
      <c r="O84" s="2" t="inlineStr">
        <is>
          <t>Not contacted</t>
        </is>
      </c>
      <c r="P84" s="2" t="inlineStr"/>
      <c r="Q84" s="2" t="inlineStr"/>
      <c r="R84" s="2" t="inlineStr"/>
      <c r="S84" s="2" t="inlineStr"/>
    </row>
    <row r="85">
      <c r="A85" s="2" t="n">
        <v>84</v>
      </c>
      <c r="B85" s="3" t="inlineStr">
        <is>
          <t>MEDIUM</t>
        </is>
      </c>
      <c r="C85" s="2" t="inlineStr">
        <is>
          <t>Weak website</t>
        </is>
      </c>
      <c r="D85" s="2" t="inlineStr">
        <is>
          <t>Classic Mustang Event Car Hire</t>
        </is>
      </c>
      <c r="E85" s="2" t="inlineStr">
        <is>
          <t>wedding cars</t>
        </is>
      </c>
      <c r="F85" s="2" t="inlineStr">
        <is>
          <t>Sunshine Coast</t>
        </is>
      </c>
      <c r="G85" s="2" t="inlineStr">
        <is>
          <t>Instagram</t>
        </is>
      </c>
      <c r="H85" s="4" t="inlineStr">
        <is>
          <t>https://www.instagram.com/classicmustangeventcarhire</t>
        </is>
      </c>
      <c r="I85" s="4" t="inlineStr">
        <is>
          <t>https://www.facebook.com/ClassicMustangEventCarHire</t>
        </is>
      </c>
      <c r="J85" s="2" t="inlineStr"/>
      <c r="K85" s="4" t="inlineStr">
        <is>
          <t>https://classicmustangeventcarhire.com.au/</t>
        </is>
      </c>
      <c r="L85" s="2" t="inlineStr">
        <is>
          <t>slow to load (3.5s)</t>
        </is>
      </c>
      <c r="M85" s="2" t="inlineStr">
        <is>
          <t>Hi Classic Mustang Event Car Hire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5" s="4" t="inlineStr">
        <is>
          <t>Open map</t>
        </is>
      </c>
      <c r="O85" s="2" t="inlineStr">
        <is>
          <t>Not contacted</t>
        </is>
      </c>
      <c r="P85" s="2" t="inlineStr"/>
      <c r="Q85" s="2" t="inlineStr"/>
      <c r="R85" s="2" t="inlineStr"/>
      <c r="S85" s="2" t="inlineStr"/>
    </row>
    <row r="86">
      <c r="A86" s="2" t="n">
        <v>85</v>
      </c>
      <c r="B86" s="3" t="inlineStr">
        <is>
          <t>MEDIUM</t>
        </is>
      </c>
      <c r="C86" s="2" t="inlineStr">
        <is>
          <t>Weak website</t>
        </is>
      </c>
      <c r="D86" s="2" t="inlineStr">
        <is>
          <t>My Driver Noosa</t>
        </is>
      </c>
      <c r="E86" s="2" t="inlineStr">
        <is>
          <t>wedding cars</t>
        </is>
      </c>
      <c r="F86" s="2" t="inlineStr">
        <is>
          <t>Sunshine Coast</t>
        </is>
      </c>
      <c r="G86" s="2" t="inlineStr">
        <is>
          <t>Instagram</t>
        </is>
      </c>
      <c r="H86" s="4" t="inlineStr">
        <is>
          <t>https://www.instagram.com/mydriver_noosa</t>
        </is>
      </c>
      <c r="I86" s="4" t="inlineStr">
        <is>
          <t>https://www.facebook.com/mydrivernoosa</t>
        </is>
      </c>
      <c r="J86" s="2" t="inlineStr"/>
      <c r="K86" s="4" t="inlineStr">
        <is>
          <t>https://mydrivernoosa.com.au/</t>
        </is>
      </c>
      <c r="L86" s="2" t="inlineStr">
        <is>
          <t>slow to load (5.8s)</t>
        </is>
      </c>
      <c r="M86" s="2" t="inlineStr">
        <is>
          <t>Hi My Driver Noosa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6" s="4" t="inlineStr">
        <is>
          <t>Open map</t>
        </is>
      </c>
      <c r="O86" s="2" t="inlineStr">
        <is>
          <t>Not contacted</t>
        </is>
      </c>
      <c r="P86" s="2" t="inlineStr"/>
      <c r="Q86" s="2" t="inlineStr"/>
      <c r="R86" s="2" t="inlineStr"/>
      <c r="S86" s="2" t="inlineStr"/>
    </row>
    <row r="87">
      <c r="A87" s="2" t="n">
        <v>86</v>
      </c>
      <c r="B87" s="3" t="inlineStr">
        <is>
          <t>MEDIUM</t>
        </is>
      </c>
      <c r="C87" s="2" t="inlineStr">
        <is>
          <t>Weak website</t>
        </is>
      </c>
      <c r="D87" s="2" t="inlineStr">
        <is>
          <t>Noosa Woody Hire</t>
        </is>
      </c>
      <c r="E87" s="2" t="inlineStr">
        <is>
          <t>wedding cars</t>
        </is>
      </c>
      <c r="F87" s="2" t="inlineStr">
        <is>
          <t>Sunshine Coast</t>
        </is>
      </c>
      <c r="G87" s="2" t="inlineStr">
        <is>
          <t>Instagram</t>
        </is>
      </c>
      <c r="H87" s="4" t="inlineStr">
        <is>
          <t>https://www.instagram.com/noosawoodyhire</t>
        </is>
      </c>
      <c r="I87" s="4" t="inlineStr">
        <is>
          <t>https://www.facebook.com/noosawoodyhire</t>
        </is>
      </c>
      <c r="J87" s="2" t="inlineStr"/>
      <c r="K87" s="4" t="inlineStr">
        <is>
          <t>https://noosawoodyhire.com.au/</t>
        </is>
      </c>
      <c r="L87" s="2" t="inlineStr">
        <is>
          <t>slow to load (4.6s)</t>
        </is>
      </c>
      <c r="M87" s="2" t="inlineStr">
        <is>
          <t>Hi Noosa Woody Hire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87" s="4" t="inlineStr">
        <is>
          <t>Open map</t>
        </is>
      </c>
      <c r="O87" s="2" t="inlineStr">
        <is>
          <t>Not contacted</t>
        </is>
      </c>
      <c r="P87" s="2" t="inlineStr"/>
      <c r="Q87" s="2" t="inlineStr"/>
      <c r="R87" s="2" t="inlineStr"/>
      <c r="S87" s="2" t="inlineStr"/>
    </row>
    <row r="88">
      <c r="A88" s="2" t="n">
        <v>87</v>
      </c>
      <c r="B88" s="3" t="inlineStr">
        <is>
          <t>MEDIUM</t>
        </is>
      </c>
      <c r="C88" s="2" t="inlineStr">
        <is>
          <t>Weak website</t>
        </is>
      </c>
      <c r="D88" s="2" t="inlineStr">
        <is>
          <t>Lovebird Weddings</t>
        </is>
      </c>
      <c r="E88" s="2" t="inlineStr">
        <is>
          <t>wedding planner or stylist</t>
        </is>
      </c>
      <c r="F88" s="2" t="inlineStr">
        <is>
          <t>Sunshine Coast</t>
        </is>
      </c>
      <c r="G88" s="2" t="inlineStr">
        <is>
          <t>Instagram</t>
        </is>
      </c>
      <c r="H88" s="4" t="inlineStr">
        <is>
          <t>https://www.instagram.com/lovebirdweddings</t>
        </is>
      </c>
      <c r="I88" s="4" t="inlineStr">
        <is>
          <t>https://www.facebook.com/lovebirdsandfriends</t>
        </is>
      </c>
      <c r="J88" s="2" t="inlineStr"/>
      <c r="K88" s="4" t="inlineStr">
        <is>
          <t>https://www.lovebirdweddings.com.au/</t>
        </is>
      </c>
      <c r="L88" s="2" t="inlineStr">
        <is>
          <t>looks outdated (copyright 2023)</t>
        </is>
      </c>
      <c r="M88" s="2" t="inlineStr">
        <is>
          <t>Hi Lovebird Weddings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8" s="4" t="inlineStr">
        <is>
          <t>Open map</t>
        </is>
      </c>
      <c r="O88" s="2" t="inlineStr">
        <is>
          <t>Not contacted</t>
        </is>
      </c>
      <c r="P88" s="2" t="inlineStr"/>
      <c r="Q88" s="2" t="inlineStr"/>
      <c r="R88" s="2" t="inlineStr"/>
      <c r="S88" s="2" t="inlineStr"/>
    </row>
    <row r="89">
      <c r="A89" s="2" t="n">
        <v>88</v>
      </c>
      <c r="B89" s="3" t="inlineStr">
        <is>
          <t>MEDIUM</t>
        </is>
      </c>
      <c r="C89" s="2" t="inlineStr">
        <is>
          <t>Weak website</t>
        </is>
      </c>
      <c r="D89" s="2" t="inlineStr">
        <is>
          <t>Noosa Wedding and Events</t>
        </is>
      </c>
      <c r="E89" s="2" t="inlineStr">
        <is>
          <t>wedding planner or stylist</t>
        </is>
      </c>
      <c r="F89" s="2" t="inlineStr">
        <is>
          <t>Sunshine Coast</t>
        </is>
      </c>
      <c r="G89" s="2" t="inlineStr">
        <is>
          <t>Instagram</t>
        </is>
      </c>
      <c r="H89" s="4" t="inlineStr">
        <is>
          <t>https://instagram.com/noosaweddingandevents</t>
        </is>
      </c>
      <c r="I89" s="4" t="inlineStr">
        <is>
          <t>http://www.facebook.com/noosaweddingandevents</t>
        </is>
      </c>
      <c r="J89" s="2" t="inlineStr"/>
      <c r="K89" s="4" t="inlineStr">
        <is>
          <t>https://www.noosaweddingandevents.com/</t>
        </is>
      </c>
      <c r="L89" s="2" t="inlineStr">
        <is>
          <t>looks outdated (copyright 2019)</t>
        </is>
      </c>
      <c r="M89" s="2" t="inlineStr">
        <is>
          <t>Hi Noosa Wedding and Events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9" s="4" t="inlineStr">
        <is>
          <t>Open map</t>
        </is>
      </c>
      <c r="O89" s="2" t="inlineStr">
        <is>
          <t>Not contacted</t>
        </is>
      </c>
      <c r="P89" s="2" t="inlineStr"/>
      <c r="Q89" s="2" t="inlineStr"/>
      <c r="R89" s="2" t="inlineStr"/>
      <c r="S89" s="2" t="inlineStr"/>
    </row>
    <row r="90">
      <c r="A90" s="2" t="n">
        <v>89</v>
      </c>
      <c r="B90" s="3" t="inlineStr">
        <is>
          <t>MEDIUM</t>
        </is>
      </c>
      <c r="C90" s="2" t="inlineStr">
        <is>
          <t>Weak website</t>
        </is>
      </c>
      <c r="D90" s="2" t="inlineStr">
        <is>
          <t>Coolum Surf Club</t>
        </is>
      </c>
      <c r="E90" s="2" t="inlineStr">
        <is>
          <t>wedding venue</t>
        </is>
      </c>
      <c r="F90" s="2" t="inlineStr">
        <is>
          <t>Sunshine Coast</t>
        </is>
      </c>
      <c r="G90" s="2" t="inlineStr">
        <is>
          <t>Instagram</t>
        </is>
      </c>
      <c r="H90" s="4" t="inlineStr">
        <is>
          <t>https://www.instagram.com/coolumsurfclub</t>
        </is>
      </c>
      <c r="I90" s="4" t="inlineStr">
        <is>
          <t>https://www.facebook.com/CoolumSurfClub</t>
        </is>
      </c>
      <c r="J90" s="2" t="inlineStr"/>
      <c r="K90" s="4" t="inlineStr">
        <is>
          <t>https://coolumsurfclub.com/</t>
        </is>
      </c>
      <c r="L90" s="2" t="inlineStr">
        <is>
          <t>missing meta description</t>
        </is>
      </c>
      <c r="M90" s="2" t="inlineStr">
        <is>
          <t>Hi Coolum Surf Club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0" s="4" t="inlineStr">
        <is>
          <t>Open map</t>
        </is>
      </c>
      <c r="O90" s="2" t="inlineStr">
        <is>
          <t>Not contacted</t>
        </is>
      </c>
      <c r="P90" s="2" t="inlineStr"/>
      <c r="Q90" s="2" t="inlineStr"/>
      <c r="R90" s="2" t="inlineStr"/>
      <c r="S90" s="2" t="inlineStr"/>
    </row>
    <row r="91">
      <c r="A91" s="2" t="n">
        <v>90</v>
      </c>
      <c r="B91" s="3" t="inlineStr">
        <is>
          <t>MEDIUM</t>
        </is>
      </c>
      <c r="C91" s="2" t="inlineStr">
        <is>
          <t>Weak website</t>
        </is>
      </c>
      <c r="D91" s="2" t="inlineStr">
        <is>
          <t>The Bride's Tree</t>
        </is>
      </c>
      <c r="E91" s="2" t="inlineStr">
        <is>
          <t>wedding venue</t>
        </is>
      </c>
      <c r="F91" s="2" t="inlineStr">
        <is>
          <t>Sunshine Coast</t>
        </is>
      </c>
      <c r="G91" s="2" t="inlineStr">
        <is>
          <t>Instagram</t>
        </is>
      </c>
      <c r="H91" s="4" t="inlineStr">
        <is>
          <t>https://www.instagram.com/thebridestree</t>
        </is>
      </c>
      <c r="I91" s="4" t="inlineStr">
        <is>
          <t>https://www.facebook.com/thebridestree</t>
        </is>
      </c>
      <c r="J91" s="2" t="inlineStr"/>
      <c r="K91" s="4" t="inlineStr">
        <is>
          <t>https://www.thebridestree.com.au/</t>
        </is>
      </c>
      <c r="L91" s="2" t="inlineStr">
        <is>
          <t>looks outdated (copyright 2023)</t>
        </is>
      </c>
      <c r="M91" s="2" t="inlineStr">
        <is>
          <t>Hi The Bride's Tree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1" s="4" t="inlineStr">
        <is>
          <t>Open map</t>
        </is>
      </c>
      <c r="O91" s="2" t="inlineStr">
        <is>
          <t>Not contacted</t>
        </is>
      </c>
      <c r="P91" s="2" t="inlineStr"/>
      <c r="Q91" s="2" t="inlineStr"/>
      <c r="R91" s="2" t="inlineStr"/>
      <c r="S91" s="2" t="inlineStr"/>
    </row>
    <row r="92">
      <c r="A92" s="2" t="n">
        <v>91</v>
      </c>
      <c r="B92" s="3" t="inlineStr">
        <is>
          <t>MEDIUM</t>
        </is>
      </c>
      <c r="C92" s="2" t="inlineStr">
        <is>
          <t>Weak website</t>
        </is>
      </c>
      <c r="D92" s="2" t="inlineStr">
        <is>
          <t>The Old Dairy Maleny</t>
        </is>
      </c>
      <c r="E92" s="2" t="inlineStr">
        <is>
          <t>wedding venue</t>
        </is>
      </c>
      <c r="F92" s="2" t="inlineStr">
        <is>
          <t>Sunshine Coast</t>
        </is>
      </c>
      <c r="G92" s="2" t="inlineStr">
        <is>
          <t>Instagram</t>
        </is>
      </c>
      <c r="H92" s="4" t="inlineStr">
        <is>
          <t>https://www.instagram.com/theolddairymaleny</t>
        </is>
      </c>
      <c r="I92" s="4" t="inlineStr">
        <is>
          <t>https://www.facebook.com/theolddairymaleny</t>
        </is>
      </c>
      <c r="J92" s="2" t="inlineStr"/>
      <c r="K92" s="4" t="inlineStr">
        <is>
          <t>http://theolddairymaleny.com.au/</t>
        </is>
      </c>
      <c r="L92" s="2" t="inlineStr">
        <is>
          <t>no HTTPS (browser shows 'Not secure'); slow to load (6.0s)</t>
        </is>
      </c>
      <c r="M92" s="2" t="inlineStr">
        <is>
          <t>Hi The Old Dairy Maleny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2" s="4" t="inlineStr">
        <is>
          <t>Open map</t>
        </is>
      </c>
      <c r="O92" s="2" t="inlineStr">
        <is>
          <t>Not contacted</t>
        </is>
      </c>
      <c r="P92" s="2" t="inlineStr"/>
      <c r="Q92" s="2" t="inlineStr"/>
      <c r="R92" s="2" t="inlineStr"/>
      <c r="S92" s="2" t="inlineStr"/>
    </row>
    <row r="93">
      <c r="A93" s="2" t="n">
        <v>92</v>
      </c>
      <c r="B93" s="3" t="inlineStr">
        <is>
          <t>MEDIUM</t>
        </is>
      </c>
      <c r="C93" s="2" t="inlineStr">
        <is>
          <t>Weak website</t>
        </is>
      </c>
      <c r="D93" s="2" t="inlineStr">
        <is>
          <t>Belle Studio</t>
        </is>
      </c>
      <c r="E93" s="2" t="inlineStr">
        <is>
          <t>bridal shop</t>
        </is>
      </c>
      <c r="F93" s="2" t="inlineStr">
        <is>
          <t>Toowoomba</t>
        </is>
      </c>
      <c r="G93" s="2" t="inlineStr">
        <is>
          <t>Instagram</t>
        </is>
      </c>
      <c r="H93" s="4" t="inlineStr">
        <is>
          <t>https://www.instagram.com/bellestudioboutique</t>
        </is>
      </c>
      <c r="I93" s="4" t="inlineStr">
        <is>
          <t>https://www.facebook.com/carolyntaylorsmith13</t>
        </is>
      </c>
      <c r="J93" s="2" t="inlineStr"/>
      <c r="K93" s="4" t="inlineStr">
        <is>
          <t>https://bellestudioboutique.com.au/</t>
        </is>
      </c>
      <c r="L93" s="2" t="inlineStr">
        <is>
          <t>looks outdated (copyright 2021)</t>
        </is>
      </c>
      <c r="M93" s="2" t="inlineStr">
        <is>
          <t>Hi Belle Studio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3" s="4" t="inlineStr">
        <is>
          <t>Open map</t>
        </is>
      </c>
      <c r="O93" s="2" t="inlineStr">
        <is>
          <t>Not contacted</t>
        </is>
      </c>
      <c r="P93" s="2" t="inlineStr"/>
      <c r="Q93" s="2" t="inlineStr"/>
      <c r="R93" s="2" t="inlineStr"/>
      <c r="S93" s="2" t="inlineStr"/>
    </row>
    <row r="94">
      <c r="A94" s="2" t="n">
        <v>93</v>
      </c>
      <c r="B94" s="3" t="inlineStr">
        <is>
          <t>MEDIUM</t>
        </is>
      </c>
      <c r="C94" s="2" t="inlineStr">
        <is>
          <t>Weak website</t>
        </is>
      </c>
      <c r="D94" s="2" t="inlineStr">
        <is>
          <t>Brides of Toowoomba</t>
        </is>
      </c>
      <c r="E94" s="2" t="inlineStr">
        <is>
          <t>bridal shop</t>
        </is>
      </c>
      <c r="F94" s="2" t="inlineStr">
        <is>
          <t>Toowoomba</t>
        </is>
      </c>
      <c r="G94" s="2" t="inlineStr">
        <is>
          <t>Instagram</t>
        </is>
      </c>
      <c r="H94" s="4" t="inlineStr">
        <is>
          <t>https://www.instagram.com/bridesoftoowoomba</t>
        </is>
      </c>
      <c r="I94" s="4" t="inlineStr">
        <is>
          <t>https://www.facebook.com/ferraritoowoomba</t>
        </is>
      </c>
      <c r="J94" s="2" t="inlineStr"/>
      <c r="K94" s="4" t="inlineStr">
        <is>
          <t>https://www.bridesoftoowoomba.com.au/</t>
        </is>
      </c>
      <c r="L94" s="2" t="inlineStr">
        <is>
          <t>missing meta description</t>
        </is>
      </c>
      <c r="M94" s="2" t="inlineStr">
        <is>
          <t>Hi Brides of Toowoomba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4" s="4" t="inlineStr">
        <is>
          <t>Open map</t>
        </is>
      </c>
      <c r="O94" s="2" t="inlineStr">
        <is>
          <t>Not contacted</t>
        </is>
      </c>
      <c r="P94" s="2" t="inlineStr"/>
      <c r="Q94" s="2" t="inlineStr"/>
      <c r="R94" s="2" t="inlineStr"/>
      <c r="S94" s="2" t="inlineStr"/>
    </row>
    <row r="95">
      <c r="A95" s="2" t="n">
        <v>94</v>
      </c>
      <c r="B95" s="3" t="inlineStr">
        <is>
          <t>MEDIUM</t>
        </is>
      </c>
      <c r="C95" s="2" t="inlineStr">
        <is>
          <t>Weak website</t>
        </is>
      </c>
      <c r="D95" s="2" t="inlineStr">
        <is>
          <t>Jacqueline May Bride</t>
        </is>
      </c>
      <c r="E95" s="2" t="inlineStr">
        <is>
          <t>bridal shop</t>
        </is>
      </c>
      <c r="F95" s="2" t="inlineStr">
        <is>
          <t>Toowoomba</t>
        </is>
      </c>
      <c r="G95" s="2" t="inlineStr">
        <is>
          <t>Instagram</t>
        </is>
      </c>
      <c r="H95" s="4" t="inlineStr">
        <is>
          <t>https://www.instagram.com/jacquelinemaybride</t>
        </is>
      </c>
      <c r="I95" s="2" t="inlineStr"/>
      <c r="J95" s="2" t="inlineStr"/>
      <c r="K95" s="4" t="inlineStr">
        <is>
          <t>https://jacquelinemaybride.com.au/</t>
        </is>
      </c>
      <c r="L95" s="2" t="inlineStr">
        <is>
          <t>missing meta description</t>
        </is>
      </c>
      <c r="M95" s="2" t="inlineStr">
        <is>
          <t>Hi Jacqueline May Bride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5" s="4" t="inlineStr">
        <is>
          <t>Open map</t>
        </is>
      </c>
      <c r="O95" s="2" t="inlineStr">
        <is>
          <t>Not contacted</t>
        </is>
      </c>
      <c r="P95" s="2" t="inlineStr"/>
      <c r="Q95" s="2" t="inlineStr"/>
      <c r="R95" s="2" t="inlineStr"/>
      <c r="S95" s="2" t="inlineStr"/>
    </row>
    <row r="96">
      <c r="A96" s="2" t="n">
        <v>95</v>
      </c>
      <c r="B96" s="3" t="inlineStr">
        <is>
          <t>MEDIUM</t>
        </is>
      </c>
      <c r="C96" s="2" t="inlineStr">
        <is>
          <t>Weak website</t>
        </is>
      </c>
      <c r="D96" s="2" t="inlineStr">
        <is>
          <t>Serendipity Celebrations</t>
        </is>
      </c>
      <c r="E96" s="2" t="inlineStr">
        <is>
          <t>celebrant</t>
        </is>
      </c>
      <c r="F96" s="2" t="inlineStr">
        <is>
          <t>Toowoomba</t>
        </is>
      </c>
      <c r="G96" s="2" t="inlineStr">
        <is>
          <t>Instagram</t>
        </is>
      </c>
      <c r="H96" s="4" t="inlineStr">
        <is>
          <t>https://www.instagram.com/serendipitycelebrationsqld</t>
        </is>
      </c>
      <c r="I96" s="4" t="inlineStr">
        <is>
          <t>https://www.facebook.com/2118452931802956</t>
        </is>
      </c>
      <c r="J96" s="2" t="inlineStr"/>
      <c r="K96" s="4" t="inlineStr">
        <is>
          <t>https://serendipitycelebrations.com.au/</t>
        </is>
      </c>
      <c r="L96" s="2" t="inlineStr">
        <is>
          <t>looks outdated (copyright 2023)</t>
        </is>
      </c>
      <c r="M96" s="2" t="inlineStr">
        <is>
          <t>Hi Serendipity Celebrations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6" s="4" t="inlineStr">
        <is>
          <t>Open map</t>
        </is>
      </c>
      <c r="O96" s="2" t="inlineStr">
        <is>
          <t>Not contacted</t>
        </is>
      </c>
      <c r="P96" s="2" t="inlineStr"/>
      <c r="Q96" s="2" t="inlineStr"/>
      <c r="R96" s="2" t="inlineStr"/>
      <c r="S96" s="2" t="inlineStr"/>
    </row>
    <row r="97">
      <c r="A97" s="2" t="n">
        <v>96</v>
      </c>
      <c r="B97" s="3" t="inlineStr">
        <is>
          <t>MEDIUM</t>
        </is>
      </c>
      <c r="C97" s="2" t="inlineStr">
        <is>
          <t>Weak website</t>
        </is>
      </c>
      <c r="D97" s="2" t="inlineStr">
        <is>
          <t>Westridge Florist</t>
        </is>
      </c>
      <c r="E97" s="2" t="inlineStr">
        <is>
          <t>florist</t>
        </is>
      </c>
      <c r="F97" s="2" t="inlineStr">
        <is>
          <t>Toowoomba</t>
        </is>
      </c>
      <c r="G97" s="2" t="inlineStr">
        <is>
          <t>Instagram</t>
        </is>
      </c>
      <c r="H97" s="4" t="inlineStr">
        <is>
          <t>https://www.instagram.com/westridgeflorist</t>
        </is>
      </c>
      <c r="I97" s="4" t="inlineStr">
        <is>
          <t>https://www.facebook.com/westridgeflorist</t>
        </is>
      </c>
      <c r="J97" s="2" t="inlineStr"/>
      <c r="K97" s="4" t="inlineStr">
        <is>
          <t>https://westridgeflorist.com.au/</t>
        </is>
      </c>
      <c r="L97" s="2" t="inlineStr">
        <is>
          <t>slow to load (4.2s)</t>
        </is>
      </c>
      <c r="M97" s="2" t="inlineStr">
        <is>
          <t>Hi Westridge Florist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97" s="4" t="inlineStr">
        <is>
          <t>Open map</t>
        </is>
      </c>
      <c r="O97" s="2" t="inlineStr">
        <is>
          <t>Not contacted</t>
        </is>
      </c>
      <c r="P97" s="2" t="inlineStr"/>
      <c r="Q97" s="2" t="inlineStr"/>
      <c r="R97" s="2" t="inlineStr"/>
      <c r="S97" s="2" t="inlineStr"/>
    </row>
    <row r="98">
      <c r="A98" s="2" t="n">
        <v>97</v>
      </c>
      <c r="B98" s="3" t="inlineStr">
        <is>
          <t>MEDIUM</t>
        </is>
      </c>
      <c r="C98" s="2" t="inlineStr">
        <is>
          <t>Weak website</t>
        </is>
      </c>
      <c r="D98" s="2" t="inlineStr">
        <is>
          <t>Jillicious Cakes</t>
        </is>
      </c>
      <c r="E98" s="2" t="inlineStr">
        <is>
          <t>wedding cakes</t>
        </is>
      </c>
      <c r="F98" s="2" t="inlineStr">
        <is>
          <t>Toowoomba</t>
        </is>
      </c>
      <c r="G98" s="2" t="inlineStr">
        <is>
          <t>Instagram</t>
        </is>
      </c>
      <c r="H98" s="4" t="inlineStr">
        <is>
          <t>https://www.instagram.com/jilliciouscakes</t>
        </is>
      </c>
      <c r="I98" s="4" t="inlineStr">
        <is>
          <t>https://www.facebook.com/Jill-i-cious-Cakes-201876479872403</t>
        </is>
      </c>
      <c r="J98" s="2" t="inlineStr"/>
      <c r="K98" s="4" t="inlineStr">
        <is>
          <t>https://www.jill-i-ciouscakes.com/</t>
        </is>
      </c>
      <c r="L98" s="2" t="inlineStr">
        <is>
          <t>looks outdated (copyright 2023)</t>
        </is>
      </c>
      <c r="M98" s="2" t="inlineStr">
        <is>
          <t>Hi Jillicious Cakes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8" s="4" t="inlineStr">
        <is>
          <t>Open map</t>
        </is>
      </c>
      <c r="O98" s="2" t="inlineStr">
        <is>
          <t>Not contacted</t>
        </is>
      </c>
      <c r="P98" s="2" t="inlineStr"/>
      <c r="Q98" s="2" t="inlineStr"/>
      <c r="R98" s="2" t="inlineStr"/>
      <c r="S98" s="2" t="inlineStr"/>
    </row>
    <row r="99">
      <c r="A99" s="2" t="n">
        <v>98</v>
      </c>
      <c r="B99" s="3" t="inlineStr">
        <is>
          <t>MEDIUM</t>
        </is>
      </c>
      <c r="C99" s="2" t="inlineStr">
        <is>
          <t>Weak website</t>
        </is>
      </c>
      <c r="D99" s="2" t="inlineStr">
        <is>
          <t>TBee Blooms</t>
        </is>
      </c>
      <c r="E99" s="2" t="inlineStr">
        <is>
          <t>florist</t>
        </is>
      </c>
      <c r="F99" s="2" t="inlineStr">
        <is>
          <t>Townsville</t>
        </is>
      </c>
      <c r="G99" s="2" t="inlineStr">
        <is>
          <t>Facebook</t>
        </is>
      </c>
      <c r="H99" s="2" t="inlineStr"/>
      <c r="I99" s="4" t="inlineStr">
        <is>
          <t>https://www.facebook.com/TBeeblooms</t>
        </is>
      </c>
      <c r="J99" s="2" t="inlineStr"/>
      <c r="K99" s="4" t="inlineStr">
        <is>
          <t>https://tbeeblooms.com/</t>
        </is>
      </c>
      <c r="L99" s="2" t="inlineStr">
        <is>
          <t>looks outdated (copyright 2023)</t>
        </is>
      </c>
      <c r="M99" s="2" t="inlineStr">
        <is>
          <t>Hi TBee Blooms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9" s="4" t="inlineStr">
        <is>
          <t>Open map</t>
        </is>
      </c>
      <c r="O99" s="2" t="inlineStr">
        <is>
          <t>Not contacted</t>
        </is>
      </c>
      <c r="P99" s="2" t="inlineStr"/>
      <c r="Q99" s="2" t="inlineStr"/>
      <c r="R99" s="2" t="inlineStr"/>
      <c r="S99" s="2" t="inlineStr"/>
    </row>
    <row r="100">
      <c r="A100" s="2" t="n">
        <v>99</v>
      </c>
      <c r="B100" s="3" t="inlineStr">
        <is>
          <t>MEDIUM</t>
        </is>
      </c>
      <c r="C100" s="2" t="inlineStr">
        <is>
          <t>Weak website</t>
        </is>
      </c>
      <c r="D100" s="2" t="inlineStr">
        <is>
          <t>Cakes on Carthew</t>
        </is>
      </c>
      <c r="E100" s="2" t="inlineStr">
        <is>
          <t>wedding cakes</t>
        </is>
      </c>
      <c r="F100" s="2" t="inlineStr">
        <is>
          <t>Townsville</t>
        </is>
      </c>
      <c r="G100" s="2" t="inlineStr">
        <is>
          <t>Facebook</t>
        </is>
      </c>
      <c r="H100" s="2" t="inlineStr"/>
      <c r="I100" s="4" t="inlineStr">
        <is>
          <t>https://www.facebook.com/cakesoncarthew</t>
        </is>
      </c>
      <c r="J100" s="2" t="inlineStr"/>
      <c r="K100" s="4" t="inlineStr">
        <is>
          <t>https://www.cakesoncarthew.com/</t>
        </is>
      </c>
      <c r="L100" s="2" t="inlineStr">
        <is>
          <t>missing meta description</t>
        </is>
      </c>
      <c r="M100" s="2" t="inlineStr">
        <is>
          <t>Hi Cakes on Carthew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100" s="4" t="inlineStr">
        <is>
          <t>Open map</t>
        </is>
      </c>
      <c r="O100" s="2" t="inlineStr">
        <is>
          <t>Not contacted</t>
        </is>
      </c>
      <c r="P100" s="2" t="inlineStr"/>
      <c r="Q100" s="2" t="inlineStr"/>
      <c r="R100" s="2" t="inlineStr"/>
      <c r="S100" s="2" t="inlineStr"/>
    </row>
  </sheetData>
  <autoFilter ref="A1:S100"/>
  <conditionalFormatting sqref="A2:S100">
    <cfRule type="expression" priority="1" dxfId="0">
      <formula>$O2="Won"</formula>
    </cfRule>
    <cfRule type="expression" priority="2" dxfId="1">
      <formula>$O2="Meeting booked"</formula>
    </cfRule>
    <cfRule type="expression" priority="3" dxfId="2">
      <formula>$O2="Replied"</formula>
    </cfRule>
    <cfRule type="expression" priority="4" dxfId="3">
      <formula>$O2="Not interested"</formula>
    </cfRule>
    <cfRule type="expression" priority="5" dxfId="3">
      <formula>$O2="Business closed"</formula>
    </cfRule>
  </conditionalFormatting>
  <dataValidations count="2">
    <dataValidation sqref="O2:O100" showDropDown="0" showInputMessage="0" showErrorMessage="0" allowBlank="1" type="list">
      <formula1>"Not contacted,DM sent,Replied,Preview sent,Meeting booked,Won,Not interested,Business closed"</formula1>
    </dataValidation>
    <dataValidation sqref="Q2:R100" showDropDown="0" showInputMessage="0" showErrorMessage="0" allowBlank="1" type="date"/>
  </dataValidations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N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K3" r:id="rId7"/>
    <hyperlink xmlns:r="http://schemas.openxmlformats.org/officeDocument/2006/relationships" ref="N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K4" r:id="rId11"/>
    <hyperlink xmlns:r="http://schemas.openxmlformats.org/officeDocument/2006/relationships" ref="N4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K5" r:id="rId15"/>
    <hyperlink xmlns:r="http://schemas.openxmlformats.org/officeDocument/2006/relationships" ref="N5" r:id="rId16"/>
    <hyperlink xmlns:r="http://schemas.openxmlformats.org/officeDocument/2006/relationships" ref="H6" r:id="rId17"/>
    <hyperlink xmlns:r="http://schemas.openxmlformats.org/officeDocument/2006/relationships" ref="I6" r:id="rId18"/>
    <hyperlink xmlns:r="http://schemas.openxmlformats.org/officeDocument/2006/relationships" ref="K6" r:id="rId19"/>
    <hyperlink xmlns:r="http://schemas.openxmlformats.org/officeDocument/2006/relationships" ref="N6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K7" r:id="rId23"/>
    <hyperlink xmlns:r="http://schemas.openxmlformats.org/officeDocument/2006/relationships" ref="N7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K8" r:id="rId27"/>
    <hyperlink xmlns:r="http://schemas.openxmlformats.org/officeDocument/2006/relationships" ref="N8" r:id="rId28"/>
    <hyperlink xmlns:r="http://schemas.openxmlformats.org/officeDocument/2006/relationships" ref="H9" r:id="rId29"/>
    <hyperlink xmlns:r="http://schemas.openxmlformats.org/officeDocument/2006/relationships" ref="I9" r:id="rId30"/>
    <hyperlink xmlns:r="http://schemas.openxmlformats.org/officeDocument/2006/relationships" ref="K9" r:id="rId31"/>
    <hyperlink xmlns:r="http://schemas.openxmlformats.org/officeDocument/2006/relationships" ref="N9" r:id="rId32"/>
    <hyperlink xmlns:r="http://schemas.openxmlformats.org/officeDocument/2006/relationships" ref="H10" r:id="rId33"/>
    <hyperlink xmlns:r="http://schemas.openxmlformats.org/officeDocument/2006/relationships" ref="I10" r:id="rId34"/>
    <hyperlink xmlns:r="http://schemas.openxmlformats.org/officeDocument/2006/relationships" ref="K10" r:id="rId35"/>
    <hyperlink xmlns:r="http://schemas.openxmlformats.org/officeDocument/2006/relationships" ref="N10" r:id="rId36"/>
    <hyperlink xmlns:r="http://schemas.openxmlformats.org/officeDocument/2006/relationships" ref="I11" r:id="rId37"/>
    <hyperlink xmlns:r="http://schemas.openxmlformats.org/officeDocument/2006/relationships" ref="K11" r:id="rId38"/>
    <hyperlink xmlns:r="http://schemas.openxmlformats.org/officeDocument/2006/relationships" ref="N11" r:id="rId39"/>
    <hyperlink xmlns:r="http://schemas.openxmlformats.org/officeDocument/2006/relationships" ref="H12" r:id="rId40"/>
    <hyperlink xmlns:r="http://schemas.openxmlformats.org/officeDocument/2006/relationships" ref="I12" r:id="rId41"/>
    <hyperlink xmlns:r="http://schemas.openxmlformats.org/officeDocument/2006/relationships" ref="K12" r:id="rId42"/>
    <hyperlink xmlns:r="http://schemas.openxmlformats.org/officeDocument/2006/relationships" ref="N12" r:id="rId43"/>
    <hyperlink xmlns:r="http://schemas.openxmlformats.org/officeDocument/2006/relationships" ref="H13" r:id="rId44"/>
    <hyperlink xmlns:r="http://schemas.openxmlformats.org/officeDocument/2006/relationships" ref="I13" r:id="rId45"/>
    <hyperlink xmlns:r="http://schemas.openxmlformats.org/officeDocument/2006/relationships" ref="K13" r:id="rId46"/>
    <hyperlink xmlns:r="http://schemas.openxmlformats.org/officeDocument/2006/relationships" ref="N13" r:id="rId47"/>
    <hyperlink xmlns:r="http://schemas.openxmlformats.org/officeDocument/2006/relationships" ref="H14" r:id="rId48"/>
    <hyperlink xmlns:r="http://schemas.openxmlformats.org/officeDocument/2006/relationships" ref="I14" r:id="rId49"/>
    <hyperlink xmlns:r="http://schemas.openxmlformats.org/officeDocument/2006/relationships" ref="K14" r:id="rId50"/>
    <hyperlink xmlns:r="http://schemas.openxmlformats.org/officeDocument/2006/relationships" ref="N14" r:id="rId51"/>
    <hyperlink xmlns:r="http://schemas.openxmlformats.org/officeDocument/2006/relationships" ref="I15" r:id="rId52"/>
    <hyperlink xmlns:r="http://schemas.openxmlformats.org/officeDocument/2006/relationships" ref="K15" r:id="rId53"/>
    <hyperlink xmlns:r="http://schemas.openxmlformats.org/officeDocument/2006/relationships" ref="N15" r:id="rId54"/>
    <hyperlink xmlns:r="http://schemas.openxmlformats.org/officeDocument/2006/relationships" ref="H16" r:id="rId55"/>
    <hyperlink xmlns:r="http://schemas.openxmlformats.org/officeDocument/2006/relationships" ref="I16" r:id="rId56"/>
    <hyperlink xmlns:r="http://schemas.openxmlformats.org/officeDocument/2006/relationships" ref="K16" r:id="rId57"/>
    <hyperlink xmlns:r="http://schemas.openxmlformats.org/officeDocument/2006/relationships" ref="N16" r:id="rId58"/>
    <hyperlink xmlns:r="http://schemas.openxmlformats.org/officeDocument/2006/relationships" ref="H17" r:id="rId59"/>
    <hyperlink xmlns:r="http://schemas.openxmlformats.org/officeDocument/2006/relationships" ref="I17" r:id="rId60"/>
    <hyperlink xmlns:r="http://schemas.openxmlformats.org/officeDocument/2006/relationships" ref="K17" r:id="rId61"/>
    <hyperlink xmlns:r="http://schemas.openxmlformats.org/officeDocument/2006/relationships" ref="N17" r:id="rId62"/>
    <hyperlink xmlns:r="http://schemas.openxmlformats.org/officeDocument/2006/relationships" ref="H18" r:id="rId63"/>
    <hyperlink xmlns:r="http://schemas.openxmlformats.org/officeDocument/2006/relationships" ref="I18" r:id="rId64"/>
    <hyperlink xmlns:r="http://schemas.openxmlformats.org/officeDocument/2006/relationships" ref="K18" r:id="rId65"/>
    <hyperlink xmlns:r="http://schemas.openxmlformats.org/officeDocument/2006/relationships" ref="N18" r:id="rId66"/>
    <hyperlink xmlns:r="http://schemas.openxmlformats.org/officeDocument/2006/relationships" ref="H19" r:id="rId67"/>
    <hyperlink xmlns:r="http://schemas.openxmlformats.org/officeDocument/2006/relationships" ref="I19" r:id="rId68"/>
    <hyperlink xmlns:r="http://schemas.openxmlformats.org/officeDocument/2006/relationships" ref="K19" r:id="rId69"/>
    <hyperlink xmlns:r="http://schemas.openxmlformats.org/officeDocument/2006/relationships" ref="N19" r:id="rId70"/>
    <hyperlink xmlns:r="http://schemas.openxmlformats.org/officeDocument/2006/relationships" ref="H20" r:id="rId71"/>
    <hyperlink xmlns:r="http://schemas.openxmlformats.org/officeDocument/2006/relationships" ref="I20" r:id="rId72"/>
    <hyperlink xmlns:r="http://schemas.openxmlformats.org/officeDocument/2006/relationships" ref="K20" r:id="rId73"/>
    <hyperlink xmlns:r="http://schemas.openxmlformats.org/officeDocument/2006/relationships" ref="N20" r:id="rId74"/>
    <hyperlink xmlns:r="http://schemas.openxmlformats.org/officeDocument/2006/relationships" ref="H21" r:id="rId75"/>
    <hyperlink xmlns:r="http://schemas.openxmlformats.org/officeDocument/2006/relationships" ref="I21" r:id="rId76"/>
    <hyperlink xmlns:r="http://schemas.openxmlformats.org/officeDocument/2006/relationships" ref="K21" r:id="rId77"/>
    <hyperlink xmlns:r="http://schemas.openxmlformats.org/officeDocument/2006/relationships" ref="N21" r:id="rId78"/>
    <hyperlink xmlns:r="http://schemas.openxmlformats.org/officeDocument/2006/relationships" ref="H22" r:id="rId79"/>
    <hyperlink xmlns:r="http://schemas.openxmlformats.org/officeDocument/2006/relationships" ref="I22" r:id="rId80"/>
    <hyperlink xmlns:r="http://schemas.openxmlformats.org/officeDocument/2006/relationships" ref="K22" r:id="rId81"/>
    <hyperlink xmlns:r="http://schemas.openxmlformats.org/officeDocument/2006/relationships" ref="N22" r:id="rId82"/>
    <hyperlink xmlns:r="http://schemas.openxmlformats.org/officeDocument/2006/relationships" ref="H23" r:id="rId83"/>
    <hyperlink xmlns:r="http://schemas.openxmlformats.org/officeDocument/2006/relationships" ref="I23" r:id="rId84"/>
    <hyperlink xmlns:r="http://schemas.openxmlformats.org/officeDocument/2006/relationships" ref="K23" r:id="rId85"/>
    <hyperlink xmlns:r="http://schemas.openxmlformats.org/officeDocument/2006/relationships" ref="N23" r:id="rId86"/>
    <hyperlink xmlns:r="http://schemas.openxmlformats.org/officeDocument/2006/relationships" ref="H24" r:id="rId87"/>
    <hyperlink xmlns:r="http://schemas.openxmlformats.org/officeDocument/2006/relationships" ref="I24" r:id="rId88"/>
    <hyperlink xmlns:r="http://schemas.openxmlformats.org/officeDocument/2006/relationships" ref="K24" r:id="rId89"/>
    <hyperlink xmlns:r="http://schemas.openxmlformats.org/officeDocument/2006/relationships" ref="N24" r:id="rId90"/>
    <hyperlink xmlns:r="http://schemas.openxmlformats.org/officeDocument/2006/relationships" ref="H25" r:id="rId91"/>
    <hyperlink xmlns:r="http://schemas.openxmlformats.org/officeDocument/2006/relationships" ref="I25" r:id="rId92"/>
    <hyperlink xmlns:r="http://schemas.openxmlformats.org/officeDocument/2006/relationships" ref="K25" r:id="rId93"/>
    <hyperlink xmlns:r="http://schemas.openxmlformats.org/officeDocument/2006/relationships" ref="N25" r:id="rId94"/>
    <hyperlink xmlns:r="http://schemas.openxmlformats.org/officeDocument/2006/relationships" ref="H26" r:id="rId95"/>
    <hyperlink xmlns:r="http://schemas.openxmlformats.org/officeDocument/2006/relationships" ref="I26" r:id="rId96"/>
    <hyperlink xmlns:r="http://schemas.openxmlformats.org/officeDocument/2006/relationships" ref="K26" r:id="rId97"/>
    <hyperlink xmlns:r="http://schemas.openxmlformats.org/officeDocument/2006/relationships" ref="N26" r:id="rId98"/>
    <hyperlink xmlns:r="http://schemas.openxmlformats.org/officeDocument/2006/relationships" ref="H27" r:id="rId99"/>
    <hyperlink xmlns:r="http://schemas.openxmlformats.org/officeDocument/2006/relationships" ref="I27" r:id="rId100"/>
    <hyperlink xmlns:r="http://schemas.openxmlformats.org/officeDocument/2006/relationships" ref="K27" r:id="rId101"/>
    <hyperlink xmlns:r="http://schemas.openxmlformats.org/officeDocument/2006/relationships" ref="N27" r:id="rId102"/>
    <hyperlink xmlns:r="http://schemas.openxmlformats.org/officeDocument/2006/relationships" ref="H28" r:id="rId103"/>
    <hyperlink xmlns:r="http://schemas.openxmlformats.org/officeDocument/2006/relationships" ref="I28" r:id="rId104"/>
    <hyperlink xmlns:r="http://schemas.openxmlformats.org/officeDocument/2006/relationships" ref="K28" r:id="rId105"/>
    <hyperlink xmlns:r="http://schemas.openxmlformats.org/officeDocument/2006/relationships" ref="N28" r:id="rId106"/>
    <hyperlink xmlns:r="http://schemas.openxmlformats.org/officeDocument/2006/relationships" ref="H29" r:id="rId107"/>
    <hyperlink xmlns:r="http://schemas.openxmlformats.org/officeDocument/2006/relationships" ref="K29" r:id="rId108"/>
    <hyperlink xmlns:r="http://schemas.openxmlformats.org/officeDocument/2006/relationships" ref="N29" r:id="rId109"/>
    <hyperlink xmlns:r="http://schemas.openxmlformats.org/officeDocument/2006/relationships" ref="H30" r:id="rId110"/>
    <hyperlink xmlns:r="http://schemas.openxmlformats.org/officeDocument/2006/relationships" ref="I30" r:id="rId111"/>
    <hyperlink xmlns:r="http://schemas.openxmlformats.org/officeDocument/2006/relationships" ref="K30" r:id="rId112"/>
    <hyperlink xmlns:r="http://schemas.openxmlformats.org/officeDocument/2006/relationships" ref="N30" r:id="rId113"/>
    <hyperlink xmlns:r="http://schemas.openxmlformats.org/officeDocument/2006/relationships" ref="I31" r:id="rId114"/>
    <hyperlink xmlns:r="http://schemas.openxmlformats.org/officeDocument/2006/relationships" ref="K31" r:id="rId115"/>
    <hyperlink xmlns:r="http://schemas.openxmlformats.org/officeDocument/2006/relationships" ref="N31" r:id="rId116"/>
    <hyperlink xmlns:r="http://schemas.openxmlformats.org/officeDocument/2006/relationships" ref="H32" r:id="rId117"/>
    <hyperlink xmlns:r="http://schemas.openxmlformats.org/officeDocument/2006/relationships" ref="I32" r:id="rId118"/>
    <hyperlink xmlns:r="http://schemas.openxmlformats.org/officeDocument/2006/relationships" ref="K32" r:id="rId119"/>
    <hyperlink xmlns:r="http://schemas.openxmlformats.org/officeDocument/2006/relationships" ref="N32" r:id="rId120"/>
    <hyperlink xmlns:r="http://schemas.openxmlformats.org/officeDocument/2006/relationships" ref="H33" r:id="rId121"/>
    <hyperlink xmlns:r="http://schemas.openxmlformats.org/officeDocument/2006/relationships" ref="K33" r:id="rId122"/>
    <hyperlink xmlns:r="http://schemas.openxmlformats.org/officeDocument/2006/relationships" ref="N33" r:id="rId123"/>
    <hyperlink xmlns:r="http://schemas.openxmlformats.org/officeDocument/2006/relationships" ref="H34" r:id="rId124"/>
    <hyperlink xmlns:r="http://schemas.openxmlformats.org/officeDocument/2006/relationships" ref="I34" r:id="rId125"/>
    <hyperlink xmlns:r="http://schemas.openxmlformats.org/officeDocument/2006/relationships" ref="K34" r:id="rId126"/>
    <hyperlink xmlns:r="http://schemas.openxmlformats.org/officeDocument/2006/relationships" ref="N34" r:id="rId127"/>
    <hyperlink xmlns:r="http://schemas.openxmlformats.org/officeDocument/2006/relationships" ref="H35" r:id="rId128"/>
    <hyperlink xmlns:r="http://schemas.openxmlformats.org/officeDocument/2006/relationships" ref="I35" r:id="rId129"/>
    <hyperlink xmlns:r="http://schemas.openxmlformats.org/officeDocument/2006/relationships" ref="K35" r:id="rId130"/>
    <hyperlink xmlns:r="http://schemas.openxmlformats.org/officeDocument/2006/relationships" ref="N35" r:id="rId131"/>
    <hyperlink xmlns:r="http://schemas.openxmlformats.org/officeDocument/2006/relationships" ref="H36" r:id="rId132"/>
    <hyperlink xmlns:r="http://schemas.openxmlformats.org/officeDocument/2006/relationships" ref="K36" r:id="rId133"/>
    <hyperlink xmlns:r="http://schemas.openxmlformats.org/officeDocument/2006/relationships" ref="N36" r:id="rId134"/>
    <hyperlink xmlns:r="http://schemas.openxmlformats.org/officeDocument/2006/relationships" ref="I37" r:id="rId135"/>
    <hyperlink xmlns:r="http://schemas.openxmlformats.org/officeDocument/2006/relationships" ref="K37" r:id="rId136"/>
    <hyperlink xmlns:r="http://schemas.openxmlformats.org/officeDocument/2006/relationships" ref="N37" r:id="rId137"/>
    <hyperlink xmlns:r="http://schemas.openxmlformats.org/officeDocument/2006/relationships" ref="I38" r:id="rId138"/>
    <hyperlink xmlns:r="http://schemas.openxmlformats.org/officeDocument/2006/relationships" ref="K38" r:id="rId139"/>
    <hyperlink xmlns:r="http://schemas.openxmlformats.org/officeDocument/2006/relationships" ref="N38" r:id="rId140"/>
    <hyperlink xmlns:r="http://schemas.openxmlformats.org/officeDocument/2006/relationships" ref="I39" r:id="rId141"/>
    <hyperlink xmlns:r="http://schemas.openxmlformats.org/officeDocument/2006/relationships" ref="K39" r:id="rId142"/>
    <hyperlink xmlns:r="http://schemas.openxmlformats.org/officeDocument/2006/relationships" ref="N39" r:id="rId143"/>
    <hyperlink xmlns:r="http://schemas.openxmlformats.org/officeDocument/2006/relationships" ref="H40" r:id="rId144"/>
    <hyperlink xmlns:r="http://schemas.openxmlformats.org/officeDocument/2006/relationships" ref="I40" r:id="rId145"/>
    <hyperlink xmlns:r="http://schemas.openxmlformats.org/officeDocument/2006/relationships" ref="K40" r:id="rId146"/>
    <hyperlink xmlns:r="http://schemas.openxmlformats.org/officeDocument/2006/relationships" ref="N40" r:id="rId147"/>
    <hyperlink xmlns:r="http://schemas.openxmlformats.org/officeDocument/2006/relationships" ref="H41" r:id="rId148"/>
    <hyperlink xmlns:r="http://schemas.openxmlformats.org/officeDocument/2006/relationships" ref="I41" r:id="rId149"/>
    <hyperlink xmlns:r="http://schemas.openxmlformats.org/officeDocument/2006/relationships" ref="K41" r:id="rId150"/>
    <hyperlink xmlns:r="http://schemas.openxmlformats.org/officeDocument/2006/relationships" ref="N41" r:id="rId151"/>
    <hyperlink xmlns:r="http://schemas.openxmlformats.org/officeDocument/2006/relationships" ref="H42" r:id="rId152"/>
    <hyperlink xmlns:r="http://schemas.openxmlformats.org/officeDocument/2006/relationships" ref="I42" r:id="rId153"/>
    <hyperlink xmlns:r="http://schemas.openxmlformats.org/officeDocument/2006/relationships" ref="K42" r:id="rId154"/>
    <hyperlink xmlns:r="http://schemas.openxmlformats.org/officeDocument/2006/relationships" ref="N42" r:id="rId155"/>
    <hyperlink xmlns:r="http://schemas.openxmlformats.org/officeDocument/2006/relationships" ref="I43" r:id="rId156"/>
    <hyperlink xmlns:r="http://schemas.openxmlformats.org/officeDocument/2006/relationships" ref="K43" r:id="rId157"/>
    <hyperlink xmlns:r="http://schemas.openxmlformats.org/officeDocument/2006/relationships" ref="N43" r:id="rId158"/>
    <hyperlink xmlns:r="http://schemas.openxmlformats.org/officeDocument/2006/relationships" ref="I44" r:id="rId159"/>
    <hyperlink xmlns:r="http://schemas.openxmlformats.org/officeDocument/2006/relationships" ref="K44" r:id="rId160"/>
    <hyperlink xmlns:r="http://schemas.openxmlformats.org/officeDocument/2006/relationships" ref="N44" r:id="rId161"/>
    <hyperlink xmlns:r="http://schemas.openxmlformats.org/officeDocument/2006/relationships" ref="I45" r:id="rId162"/>
    <hyperlink xmlns:r="http://schemas.openxmlformats.org/officeDocument/2006/relationships" ref="K45" r:id="rId163"/>
    <hyperlink xmlns:r="http://schemas.openxmlformats.org/officeDocument/2006/relationships" ref="N45" r:id="rId164"/>
    <hyperlink xmlns:r="http://schemas.openxmlformats.org/officeDocument/2006/relationships" ref="H46" r:id="rId165"/>
    <hyperlink xmlns:r="http://schemas.openxmlformats.org/officeDocument/2006/relationships" ref="I46" r:id="rId166"/>
    <hyperlink xmlns:r="http://schemas.openxmlformats.org/officeDocument/2006/relationships" ref="K46" r:id="rId167"/>
    <hyperlink xmlns:r="http://schemas.openxmlformats.org/officeDocument/2006/relationships" ref="N46" r:id="rId168"/>
    <hyperlink xmlns:r="http://schemas.openxmlformats.org/officeDocument/2006/relationships" ref="H47" r:id="rId169"/>
    <hyperlink xmlns:r="http://schemas.openxmlformats.org/officeDocument/2006/relationships" ref="K47" r:id="rId170"/>
    <hyperlink xmlns:r="http://schemas.openxmlformats.org/officeDocument/2006/relationships" ref="N47" r:id="rId171"/>
    <hyperlink xmlns:r="http://schemas.openxmlformats.org/officeDocument/2006/relationships" ref="H48" r:id="rId172"/>
    <hyperlink xmlns:r="http://schemas.openxmlformats.org/officeDocument/2006/relationships" ref="I48" r:id="rId173"/>
    <hyperlink xmlns:r="http://schemas.openxmlformats.org/officeDocument/2006/relationships" ref="K48" r:id="rId174"/>
    <hyperlink xmlns:r="http://schemas.openxmlformats.org/officeDocument/2006/relationships" ref="N48" r:id="rId175"/>
    <hyperlink xmlns:r="http://schemas.openxmlformats.org/officeDocument/2006/relationships" ref="H49" r:id="rId176"/>
    <hyperlink xmlns:r="http://schemas.openxmlformats.org/officeDocument/2006/relationships" ref="I49" r:id="rId177"/>
    <hyperlink xmlns:r="http://schemas.openxmlformats.org/officeDocument/2006/relationships" ref="K49" r:id="rId178"/>
    <hyperlink xmlns:r="http://schemas.openxmlformats.org/officeDocument/2006/relationships" ref="N49" r:id="rId179"/>
    <hyperlink xmlns:r="http://schemas.openxmlformats.org/officeDocument/2006/relationships" ref="H50" r:id="rId180"/>
    <hyperlink xmlns:r="http://schemas.openxmlformats.org/officeDocument/2006/relationships" ref="I50" r:id="rId181"/>
    <hyperlink xmlns:r="http://schemas.openxmlformats.org/officeDocument/2006/relationships" ref="K50" r:id="rId182"/>
    <hyperlink xmlns:r="http://schemas.openxmlformats.org/officeDocument/2006/relationships" ref="N50" r:id="rId183"/>
    <hyperlink xmlns:r="http://schemas.openxmlformats.org/officeDocument/2006/relationships" ref="H51" r:id="rId184"/>
    <hyperlink xmlns:r="http://schemas.openxmlformats.org/officeDocument/2006/relationships" ref="I51" r:id="rId185"/>
    <hyperlink xmlns:r="http://schemas.openxmlformats.org/officeDocument/2006/relationships" ref="K51" r:id="rId186"/>
    <hyperlink xmlns:r="http://schemas.openxmlformats.org/officeDocument/2006/relationships" ref="N51" r:id="rId187"/>
    <hyperlink xmlns:r="http://schemas.openxmlformats.org/officeDocument/2006/relationships" ref="I52" r:id="rId188"/>
    <hyperlink xmlns:r="http://schemas.openxmlformats.org/officeDocument/2006/relationships" ref="K52" r:id="rId189"/>
    <hyperlink xmlns:r="http://schemas.openxmlformats.org/officeDocument/2006/relationships" ref="N52" r:id="rId190"/>
    <hyperlink xmlns:r="http://schemas.openxmlformats.org/officeDocument/2006/relationships" ref="H53" r:id="rId191"/>
    <hyperlink xmlns:r="http://schemas.openxmlformats.org/officeDocument/2006/relationships" ref="I53" r:id="rId192"/>
    <hyperlink xmlns:r="http://schemas.openxmlformats.org/officeDocument/2006/relationships" ref="K53" r:id="rId193"/>
    <hyperlink xmlns:r="http://schemas.openxmlformats.org/officeDocument/2006/relationships" ref="N53" r:id="rId194"/>
    <hyperlink xmlns:r="http://schemas.openxmlformats.org/officeDocument/2006/relationships" ref="H54" r:id="rId195"/>
    <hyperlink xmlns:r="http://schemas.openxmlformats.org/officeDocument/2006/relationships" ref="I54" r:id="rId196"/>
    <hyperlink xmlns:r="http://schemas.openxmlformats.org/officeDocument/2006/relationships" ref="K54" r:id="rId197"/>
    <hyperlink xmlns:r="http://schemas.openxmlformats.org/officeDocument/2006/relationships" ref="N54" r:id="rId198"/>
    <hyperlink xmlns:r="http://schemas.openxmlformats.org/officeDocument/2006/relationships" ref="H55" r:id="rId199"/>
    <hyperlink xmlns:r="http://schemas.openxmlformats.org/officeDocument/2006/relationships" ref="I55" r:id="rId200"/>
    <hyperlink xmlns:r="http://schemas.openxmlformats.org/officeDocument/2006/relationships" ref="K55" r:id="rId201"/>
    <hyperlink xmlns:r="http://schemas.openxmlformats.org/officeDocument/2006/relationships" ref="N55" r:id="rId202"/>
    <hyperlink xmlns:r="http://schemas.openxmlformats.org/officeDocument/2006/relationships" ref="H56" r:id="rId203"/>
    <hyperlink xmlns:r="http://schemas.openxmlformats.org/officeDocument/2006/relationships" ref="I56" r:id="rId204"/>
    <hyperlink xmlns:r="http://schemas.openxmlformats.org/officeDocument/2006/relationships" ref="K56" r:id="rId205"/>
    <hyperlink xmlns:r="http://schemas.openxmlformats.org/officeDocument/2006/relationships" ref="N56" r:id="rId206"/>
    <hyperlink xmlns:r="http://schemas.openxmlformats.org/officeDocument/2006/relationships" ref="H57" r:id="rId207"/>
    <hyperlink xmlns:r="http://schemas.openxmlformats.org/officeDocument/2006/relationships" ref="I57" r:id="rId208"/>
    <hyperlink xmlns:r="http://schemas.openxmlformats.org/officeDocument/2006/relationships" ref="K57" r:id="rId209"/>
    <hyperlink xmlns:r="http://schemas.openxmlformats.org/officeDocument/2006/relationships" ref="N57" r:id="rId210"/>
    <hyperlink xmlns:r="http://schemas.openxmlformats.org/officeDocument/2006/relationships" ref="H58" r:id="rId211"/>
    <hyperlink xmlns:r="http://schemas.openxmlformats.org/officeDocument/2006/relationships" ref="I58" r:id="rId212"/>
    <hyperlink xmlns:r="http://schemas.openxmlformats.org/officeDocument/2006/relationships" ref="K58" r:id="rId213"/>
    <hyperlink xmlns:r="http://schemas.openxmlformats.org/officeDocument/2006/relationships" ref="N58" r:id="rId214"/>
    <hyperlink xmlns:r="http://schemas.openxmlformats.org/officeDocument/2006/relationships" ref="H59" r:id="rId215"/>
    <hyperlink xmlns:r="http://schemas.openxmlformats.org/officeDocument/2006/relationships" ref="I59" r:id="rId216"/>
    <hyperlink xmlns:r="http://schemas.openxmlformats.org/officeDocument/2006/relationships" ref="K59" r:id="rId217"/>
    <hyperlink xmlns:r="http://schemas.openxmlformats.org/officeDocument/2006/relationships" ref="N59" r:id="rId218"/>
    <hyperlink xmlns:r="http://schemas.openxmlformats.org/officeDocument/2006/relationships" ref="H60" r:id="rId219"/>
    <hyperlink xmlns:r="http://schemas.openxmlformats.org/officeDocument/2006/relationships" ref="K60" r:id="rId220"/>
    <hyperlink xmlns:r="http://schemas.openxmlformats.org/officeDocument/2006/relationships" ref="N60" r:id="rId221"/>
    <hyperlink xmlns:r="http://schemas.openxmlformats.org/officeDocument/2006/relationships" ref="H61" r:id="rId222"/>
    <hyperlink xmlns:r="http://schemas.openxmlformats.org/officeDocument/2006/relationships" ref="I61" r:id="rId223"/>
    <hyperlink xmlns:r="http://schemas.openxmlformats.org/officeDocument/2006/relationships" ref="K61" r:id="rId224"/>
    <hyperlink xmlns:r="http://schemas.openxmlformats.org/officeDocument/2006/relationships" ref="N61" r:id="rId225"/>
    <hyperlink xmlns:r="http://schemas.openxmlformats.org/officeDocument/2006/relationships" ref="H62" r:id="rId226"/>
    <hyperlink xmlns:r="http://schemas.openxmlformats.org/officeDocument/2006/relationships" ref="I62" r:id="rId227"/>
    <hyperlink xmlns:r="http://schemas.openxmlformats.org/officeDocument/2006/relationships" ref="K62" r:id="rId228"/>
    <hyperlink xmlns:r="http://schemas.openxmlformats.org/officeDocument/2006/relationships" ref="N62" r:id="rId229"/>
    <hyperlink xmlns:r="http://schemas.openxmlformats.org/officeDocument/2006/relationships" ref="H63" r:id="rId230"/>
    <hyperlink xmlns:r="http://schemas.openxmlformats.org/officeDocument/2006/relationships" ref="I63" r:id="rId231"/>
    <hyperlink xmlns:r="http://schemas.openxmlformats.org/officeDocument/2006/relationships" ref="K63" r:id="rId232"/>
    <hyperlink xmlns:r="http://schemas.openxmlformats.org/officeDocument/2006/relationships" ref="N63" r:id="rId233"/>
    <hyperlink xmlns:r="http://schemas.openxmlformats.org/officeDocument/2006/relationships" ref="H64" r:id="rId234"/>
    <hyperlink xmlns:r="http://schemas.openxmlformats.org/officeDocument/2006/relationships" ref="I64" r:id="rId235"/>
    <hyperlink xmlns:r="http://schemas.openxmlformats.org/officeDocument/2006/relationships" ref="K64" r:id="rId236"/>
    <hyperlink xmlns:r="http://schemas.openxmlformats.org/officeDocument/2006/relationships" ref="N64" r:id="rId237"/>
    <hyperlink xmlns:r="http://schemas.openxmlformats.org/officeDocument/2006/relationships" ref="H65" r:id="rId238"/>
    <hyperlink xmlns:r="http://schemas.openxmlformats.org/officeDocument/2006/relationships" ref="K65" r:id="rId239"/>
    <hyperlink xmlns:r="http://schemas.openxmlformats.org/officeDocument/2006/relationships" ref="N65" r:id="rId240"/>
    <hyperlink xmlns:r="http://schemas.openxmlformats.org/officeDocument/2006/relationships" ref="I66" r:id="rId241"/>
    <hyperlink xmlns:r="http://schemas.openxmlformats.org/officeDocument/2006/relationships" ref="K66" r:id="rId242"/>
    <hyperlink xmlns:r="http://schemas.openxmlformats.org/officeDocument/2006/relationships" ref="N66" r:id="rId243"/>
    <hyperlink xmlns:r="http://schemas.openxmlformats.org/officeDocument/2006/relationships" ref="H67" r:id="rId244"/>
    <hyperlink xmlns:r="http://schemas.openxmlformats.org/officeDocument/2006/relationships" ref="I67" r:id="rId245"/>
    <hyperlink xmlns:r="http://schemas.openxmlformats.org/officeDocument/2006/relationships" ref="K67" r:id="rId246"/>
    <hyperlink xmlns:r="http://schemas.openxmlformats.org/officeDocument/2006/relationships" ref="N67" r:id="rId247"/>
    <hyperlink xmlns:r="http://schemas.openxmlformats.org/officeDocument/2006/relationships" ref="H68" r:id="rId248"/>
    <hyperlink xmlns:r="http://schemas.openxmlformats.org/officeDocument/2006/relationships" ref="I68" r:id="rId249"/>
    <hyperlink xmlns:r="http://schemas.openxmlformats.org/officeDocument/2006/relationships" ref="K68" r:id="rId250"/>
    <hyperlink xmlns:r="http://schemas.openxmlformats.org/officeDocument/2006/relationships" ref="N68" r:id="rId251"/>
    <hyperlink xmlns:r="http://schemas.openxmlformats.org/officeDocument/2006/relationships" ref="H69" r:id="rId252"/>
    <hyperlink xmlns:r="http://schemas.openxmlformats.org/officeDocument/2006/relationships" ref="I69" r:id="rId253"/>
    <hyperlink xmlns:r="http://schemas.openxmlformats.org/officeDocument/2006/relationships" ref="K69" r:id="rId254"/>
    <hyperlink xmlns:r="http://schemas.openxmlformats.org/officeDocument/2006/relationships" ref="N69" r:id="rId255"/>
    <hyperlink xmlns:r="http://schemas.openxmlformats.org/officeDocument/2006/relationships" ref="H70" r:id="rId256"/>
    <hyperlink xmlns:r="http://schemas.openxmlformats.org/officeDocument/2006/relationships" ref="I70" r:id="rId257"/>
    <hyperlink xmlns:r="http://schemas.openxmlformats.org/officeDocument/2006/relationships" ref="K70" r:id="rId258"/>
    <hyperlink xmlns:r="http://schemas.openxmlformats.org/officeDocument/2006/relationships" ref="N70" r:id="rId259"/>
    <hyperlink xmlns:r="http://schemas.openxmlformats.org/officeDocument/2006/relationships" ref="H71" r:id="rId260"/>
    <hyperlink xmlns:r="http://schemas.openxmlformats.org/officeDocument/2006/relationships" ref="I71" r:id="rId261"/>
    <hyperlink xmlns:r="http://schemas.openxmlformats.org/officeDocument/2006/relationships" ref="K71" r:id="rId262"/>
    <hyperlink xmlns:r="http://schemas.openxmlformats.org/officeDocument/2006/relationships" ref="N71" r:id="rId263"/>
    <hyperlink xmlns:r="http://schemas.openxmlformats.org/officeDocument/2006/relationships" ref="H72" r:id="rId264"/>
    <hyperlink xmlns:r="http://schemas.openxmlformats.org/officeDocument/2006/relationships" ref="I72" r:id="rId265"/>
    <hyperlink xmlns:r="http://schemas.openxmlformats.org/officeDocument/2006/relationships" ref="K72" r:id="rId266"/>
    <hyperlink xmlns:r="http://schemas.openxmlformats.org/officeDocument/2006/relationships" ref="N72" r:id="rId267"/>
    <hyperlink xmlns:r="http://schemas.openxmlformats.org/officeDocument/2006/relationships" ref="H73" r:id="rId268"/>
    <hyperlink xmlns:r="http://schemas.openxmlformats.org/officeDocument/2006/relationships" ref="I73" r:id="rId269"/>
    <hyperlink xmlns:r="http://schemas.openxmlformats.org/officeDocument/2006/relationships" ref="K73" r:id="rId270"/>
    <hyperlink xmlns:r="http://schemas.openxmlformats.org/officeDocument/2006/relationships" ref="N73" r:id="rId271"/>
    <hyperlink xmlns:r="http://schemas.openxmlformats.org/officeDocument/2006/relationships" ref="H74" r:id="rId272"/>
    <hyperlink xmlns:r="http://schemas.openxmlformats.org/officeDocument/2006/relationships" ref="I74" r:id="rId273"/>
    <hyperlink xmlns:r="http://schemas.openxmlformats.org/officeDocument/2006/relationships" ref="K74" r:id="rId274"/>
    <hyperlink xmlns:r="http://schemas.openxmlformats.org/officeDocument/2006/relationships" ref="N74" r:id="rId275"/>
    <hyperlink xmlns:r="http://schemas.openxmlformats.org/officeDocument/2006/relationships" ref="H75" r:id="rId276"/>
    <hyperlink xmlns:r="http://schemas.openxmlformats.org/officeDocument/2006/relationships" ref="I75" r:id="rId277"/>
    <hyperlink xmlns:r="http://schemas.openxmlformats.org/officeDocument/2006/relationships" ref="K75" r:id="rId278"/>
    <hyperlink xmlns:r="http://schemas.openxmlformats.org/officeDocument/2006/relationships" ref="N75" r:id="rId279"/>
    <hyperlink xmlns:r="http://schemas.openxmlformats.org/officeDocument/2006/relationships" ref="H76" r:id="rId280"/>
    <hyperlink xmlns:r="http://schemas.openxmlformats.org/officeDocument/2006/relationships" ref="I76" r:id="rId281"/>
    <hyperlink xmlns:r="http://schemas.openxmlformats.org/officeDocument/2006/relationships" ref="K76" r:id="rId282"/>
    <hyperlink xmlns:r="http://schemas.openxmlformats.org/officeDocument/2006/relationships" ref="N76" r:id="rId283"/>
    <hyperlink xmlns:r="http://schemas.openxmlformats.org/officeDocument/2006/relationships" ref="H77" r:id="rId284"/>
    <hyperlink xmlns:r="http://schemas.openxmlformats.org/officeDocument/2006/relationships" ref="I77" r:id="rId285"/>
    <hyperlink xmlns:r="http://schemas.openxmlformats.org/officeDocument/2006/relationships" ref="K77" r:id="rId286"/>
    <hyperlink xmlns:r="http://schemas.openxmlformats.org/officeDocument/2006/relationships" ref="N77" r:id="rId287"/>
    <hyperlink xmlns:r="http://schemas.openxmlformats.org/officeDocument/2006/relationships" ref="H78" r:id="rId288"/>
    <hyperlink xmlns:r="http://schemas.openxmlformats.org/officeDocument/2006/relationships" ref="I78" r:id="rId289"/>
    <hyperlink xmlns:r="http://schemas.openxmlformats.org/officeDocument/2006/relationships" ref="K78" r:id="rId290"/>
    <hyperlink xmlns:r="http://schemas.openxmlformats.org/officeDocument/2006/relationships" ref="N78" r:id="rId291"/>
    <hyperlink xmlns:r="http://schemas.openxmlformats.org/officeDocument/2006/relationships" ref="H79" r:id="rId292"/>
    <hyperlink xmlns:r="http://schemas.openxmlformats.org/officeDocument/2006/relationships" ref="K79" r:id="rId293"/>
    <hyperlink xmlns:r="http://schemas.openxmlformats.org/officeDocument/2006/relationships" ref="N79" r:id="rId294"/>
    <hyperlink xmlns:r="http://schemas.openxmlformats.org/officeDocument/2006/relationships" ref="H80" r:id="rId295"/>
    <hyperlink xmlns:r="http://schemas.openxmlformats.org/officeDocument/2006/relationships" ref="I80" r:id="rId296"/>
    <hyperlink xmlns:r="http://schemas.openxmlformats.org/officeDocument/2006/relationships" ref="K80" r:id="rId297"/>
    <hyperlink xmlns:r="http://schemas.openxmlformats.org/officeDocument/2006/relationships" ref="N80" r:id="rId298"/>
    <hyperlink xmlns:r="http://schemas.openxmlformats.org/officeDocument/2006/relationships" ref="H81" r:id="rId299"/>
    <hyperlink xmlns:r="http://schemas.openxmlformats.org/officeDocument/2006/relationships" ref="I81" r:id="rId300"/>
    <hyperlink xmlns:r="http://schemas.openxmlformats.org/officeDocument/2006/relationships" ref="K81" r:id="rId301"/>
    <hyperlink xmlns:r="http://schemas.openxmlformats.org/officeDocument/2006/relationships" ref="N81" r:id="rId302"/>
    <hyperlink xmlns:r="http://schemas.openxmlformats.org/officeDocument/2006/relationships" ref="H82" r:id="rId303"/>
    <hyperlink xmlns:r="http://schemas.openxmlformats.org/officeDocument/2006/relationships" ref="I82" r:id="rId304"/>
    <hyperlink xmlns:r="http://schemas.openxmlformats.org/officeDocument/2006/relationships" ref="K82" r:id="rId305"/>
    <hyperlink xmlns:r="http://schemas.openxmlformats.org/officeDocument/2006/relationships" ref="N82" r:id="rId306"/>
    <hyperlink xmlns:r="http://schemas.openxmlformats.org/officeDocument/2006/relationships" ref="H83" r:id="rId307"/>
    <hyperlink xmlns:r="http://schemas.openxmlformats.org/officeDocument/2006/relationships" ref="I83" r:id="rId308"/>
    <hyperlink xmlns:r="http://schemas.openxmlformats.org/officeDocument/2006/relationships" ref="K83" r:id="rId309"/>
    <hyperlink xmlns:r="http://schemas.openxmlformats.org/officeDocument/2006/relationships" ref="N83" r:id="rId310"/>
    <hyperlink xmlns:r="http://schemas.openxmlformats.org/officeDocument/2006/relationships" ref="H84" r:id="rId311"/>
    <hyperlink xmlns:r="http://schemas.openxmlformats.org/officeDocument/2006/relationships" ref="I84" r:id="rId312"/>
    <hyperlink xmlns:r="http://schemas.openxmlformats.org/officeDocument/2006/relationships" ref="K84" r:id="rId313"/>
    <hyperlink xmlns:r="http://schemas.openxmlformats.org/officeDocument/2006/relationships" ref="N84" r:id="rId314"/>
    <hyperlink xmlns:r="http://schemas.openxmlformats.org/officeDocument/2006/relationships" ref="H85" r:id="rId315"/>
    <hyperlink xmlns:r="http://schemas.openxmlformats.org/officeDocument/2006/relationships" ref="I85" r:id="rId316"/>
    <hyperlink xmlns:r="http://schemas.openxmlformats.org/officeDocument/2006/relationships" ref="K85" r:id="rId317"/>
    <hyperlink xmlns:r="http://schemas.openxmlformats.org/officeDocument/2006/relationships" ref="N85" r:id="rId318"/>
    <hyperlink xmlns:r="http://schemas.openxmlformats.org/officeDocument/2006/relationships" ref="H86" r:id="rId319"/>
    <hyperlink xmlns:r="http://schemas.openxmlformats.org/officeDocument/2006/relationships" ref="I86" r:id="rId320"/>
    <hyperlink xmlns:r="http://schemas.openxmlformats.org/officeDocument/2006/relationships" ref="K86" r:id="rId321"/>
    <hyperlink xmlns:r="http://schemas.openxmlformats.org/officeDocument/2006/relationships" ref="N86" r:id="rId322"/>
    <hyperlink xmlns:r="http://schemas.openxmlformats.org/officeDocument/2006/relationships" ref="H87" r:id="rId323"/>
    <hyperlink xmlns:r="http://schemas.openxmlformats.org/officeDocument/2006/relationships" ref="I87" r:id="rId324"/>
    <hyperlink xmlns:r="http://schemas.openxmlformats.org/officeDocument/2006/relationships" ref="K87" r:id="rId325"/>
    <hyperlink xmlns:r="http://schemas.openxmlformats.org/officeDocument/2006/relationships" ref="N87" r:id="rId326"/>
    <hyperlink xmlns:r="http://schemas.openxmlformats.org/officeDocument/2006/relationships" ref="H88" r:id="rId327"/>
    <hyperlink xmlns:r="http://schemas.openxmlformats.org/officeDocument/2006/relationships" ref="I88" r:id="rId328"/>
    <hyperlink xmlns:r="http://schemas.openxmlformats.org/officeDocument/2006/relationships" ref="K88" r:id="rId329"/>
    <hyperlink xmlns:r="http://schemas.openxmlformats.org/officeDocument/2006/relationships" ref="N88" r:id="rId330"/>
    <hyperlink xmlns:r="http://schemas.openxmlformats.org/officeDocument/2006/relationships" ref="H89" r:id="rId331"/>
    <hyperlink xmlns:r="http://schemas.openxmlformats.org/officeDocument/2006/relationships" ref="I89" r:id="rId332"/>
    <hyperlink xmlns:r="http://schemas.openxmlformats.org/officeDocument/2006/relationships" ref="K89" r:id="rId333"/>
    <hyperlink xmlns:r="http://schemas.openxmlformats.org/officeDocument/2006/relationships" ref="N89" r:id="rId334"/>
    <hyperlink xmlns:r="http://schemas.openxmlformats.org/officeDocument/2006/relationships" ref="H90" r:id="rId335"/>
    <hyperlink xmlns:r="http://schemas.openxmlformats.org/officeDocument/2006/relationships" ref="I90" r:id="rId336"/>
    <hyperlink xmlns:r="http://schemas.openxmlformats.org/officeDocument/2006/relationships" ref="K90" r:id="rId337"/>
    <hyperlink xmlns:r="http://schemas.openxmlformats.org/officeDocument/2006/relationships" ref="N90" r:id="rId338"/>
    <hyperlink xmlns:r="http://schemas.openxmlformats.org/officeDocument/2006/relationships" ref="H91" r:id="rId339"/>
    <hyperlink xmlns:r="http://schemas.openxmlformats.org/officeDocument/2006/relationships" ref="I91" r:id="rId340"/>
    <hyperlink xmlns:r="http://schemas.openxmlformats.org/officeDocument/2006/relationships" ref="K91" r:id="rId341"/>
    <hyperlink xmlns:r="http://schemas.openxmlformats.org/officeDocument/2006/relationships" ref="N91" r:id="rId342"/>
    <hyperlink xmlns:r="http://schemas.openxmlformats.org/officeDocument/2006/relationships" ref="H92" r:id="rId343"/>
    <hyperlink xmlns:r="http://schemas.openxmlformats.org/officeDocument/2006/relationships" ref="I92" r:id="rId344"/>
    <hyperlink xmlns:r="http://schemas.openxmlformats.org/officeDocument/2006/relationships" ref="K92" r:id="rId345"/>
    <hyperlink xmlns:r="http://schemas.openxmlformats.org/officeDocument/2006/relationships" ref="N92" r:id="rId346"/>
    <hyperlink xmlns:r="http://schemas.openxmlformats.org/officeDocument/2006/relationships" ref="H93" r:id="rId347"/>
    <hyperlink xmlns:r="http://schemas.openxmlformats.org/officeDocument/2006/relationships" ref="I93" r:id="rId348"/>
    <hyperlink xmlns:r="http://schemas.openxmlformats.org/officeDocument/2006/relationships" ref="K93" r:id="rId349"/>
    <hyperlink xmlns:r="http://schemas.openxmlformats.org/officeDocument/2006/relationships" ref="N93" r:id="rId350"/>
    <hyperlink xmlns:r="http://schemas.openxmlformats.org/officeDocument/2006/relationships" ref="H94" r:id="rId351"/>
    <hyperlink xmlns:r="http://schemas.openxmlformats.org/officeDocument/2006/relationships" ref="I94" r:id="rId352"/>
    <hyperlink xmlns:r="http://schemas.openxmlformats.org/officeDocument/2006/relationships" ref="K94" r:id="rId353"/>
    <hyperlink xmlns:r="http://schemas.openxmlformats.org/officeDocument/2006/relationships" ref="N94" r:id="rId354"/>
    <hyperlink xmlns:r="http://schemas.openxmlformats.org/officeDocument/2006/relationships" ref="H95" r:id="rId355"/>
    <hyperlink xmlns:r="http://schemas.openxmlformats.org/officeDocument/2006/relationships" ref="K95" r:id="rId356"/>
    <hyperlink xmlns:r="http://schemas.openxmlformats.org/officeDocument/2006/relationships" ref="N95" r:id="rId357"/>
    <hyperlink xmlns:r="http://schemas.openxmlformats.org/officeDocument/2006/relationships" ref="H96" r:id="rId358"/>
    <hyperlink xmlns:r="http://schemas.openxmlformats.org/officeDocument/2006/relationships" ref="I96" r:id="rId359"/>
    <hyperlink xmlns:r="http://schemas.openxmlformats.org/officeDocument/2006/relationships" ref="K96" r:id="rId360"/>
    <hyperlink xmlns:r="http://schemas.openxmlformats.org/officeDocument/2006/relationships" ref="N96" r:id="rId361"/>
    <hyperlink xmlns:r="http://schemas.openxmlformats.org/officeDocument/2006/relationships" ref="H97" r:id="rId362"/>
    <hyperlink xmlns:r="http://schemas.openxmlformats.org/officeDocument/2006/relationships" ref="I97" r:id="rId363"/>
    <hyperlink xmlns:r="http://schemas.openxmlformats.org/officeDocument/2006/relationships" ref="K97" r:id="rId364"/>
    <hyperlink xmlns:r="http://schemas.openxmlformats.org/officeDocument/2006/relationships" ref="N97" r:id="rId365"/>
    <hyperlink xmlns:r="http://schemas.openxmlformats.org/officeDocument/2006/relationships" ref="H98" r:id="rId366"/>
    <hyperlink xmlns:r="http://schemas.openxmlformats.org/officeDocument/2006/relationships" ref="I98" r:id="rId367"/>
    <hyperlink xmlns:r="http://schemas.openxmlformats.org/officeDocument/2006/relationships" ref="K98" r:id="rId368"/>
    <hyperlink xmlns:r="http://schemas.openxmlformats.org/officeDocument/2006/relationships" ref="N98" r:id="rId369"/>
    <hyperlink xmlns:r="http://schemas.openxmlformats.org/officeDocument/2006/relationships" ref="I99" r:id="rId370"/>
    <hyperlink xmlns:r="http://schemas.openxmlformats.org/officeDocument/2006/relationships" ref="K99" r:id="rId371"/>
    <hyperlink xmlns:r="http://schemas.openxmlformats.org/officeDocument/2006/relationships" ref="N99" r:id="rId372"/>
    <hyperlink xmlns:r="http://schemas.openxmlformats.org/officeDocument/2006/relationships" ref="I100" r:id="rId373"/>
    <hyperlink xmlns:r="http://schemas.openxmlformats.org/officeDocument/2006/relationships" ref="K100" r:id="rId374"/>
    <hyperlink xmlns:r="http://schemas.openxmlformats.org/officeDocument/2006/relationships" ref="N100" r:id="rId3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5" t="inlineStr">
        <is>
          <t>Pipeline</t>
        </is>
      </c>
      <c r="B1" s="5" t="inlineStr">
        <is>
          <t>Leads</t>
        </is>
      </c>
    </row>
    <row r="2">
      <c r="A2" t="inlineStr">
        <is>
          <t>Not contacted</t>
        </is>
      </c>
      <c r="B2">
        <f>COUNTIF(Leads!O:O,"Not contacted")</f>
        <v/>
      </c>
    </row>
    <row r="3">
      <c r="A3" t="inlineStr">
        <is>
          <t>DM sent</t>
        </is>
      </c>
      <c r="B3">
        <f>COUNTIF(Leads!O:O,"DM sent")</f>
        <v/>
      </c>
    </row>
    <row r="4">
      <c r="A4" t="inlineStr">
        <is>
          <t>Replied</t>
        </is>
      </c>
      <c r="B4">
        <f>COUNTIF(Leads!O:O,"Replied")</f>
        <v/>
      </c>
    </row>
    <row r="5">
      <c r="A5" t="inlineStr">
        <is>
          <t>Preview sent</t>
        </is>
      </c>
      <c r="B5">
        <f>COUNTIF(Leads!O:O,"Preview sent")</f>
        <v/>
      </c>
    </row>
    <row r="6">
      <c r="A6" t="inlineStr">
        <is>
          <t>Meeting booked</t>
        </is>
      </c>
      <c r="B6">
        <f>COUNTIF(Leads!O:O,"Meeting booked")</f>
        <v/>
      </c>
    </row>
    <row r="7">
      <c r="A7" t="inlineStr">
        <is>
          <t>Won</t>
        </is>
      </c>
      <c r="B7">
        <f>COUNTIF(Leads!O:O,"Won")</f>
        <v/>
      </c>
    </row>
    <row r="8">
      <c r="A8" t="inlineStr">
        <is>
          <t>Not interested</t>
        </is>
      </c>
      <c r="B8">
        <f>COUNTIF(Leads!O:O,"Not interested")</f>
        <v/>
      </c>
    </row>
    <row r="9">
      <c r="A9" t="inlineStr">
        <is>
          <t>Business closed</t>
        </is>
      </c>
      <c r="B9">
        <f>COUNTIF(Leads!O:O,"Business closed")</f>
        <v/>
      </c>
    </row>
    <row r="11">
      <c r="A11" t="inlineStr">
        <is>
          <t>Reply rate (Replied or later / DMs sent)</t>
        </is>
      </c>
      <c r="B11" s="6">
        <f>IFERROR((B4+B5+B6+B7+B8)/(B3+B4+B5+B6+B7+B8),0)</f>
        <v/>
      </c>
    </row>
    <row r="12">
      <c r="A12" s="7" t="inlineStr">
        <is>
          <t>Leads per priority</t>
        </is>
      </c>
      <c r="B12" t="inlineStr"/>
    </row>
    <row r="13">
      <c r="A13" t="inlineStr">
        <is>
          <t>HIGH</t>
        </is>
      </c>
      <c r="B13">
        <f>COUNTIF(Leads!B:B,"HIGH")</f>
        <v/>
      </c>
    </row>
    <row r="14">
      <c r="A14" t="inlineStr">
        <is>
          <t>VERIFY FIRST</t>
        </is>
      </c>
      <c r="B14">
        <f>COUNTIF(Leads!B:B,"VERIFY FIRST")</f>
        <v/>
      </c>
    </row>
    <row r="15">
      <c r="A15" t="inlineStr">
        <is>
          <t>MEDIUM</t>
        </is>
      </c>
      <c r="B15">
        <f>COUNTIF(Leads!B:B,"MEDIUM")</f>
        <v/>
      </c>
    </row>
    <row r="17">
      <c r="A17" s="7" t="inlineStr">
        <is>
          <t>Leads per region</t>
        </is>
      </c>
      <c r="B17" t="inlineStr"/>
    </row>
    <row r="18">
      <c r="A18" t="inlineStr">
        <is>
          <t>Brisbane</t>
        </is>
      </c>
      <c r="B18">
        <f>COUNTIF(Leads!F:F,"Brisbane")</f>
        <v/>
      </c>
    </row>
    <row r="19">
      <c r="A19" t="inlineStr">
        <is>
          <t>Bundaberg</t>
        </is>
      </c>
      <c r="B19">
        <f>COUNTIF(Leads!F:F,"Bundaberg")</f>
        <v/>
      </c>
    </row>
    <row r="20">
      <c r="A20" t="inlineStr">
        <is>
          <t>Cairns</t>
        </is>
      </c>
      <c r="B20">
        <f>COUNTIF(Leads!F:F,"Cairns")</f>
        <v/>
      </c>
    </row>
    <row r="21">
      <c r="A21" t="inlineStr">
        <is>
          <t>Gold Coast</t>
        </is>
      </c>
      <c r="B21">
        <f>COUNTIF(Leads!F:F,"Gold Coast")</f>
        <v/>
      </c>
    </row>
    <row r="22">
      <c r="A22" t="inlineStr">
        <is>
          <t>Hervey Bay</t>
        </is>
      </c>
      <c r="B22">
        <f>COUNTIF(Leads!F:F,"Hervey Bay")</f>
        <v/>
      </c>
    </row>
    <row r="23">
      <c r="A23" t="inlineStr">
        <is>
          <t>Ipswich</t>
        </is>
      </c>
      <c r="B23">
        <f>COUNTIF(Leads!F:F,"Ipswich")</f>
        <v/>
      </c>
    </row>
    <row r="24">
      <c r="A24" t="inlineStr">
        <is>
          <t>Logan</t>
        </is>
      </c>
      <c r="B24">
        <f>COUNTIF(Leads!F:F,"Logan")</f>
        <v/>
      </c>
    </row>
    <row r="25">
      <c r="A25" t="inlineStr">
        <is>
          <t>Mackay</t>
        </is>
      </c>
      <c r="B25">
        <f>COUNTIF(Leads!F:F,"Mackay")</f>
        <v/>
      </c>
    </row>
    <row r="26">
      <c r="A26" t="inlineStr">
        <is>
          <t>Moreton Bay</t>
        </is>
      </c>
      <c r="B26">
        <f>COUNTIF(Leads!F:F,"Moreton Bay")</f>
        <v/>
      </c>
    </row>
    <row r="27">
      <c r="A27" t="inlineStr">
        <is>
          <t>Other QLD</t>
        </is>
      </c>
      <c r="B27">
        <f>COUNTIF(Leads!F:F,"Other QLD")</f>
        <v/>
      </c>
    </row>
    <row r="28">
      <c r="A28" t="inlineStr">
        <is>
          <t>Redlands</t>
        </is>
      </c>
      <c r="B28">
        <f>COUNTIF(Leads!F:F,"Redlands")</f>
        <v/>
      </c>
    </row>
    <row r="29">
      <c r="A29" t="inlineStr">
        <is>
          <t>Rockhampton</t>
        </is>
      </c>
      <c r="B29">
        <f>COUNTIF(Leads!F:F,"Rockhampton")</f>
        <v/>
      </c>
    </row>
    <row r="30">
      <c r="A30" t="inlineStr">
        <is>
          <t>Sunshine Coast</t>
        </is>
      </c>
      <c r="B30">
        <f>COUNTIF(Leads!F:F,"Sunshine Coast")</f>
        <v/>
      </c>
    </row>
    <row r="31">
      <c r="A31" t="inlineStr">
        <is>
          <t>Toowoomba</t>
        </is>
      </c>
      <c r="B31">
        <f>COUNTIF(Leads!F:F,"Toowoomba")</f>
        <v/>
      </c>
    </row>
    <row r="32">
      <c r="A32" t="inlineStr">
        <is>
          <t>Townsville</t>
        </is>
      </c>
      <c r="B32">
        <f>COUNTIF(Leads!F:F,"Townsville")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AceAds: Instagram / Facebook outreach, Queensland</t>
        </is>
      </c>
    </row>
    <row r="2">
      <c r="A2" t="inlineStr"/>
    </row>
    <row r="3">
      <c r="A3" s="9" t="inlineStr">
        <is>
          <t>Before each DM</t>
        </is>
      </c>
    </row>
    <row r="4">
      <c r="A4" t="inlineStr">
        <is>
          <t>1. Open 'Check on Google Maps'. Skip the business if it is closed or has almost no reviews.</t>
        </is>
      </c>
    </row>
    <row r="5">
      <c r="A5" t="inlineStr">
        <is>
          <t>2. Open their Instagram/Facebook. Replace [one real detail from their page] with something true and specific.</t>
        </is>
      </c>
    </row>
    <row r="6">
      <c r="A6" t="inlineStr">
        <is>
          <t>3. 'VERIFY FIRST' rows: Google the business name first. If they DO have a website, check it on your phone and</t>
        </is>
      </c>
    </row>
    <row r="7">
      <c r="A7" t="inlineStr">
        <is>
          <t xml:space="preserve">   rewrite the DM around a problem you can see yourself, or skip them. Never say they have no website unless you checked.</t>
        </is>
      </c>
    </row>
    <row r="8">
      <c r="A8" t="inlineStr">
        <is>
          <t>4. 'Slow to load' was timed from an overseas server. Open the site on your own phone first; if it loads fine, skip that point.</t>
        </is>
      </c>
    </row>
    <row r="9">
      <c r="A9" t="inlineStr"/>
    </row>
    <row r="10">
      <c r="A10" s="9" t="inlineStr">
        <is>
          <t>Sending</t>
        </is>
      </c>
    </row>
    <row r="11">
      <c r="A11" t="inlineStr">
        <is>
          <t>5. Send from the AceAds business account, by hand. Max 20 new DMs per account per day.</t>
        </is>
      </c>
    </row>
    <row r="12">
      <c r="A12" t="inlineStr">
        <is>
          <t>6. Never paste the identical message twice in a row. Personalise every one; Meta limits accounts that send copy-paste DMs.</t>
        </is>
      </c>
    </row>
    <row r="13">
      <c r="A13" t="inlineStr">
        <is>
          <t>7. If they reply yes, ask AceAds for their preview (mockups/ in the repo), then send the screenshot and link.</t>
        </is>
      </c>
    </row>
    <row r="14">
      <c r="A14" t="inlineStr">
        <is>
          <t xml:space="preserve">   Set Status to 'Preview sent'.</t>
        </is>
      </c>
    </row>
    <row r="15">
      <c r="A15" t="inlineStr">
        <is>
          <t>8. One polite follow-up after 4-5 days, only if there was no reply. Then stop.</t>
        </is>
      </c>
    </row>
    <row r="16">
      <c r="A16" t="inlineStr">
        <is>
          <t>9. If anyone says no or asks us to stop, set 'Not interested' and never contact them again.</t>
        </is>
      </c>
    </row>
    <row r="17">
      <c r="A17" t="inlineStr"/>
    </row>
    <row r="18">
      <c r="A18" s="9" t="inlineStr">
        <is>
          <t>Do not</t>
        </is>
      </c>
    </row>
    <row r="19">
      <c r="A19" t="inlineStr">
        <is>
          <t>- Do not add these businesses to bulk email or automated DM tools.</t>
        </is>
      </c>
    </row>
    <row r="20">
      <c r="A20" t="inlineStr">
        <is>
          <t>- Email only to an address the business publishes on its own website, copied by hand. Say who we are, keep it</t>
        </is>
      </c>
    </row>
    <row r="21">
      <c r="A21" t="inlineStr">
        <is>
          <t xml:space="preserve">  about their website, and end with: 'Not interested? Reply STOP and we won't contact you again.'</t>
        </is>
      </c>
    </row>
    <row r="22">
      <c r="A22" t="inlineStr">
        <is>
          <t>- Do not claim anything about their business you have not checked.</t>
        </is>
      </c>
    </row>
    <row r="23">
      <c r="A23" t="inlineStr"/>
    </row>
    <row r="24">
      <c r="A24" t="inlineStr">
        <is>
          <t>Source: OpenStreetMap (c) OpenStreetMap contributors, plus links found on the businesses' own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2026-10-03T04:39:30Z</dcterms:created>
  <dcterms:modified xsi:type="dcterms:W3CDTF">2026-10-03T04:39:30Z</dcterms:modified>
</cp:coreProperties>
</file>