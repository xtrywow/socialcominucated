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Tracker" sheetId="2" state="visible" r:id="rId2"/>
    <sheet name="How to work this list" sheetId="3" state="visible" r:id="rId3"/>
  </sheets>
  <definedNames>
    <definedName name="_xlnm._FilterDatabase" localSheetId="0" hidden="1">'Leads'!$A$1:$S$412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A9D08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Ferny-Way-Bakery-689190028097407/" TargetMode="External" Id="rId1" /><Relationship Type="http://schemas.openxmlformats.org/officeDocument/2006/relationships/hyperlink" Target="https://www.facebook.com/Ferny-Way-Bakery-689190028097407/" TargetMode="External" Id="rId2" /><Relationship Type="http://schemas.openxmlformats.org/officeDocument/2006/relationships/hyperlink" Target="https://www.google.com/maps/search/?api=1&amp;query=Ferny+Way+Bakery+146+Ferny+Way+Ferny+Hills" TargetMode="External" Id="rId3" /><Relationship Type="http://schemas.openxmlformats.org/officeDocument/2006/relationships/hyperlink" Target="https://www.facebook.com/Bakery-Karana-Downs-624286981023430/" TargetMode="External" Id="rId4" /><Relationship Type="http://schemas.openxmlformats.org/officeDocument/2006/relationships/hyperlink" Target="https://www.facebook.com/Bakery-Karana-Downs-624286981023430/" TargetMode="External" Id="rId5" /><Relationship Type="http://schemas.openxmlformats.org/officeDocument/2006/relationships/hyperlink" Target="https://www.google.com/maps/search/?api=1&amp;query=Karana+Krusty+Bakery+1+College+Road+Karana+Downs" TargetMode="External" Id="rId6" /><Relationship Type="http://schemas.openxmlformats.org/officeDocument/2006/relationships/hyperlink" Target="https://www.facebook.com/flatlizardbrewing/" TargetMode="External" Id="rId7" /><Relationship Type="http://schemas.openxmlformats.org/officeDocument/2006/relationships/hyperlink" Target="https://www.facebook.com/flatlizardbrewing/" TargetMode="External" Id="rId8" /><Relationship Type="http://schemas.openxmlformats.org/officeDocument/2006/relationships/hyperlink" Target="https://www.google.com/maps/search/?api=1&amp;query=Flat+Lizard+Brewing" TargetMode="External" Id="rId9" /><Relationship Type="http://schemas.openxmlformats.org/officeDocument/2006/relationships/hyperlink" Target="https://www.facebook.com/bellavisionhairstudio132" TargetMode="External" Id="rId10" /><Relationship Type="http://schemas.openxmlformats.org/officeDocument/2006/relationships/hyperlink" Target="https://www.facebook.com/bellavisionhairstudio132/" TargetMode="External" Id="rId11" /><Relationship Type="http://schemas.openxmlformats.org/officeDocument/2006/relationships/hyperlink" Target="https://www.google.com/maps/search/?api=1&amp;query=Bella+Vision+Hair+Studio+146+Ferny+Way+Ferny+Hills" TargetMode="External" Id="rId12" /><Relationship Type="http://schemas.openxmlformats.org/officeDocument/2006/relationships/hyperlink" Target="https://www.instagram.com/brassknuckles_barber/" TargetMode="External" Id="rId13" /><Relationship Type="http://schemas.openxmlformats.org/officeDocument/2006/relationships/hyperlink" Target="https://www.instagram.com/brassknuckles_barber/" TargetMode="External" Id="rId14" /><Relationship Type="http://schemas.openxmlformats.org/officeDocument/2006/relationships/hyperlink" Target="https://www.google.com/maps/search/?api=1&amp;query=Brass+Knuckles+Barber+448+Enoggera+Road+Alderley" TargetMode="External" Id="rId15" /><Relationship Type="http://schemas.openxmlformats.org/officeDocument/2006/relationships/hyperlink" Target="https://www.facebook.com/crownandcobarbers/?ref=page_internal" TargetMode="External" Id="rId16" /><Relationship Type="http://schemas.openxmlformats.org/officeDocument/2006/relationships/hyperlink" Target="https://www.facebook.com/crownandcobarbers/?ref=page_internal" TargetMode="External" Id="rId17" /><Relationship Type="http://schemas.openxmlformats.org/officeDocument/2006/relationships/hyperlink" Target="https://www.google.com/maps/search/?api=1&amp;query=Crown+and+Co+Barbers+Brunswick+Street+Fortitude+Valley" TargetMode="External" Id="rId18" /><Relationship Type="http://schemas.openxmlformats.org/officeDocument/2006/relationships/hyperlink" Target="https://www.facebook.com/p/Kin-Barbershop-61557611918699" TargetMode="External" Id="rId19" /><Relationship Type="http://schemas.openxmlformats.org/officeDocument/2006/relationships/hyperlink" Target="https://kinbarbershop.square.site/" TargetMode="External" Id="rId20" /><Relationship Type="http://schemas.openxmlformats.org/officeDocument/2006/relationships/hyperlink" Target="https://www.google.com/maps/search/?api=1&amp;query=Kin+Barbershop+95+Samford+Road+Alderley" TargetMode="External" Id="rId21" /><Relationship Type="http://schemas.openxmlformats.org/officeDocument/2006/relationships/hyperlink" Target="https://facebook.com/scottybarberinos/" TargetMode="External" Id="rId22" /><Relationship Type="http://schemas.openxmlformats.org/officeDocument/2006/relationships/hyperlink" Target="https://facebook.com/scottybarberinos/" TargetMode="External" Id="rId23" /><Relationship Type="http://schemas.openxmlformats.org/officeDocument/2006/relationships/hyperlink" Target="https://www.google.com/maps/search/?api=1&amp;query=Scotty+Barberino%27s+Barber+Shop+37+Main+Street+Samford+Village" TargetMode="External" Id="rId24" /><Relationship Type="http://schemas.openxmlformats.org/officeDocument/2006/relationships/hyperlink" Target="https://www.facebook.com/Terrydobiehair/" TargetMode="External" Id="rId25" /><Relationship Type="http://schemas.openxmlformats.org/officeDocument/2006/relationships/hyperlink" Target="https://terrydobiehair.wixsite.com/mysite" TargetMode="External" Id="rId26" /><Relationship Type="http://schemas.openxmlformats.org/officeDocument/2006/relationships/hyperlink" Target="https://www.google.com/maps/search/?api=1&amp;query=Terry+Dobie+Hairdressing+210+Redland+Bay+Road+Capalaba" TargetMode="External" Id="rId27" /><Relationship Type="http://schemas.openxmlformats.org/officeDocument/2006/relationships/hyperlink" Target="https://www.facebook.com/profile.php?id=100063881476277" TargetMode="External" Id="rId28" /><Relationship Type="http://schemas.openxmlformats.org/officeDocument/2006/relationships/hyperlink" Target="https://www.facebook.com/profile.php?id=100063881476277" TargetMode="External" Id="rId29" /><Relationship Type="http://schemas.openxmlformats.org/officeDocument/2006/relationships/hyperlink" Target="https://www.google.com/maps/search/?api=1&amp;query=Nail+Today" TargetMode="External" Id="rId30" /><Relationship Type="http://schemas.openxmlformats.org/officeDocument/2006/relationships/hyperlink" Target="https://www.facebook.com/Canary-Lane-686290855153091/" TargetMode="External" Id="rId31" /><Relationship Type="http://schemas.openxmlformats.org/officeDocument/2006/relationships/hyperlink" Target="https://www.facebook.com/Canary-Lane-686290855153091/" TargetMode="External" Id="rId32" /><Relationship Type="http://schemas.openxmlformats.org/officeDocument/2006/relationships/hyperlink" Target="https://www.google.com/maps/search/?api=1&amp;query=Canary+Lane" TargetMode="External" Id="rId33" /><Relationship Type="http://schemas.openxmlformats.org/officeDocument/2006/relationships/hyperlink" Target="https://m.facebook.com/story.php?story_fbid=2013500125499490&amp;id=487145808134937&amp;sfnsn=mo" TargetMode="External" Id="rId34" /><Relationship Type="http://schemas.openxmlformats.org/officeDocument/2006/relationships/hyperlink" Target="https://m.facebook.com/story.php?story_fbid=2013500125499490&amp;id=487145808134937&amp;sfnsn=mo" TargetMode="External" Id="rId35" /><Relationship Type="http://schemas.openxmlformats.org/officeDocument/2006/relationships/hyperlink" Target="https://www.google.com/maps/search/?api=1&amp;query=Bancroft+Roasters%2C+Bardon+69+Bowman+Parade+Bardon" TargetMode="External" Id="rId36" /><Relationship Type="http://schemas.openxmlformats.org/officeDocument/2006/relationships/hyperlink" Target="https://www.instagram.com/bardonthyme/?hl=en" TargetMode="External" Id="rId37" /><Relationship Type="http://schemas.openxmlformats.org/officeDocument/2006/relationships/hyperlink" Target="https://www.instagram.com/bardonthyme/?hl=en" TargetMode="External" Id="rId38" /><Relationship Type="http://schemas.openxmlformats.org/officeDocument/2006/relationships/hyperlink" Target="https://www.google.com/maps/search/?api=1&amp;query=Bardon+Thyme+5+Morgan+Terrace+Bardon" TargetMode="External" Id="rId39" /><Relationship Type="http://schemas.openxmlformats.org/officeDocument/2006/relationships/hyperlink" Target="https://www.facebook.com/canterandcolt" TargetMode="External" Id="rId40" /><Relationship Type="http://schemas.openxmlformats.org/officeDocument/2006/relationships/hyperlink" Target="https://www.facebook.com/canterandcolt" TargetMode="External" Id="rId41" /><Relationship Type="http://schemas.openxmlformats.org/officeDocument/2006/relationships/hyperlink" Target="https://www.google.com/maps/search/?api=1&amp;query=Canter+%26+Colt+42+Main+Street+Samford+Village" TargetMode="External" Id="rId42" /><Relationship Type="http://schemas.openxmlformats.org/officeDocument/2006/relationships/hyperlink" Target="https://www.facebook.com/Coffee-Warden-Sandgate-380818316058328/" TargetMode="External" Id="rId43" /><Relationship Type="http://schemas.openxmlformats.org/officeDocument/2006/relationships/hyperlink" Target="https://www.facebook.com/Coffee-Warden-Sandgate-380818316058328/" TargetMode="External" Id="rId44" /><Relationship Type="http://schemas.openxmlformats.org/officeDocument/2006/relationships/hyperlink" Target="https://www.google.com/maps/search/?api=1&amp;query=Coffee+Warden+74+Ward+Street+Sandgate" TargetMode="External" Id="rId45" /><Relationship Type="http://schemas.openxmlformats.org/officeDocument/2006/relationships/hyperlink" Target="https://www.facebook.com/people/Coffee-on-the-Way/100057414793271/" TargetMode="External" Id="rId46" /><Relationship Type="http://schemas.openxmlformats.org/officeDocument/2006/relationships/hyperlink" Target="https://www.facebook.com/people/Coffee-on-the-Way/100057414793271/" TargetMode="External" Id="rId47" /><Relationship Type="http://schemas.openxmlformats.org/officeDocument/2006/relationships/hyperlink" Target="https://www.google.com/maps/search/?api=1&amp;query=Coffee+on+the+Way+146+Ferny+Way+Ferny+Hills" TargetMode="External" Id="rId48" /><Relationship Type="http://schemas.openxmlformats.org/officeDocument/2006/relationships/hyperlink" Target="https://www.facebook.com/Dropout-espresso-110045364260266/" TargetMode="External" Id="rId49" /><Relationship Type="http://schemas.openxmlformats.org/officeDocument/2006/relationships/hyperlink" Target="https://www.facebook.com/Dropout-espresso-110045364260266/" TargetMode="External" Id="rId50" /><Relationship Type="http://schemas.openxmlformats.org/officeDocument/2006/relationships/hyperlink" Target="https://www.google.com/maps/search/?api=1&amp;query=Dropout+Espresso+37+Main+Street+Samford+Village" TargetMode="External" Id="rId51" /><Relationship Type="http://schemas.openxmlformats.org/officeDocument/2006/relationships/hyperlink" Target="https://www.instagram.com/frasersnewstead/" TargetMode="External" Id="rId52" /><Relationship Type="http://schemas.openxmlformats.org/officeDocument/2006/relationships/hyperlink" Target="https://www.instagram.com/frasersnewstead/" TargetMode="External" Id="rId53" /><Relationship Type="http://schemas.openxmlformats.org/officeDocument/2006/relationships/hyperlink" Target="https://www.google.com/maps/search/?api=1&amp;query=Fraser%27s+Newstead+12+Commercial+Road" TargetMode="External" Id="rId54" /><Relationship Type="http://schemas.openxmlformats.org/officeDocument/2006/relationships/hyperlink" Target="https://www.facebook.com/gracevillemoments/" TargetMode="External" Id="rId55" /><Relationship Type="http://schemas.openxmlformats.org/officeDocument/2006/relationships/hyperlink" Target="https://www.facebook.com/gracevillemoments/" TargetMode="External" Id="rId56" /><Relationship Type="http://schemas.openxmlformats.org/officeDocument/2006/relationships/hyperlink" Target="https://www.google.com/maps/search/?api=1&amp;query=Graceville+Moments+Cafe+8+Bank+Road+Graceville" TargetMode="External" Id="rId57" /><Relationship Type="http://schemas.openxmlformats.org/officeDocument/2006/relationships/hyperlink" Target="https://www.facebook.com/littleredprovidore/" TargetMode="External" Id="rId58" /><Relationship Type="http://schemas.openxmlformats.org/officeDocument/2006/relationships/hyperlink" Target="https://www.facebook.com/littleredprovidore/" TargetMode="External" Id="rId59" /><Relationship Type="http://schemas.openxmlformats.org/officeDocument/2006/relationships/hyperlink" Target="https://www.google.com/maps/search/?api=1&amp;query=Little+Red+Providore+63+Windsor+Road" TargetMode="External" Id="rId60" /><Relationship Type="http://schemas.openxmlformats.org/officeDocument/2006/relationships/hyperlink" Target="https://www.facebook.com/profile.php?id=61584852192002" TargetMode="External" Id="rId61" /><Relationship Type="http://schemas.openxmlformats.org/officeDocument/2006/relationships/hyperlink" Target="https://www.facebook.com/profile.php?id=61584852192002" TargetMode="External" Id="rId62" /><Relationship Type="http://schemas.openxmlformats.org/officeDocument/2006/relationships/hyperlink" Target="https://www.google.com/maps/search/?api=1&amp;query=Paper+Moon+Coffee+House+and+Functions" TargetMode="External" Id="rId63" /><Relationship Type="http://schemas.openxmlformats.org/officeDocument/2006/relationships/hyperlink" Target="https://www.facebook.com/people/PROUD-to-SERVE/100083122461252/" TargetMode="External" Id="rId64" /><Relationship Type="http://schemas.openxmlformats.org/officeDocument/2006/relationships/hyperlink" Target="https://www.facebook.com/people/PROUD-to-SERVE/100083122461252/" TargetMode="External" Id="rId65" /><Relationship Type="http://schemas.openxmlformats.org/officeDocument/2006/relationships/hyperlink" Target="https://www.google.com/maps/search/?api=1&amp;query=Proud+To+Serve+202+Samford+Road+Enoggera" TargetMode="External" Id="rId66" /><Relationship Type="http://schemas.openxmlformats.org/officeDocument/2006/relationships/hyperlink" Target="https://www.facebook.com/remedyec/" TargetMode="External" Id="rId67" /><Relationship Type="http://schemas.openxmlformats.org/officeDocument/2006/relationships/hyperlink" Target="https://www.facebook.com/remedyec/" TargetMode="External" Id="rId68" /><Relationship Type="http://schemas.openxmlformats.org/officeDocument/2006/relationships/hyperlink" Target="https://www.google.com/maps/search/?api=1&amp;query=Remedy+Espresso+Cafe+1+Springfield+Lakes+Boulevard+Springfield+Lakes" TargetMode="External" Id="rId69" /><Relationship Type="http://schemas.openxmlformats.org/officeDocument/2006/relationships/hyperlink" Target="https://www.instagram.com/rookaacai" TargetMode="External" Id="rId70" /><Relationship Type="http://schemas.openxmlformats.org/officeDocument/2006/relationships/hyperlink" Target="https://www.instagram.com/rookaacai" TargetMode="External" Id="rId71" /><Relationship Type="http://schemas.openxmlformats.org/officeDocument/2006/relationships/hyperlink" Target="https://www.google.com/maps/search/?api=1&amp;query=Rooka+Acai" TargetMode="External" Id="rId72" /><Relationship Type="http://schemas.openxmlformats.org/officeDocument/2006/relationships/hyperlink" Target="https://www.facebook.com/storybehindthecoffee/" TargetMode="External" Id="rId73" /><Relationship Type="http://schemas.openxmlformats.org/officeDocument/2006/relationships/hyperlink" Target="https://www.facebook.com/storybehindthecoffee/" TargetMode="External" Id="rId74" /><Relationship Type="http://schemas.openxmlformats.org/officeDocument/2006/relationships/hyperlink" Target="https://www.google.com/maps/search/?api=1&amp;query=Story+Behind+The+Coffee+89+Broadwater+Road+Mount+Gravatt+East" TargetMode="External" Id="rId75" /><Relationship Type="http://schemas.openxmlformats.org/officeDocument/2006/relationships/hyperlink" Target="https://www.facebook.com/SundaysCoffeeHouseRocklea/" TargetMode="External" Id="rId76" /><Relationship Type="http://schemas.openxmlformats.org/officeDocument/2006/relationships/hyperlink" Target="https://www.facebook.com/SundaysCoffeeHouseRocklea/" TargetMode="External" Id="rId77" /><Relationship Type="http://schemas.openxmlformats.org/officeDocument/2006/relationships/hyperlink" Target="https://www.google.com/maps/search/?api=1&amp;query=Sundays+Cafe+59+Brooke+Street+Rocklea" TargetMode="External" Id="rId78" /><Relationship Type="http://schemas.openxmlformats.org/officeDocument/2006/relationships/hyperlink" Target="https://www.facebook.com/profile.php?id=100093799565639" TargetMode="External" Id="rId79" /><Relationship Type="http://schemas.openxmlformats.org/officeDocument/2006/relationships/hyperlink" Target="https://www.facebook.com/profile.php?id=100093799565639" TargetMode="External" Id="rId80" /><Relationship Type="http://schemas.openxmlformats.org/officeDocument/2006/relationships/hyperlink" Target="https://www.google.com/maps/search/?api=1&amp;query=The+Brass+116+Manson+Road" TargetMode="External" Id="rId81" /><Relationship Type="http://schemas.openxmlformats.org/officeDocument/2006/relationships/hyperlink" Target="https://www.instagram.com/woolshed.bne/" TargetMode="External" Id="rId82" /><Relationship Type="http://schemas.openxmlformats.org/officeDocument/2006/relationships/hyperlink" Target="https://www.instagram.com/woolshed.bne/" TargetMode="External" Id="rId83" /><Relationship Type="http://schemas.openxmlformats.org/officeDocument/2006/relationships/hyperlink" Target="https://www.google.com/maps/search/?api=1&amp;query=The+Woolshed.+15+Helen+Street" TargetMode="External" Id="rId84" /><Relationship Type="http://schemas.openxmlformats.org/officeDocument/2006/relationships/hyperlink" Target="https://www.instagram.com/vintybean/" TargetMode="External" Id="rId85" /><Relationship Type="http://schemas.openxmlformats.org/officeDocument/2006/relationships/hyperlink" Target="https://www.instagram.com/vintybean/" TargetMode="External" Id="rId86" /><Relationship Type="http://schemas.openxmlformats.org/officeDocument/2006/relationships/hyperlink" Target="https://www.google.com/maps/search/?api=1&amp;query=Vinty+Bean+53+Vernon+Terrace" TargetMode="External" Id="rId87" /><Relationship Type="http://schemas.openxmlformats.org/officeDocument/2006/relationships/hyperlink" Target="https://www.facebook.com/pages/Dinmore-Fruit-Barn/190399727707208" TargetMode="External" Id="rId88" /><Relationship Type="http://schemas.openxmlformats.org/officeDocument/2006/relationships/hyperlink" Target="https://www.facebook.com/pages/Dinmore-Fruit-Barn/190399727707208" TargetMode="External" Id="rId89" /><Relationship Type="http://schemas.openxmlformats.org/officeDocument/2006/relationships/hyperlink" Target="https://www.google.com/maps/search/?api=1&amp;query=Dinmore+Fruit+Barn+25+Brisbane+Road+Dinmore" TargetMode="External" Id="rId90" /><Relationship Type="http://schemas.openxmlformats.org/officeDocument/2006/relationships/hyperlink" Target="https://www.facebook.com/kadisonandlealta/" TargetMode="External" Id="rId91" /><Relationship Type="http://schemas.openxmlformats.org/officeDocument/2006/relationships/hyperlink" Target="https://www.facebook.com/kadisonandlealta/" TargetMode="External" Id="rId92" /><Relationship Type="http://schemas.openxmlformats.org/officeDocument/2006/relationships/hyperlink" Target="https://www.google.com/maps/search/?api=1&amp;query=Kadison+And+Lealta" TargetMode="External" Id="rId93" /><Relationship Type="http://schemas.openxmlformats.org/officeDocument/2006/relationships/hyperlink" Target="https://www.facebook.com/cherishedcreationshandmade/" TargetMode="External" Id="rId94" /><Relationship Type="http://schemas.openxmlformats.org/officeDocument/2006/relationships/hyperlink" Target="https://www.facebook.com/cherishedcreationshandmade/" TargetMode="External" Id="rId95" /><Relationship Type="http://schemas.openxmlformats.org/officeDocument/2006/relationships/hyperlink" Target="https://www.google.com/maps/search/?api=1&amp;query=Cherished+Creations+37+Main+Street+Samford+Village" TargetMode="External" Id="rId96" /><Relationship Type="http://schemas.openxmlformats.org/officeDocument/2006/relationships/hyperlink" Target="https://www.facebook.com/Makers-On-Main-281063809243994/" TargetMode="External" Id="rId97" /><Relationship Type="http://schemas.openxmlformats.org/officeDocument/2006/relationships/hyperlink" Target="https://www.facebook.com/Makers-On-Main-281063809243994/" TargetMode="External" Id="rId98" /><Relationship Type="http://schemas.openxmlformats.org/officeDocument/2006/relationships/hyperlink" Target="https://www.google.com/maps/search/?api=1&amp;query=Makers+on+Main+48+Main+Street+Samford+Village" TargetMode="External" Id="rId99" /><Relationship Type="http://schemas.openxmlformats.org/officeDocument/2006/relationships/hyperlink" Target="https://www.facebook.com/people/Petrie-secondhand-furniture/100057573274067/" TargetMode="External" Id="rId100" /><Relationship Type="http://schemas.openxmlformats.org/officeDocument/2006/relationships/hyperlink" Target="https://petrie-secondhand-furniture.business.site/" TargetMode="External" Id="rId101" /><Relationship Type="http://schemas.openxmlformats.org/officeDocument/2006/relationships/hyperlink" Target="https://www.google.com/maps/search/?api=1&amp;query=Petrie+2nd+Hand+Furniture+11+Dayboro+Road" TargetMode="External" Id="rId102" /><Relationship Type="http://schemas.openxmlformats.org/officeDocument/2006/relationships/hyperlink" Target="https://www.facebook.com/shadydayzgifts/" TargetMode="External" Id="rId103" /><Relationship Type="http://schemas.openxmlformats.org/officeDocument/2006/relationships/hyperlink" Target="https://www.facebook.com/shadydayzgifts/" TargetMode="External" Id="rId104" /><Relationship Type="http://schemas.openxmlformats.org/officeDocument/2006/relationships/hyperlink" Target="https://www.google.com/maps/search/?api=1&amp;query=Shady+Dayz+Gifts+%26+Homewares+40+Main+Street+Samford+Village" TargetMode="External" Id="rId105" /><Relationship Type="http://schemas.openxmlformats.org/officeDocument/2006/relationships/hyperlink" Target="https://www.facebook.com/ascotautomotive4007/" TargetMode="External" Id="rId106" /><Relationship Type="http://schemas.openxmlformats.org/officeDocument/2006/relationships/hyperlink" Target="https://www.facebook.com/ascotautomotive4007/" TargetMode="External" Id="rId107" /><Relationship Type="http://schemas.openxmlformats.org/officeDocument/2006/relationships/hyperlink" Target="https://www.google.com/maps/search/?api=1&amp;query=Ascot+Automotive" TargetMode="External" Id="rId108" /><Relationship Type="http://schemas.openxmlformats.org/officeDocument/2006/relationships/hyperlink" Target="https://www.facebook.com/next.up.5/" TargetMode="External" Id="rId109" /><Relationship Type="http://schemas.openxmlformats.org/officeDocument/2006/relationships/hyperlink" Target="https://www.facebook.com/next.up.5/" TargetMode="External" Id="rId110" /><Relationship Type="http://schemas.openxmlformats.org/officeDocument/2006/relationships/hyperlink" Target="https://www.google.com/maps/search/?api=1&amp;query=Next+Up+Performance+%26+Dyno+Tuning+115+Dollis+Street+Rocklea" TargetMode="External" Id="rId111" /><Relationship Type="http://schemas.openxmlformats.org/officeDocument/2006/relationships/hyperlink" Target="https://www.facebook.com/princeauto111/" TargetMode="External" Id="rId112" /><Relationship Type="http://schemas.openxmlformats.org/officeDocument/2006/relationships/hyperlink" Target="https://www.facebook.com/princeauto111/" TargetMode="External" Id="rId113" /><Relationship Type="http://schemas.openxmlformats.org/officeDocument/2006/relationships/hyperlink" Target="https://www.google.com/maps/search/?api=1&amp;query=Prince+Auto+%26+Tyre+Service+115+Dollis+Street+Rocklea" TargetMode="External" Id="rId114" /><Relationship Type="http://schemas.openxmlformats.org/officeDocument/2006/relationships/hyperlink" Target="https://www.facebook.com/caninestylist.com.au/" TargetMode="External" Id="rId115" /><Relationship Type="http://schemas.openxmlformats.org/officeDocument/2006/relationships/hyperlink" Target="https://www.facebook.com/caninestylist.com.au/" TargetMode="External" Id="rId116" /><Relationship Type="http://schemas.openxmlformats.org/officeDocument/2006/relationships/hyperlink" Target="https://www.google.com/maps/search/?api=1&amp;query=Shear+Designz" TargetMode="External" Id="rId117" /><Relationship Type="http://schemas.openxmlformats.org/officeDocument/2006/relationships/hyperlink" Target="https://www.facebook.com/Blockhouseeatdrink/" TargetMode="External" Id="rId118" /><Relationship Type="http://schemas.openxmlformats.org/officeDocument/2006/relationships/hyperlink" Target="https://www.facebook.com/Blockhouseeatdrink/" TargetMode="External" Id="rId119" /><Relationship Type="http://schemas.openxmlformats.org/officeDocument/2006/relationships/hyperlink" Target="https://www.google.com/maps/search/?api=1&amp;query=Block+House+Coffe+130+Ryans+Road+Nundah" TargetMode="External" Id="rId120" /><Relationship Type="http://schemas.openxmlformats.org/officeDocument/2006/relationships/hyperlink" Target="https://www.instagram.com/caxtonstreetbrewing/?hl=en" TargetMode="External" Id="rId121" /><Relationship Type="http://schemas.openxmlformats.org/officeDocument/2006/relationships/hyperlink" Target="https://www.instagram.com/caxtonstreetbrewing/?hl=en" TargetMode="External" Id="rId122" /><Relationship Type="http://schemas.openxmlformats.org/officeDocument/2006/relationships/hyperlink" Target="https://www.google.com/maps/search/?api=1&amp;query=Caxton+Street+Brewing+Co+52+Petrie+Terrace" TargetMode="External" Id="rId123" /><Relationship Type="http://schemas.openxmlformats.org/officeDocument/2006/relationships/hyperlink" Target="https://www.facebook.com/GracevillePizza/" TargetMode="External" Id="rId124" /><Relationship Type="http://schemas.openxmlformats.org/officeDocument/2006/relationships/hyperlink" Target="https://www.facebook.com/GracevillePizza/" TargetMode="External" Id="rId125" /><Relationship Type="http://schemas.openxmlformats.org/officeDocument/2006/relationships/hyperlink" Target="https://www.google.com/maps/search/?api=1&amp;query=Graceville+Pizza+158+Graceville+Avenue" TargetMode="External" Id="rId126" /><Relationship Type="http://schemas.openxmlformats.org/officeDocument/2006/relationships/hyperlink" Target="https://www.facebook.com/MomijiJapaneseRestaurant/" TargetMode="External" Id="rId127" /><Relationship Type="http://schemas.openxmlformats.org/officeDocument/2006/relationships/hyperlink" Target="https://www.facebook.com/MomijiJapaneseRestaurant/" TargetMode="External" Id="rId128" /><Relationship Type="http://schemas.openxmlformats.org/officeDocument/2006/relationships/hyperlink" Target="https://www.google.com/maps/search/?api=1&amp;query=Momiji+27+Commercial+Road+Newstead" TargetMode="External" Id="rId129" /><Relationship Type="http://schemas.openxmlformats.org/officeDocument/2006/relationships/hyperlink" Target="https://m.facebook.com/61579010138892/" TargetMode="External" Id="rId130" /><Relationship Type="http://schemas.openxmlformats.org/officeDocument/2006/relationships/hyperlink" Target="https://m.facebook.com/61579010138892/" TargetMode="External" Id="rId131" /><Relationship Type="http://schemas.openxmlformats.org/officeDocument/2006/relationships/hyperlink" Target="https://www.google.com/maps/search/?api=1&amp;query=Pimnipa+Thai+Kitchen" TargetMode="External" Id="rId132" /><Relationship Type="http://schemas.openxmlformats.org/officeDocument/2006/relationships/hyperlink" Target="https://www.facebook.com/sushiaruhi/" TargetMode="External" Id="rId133" /><Relationship Type="http://schemas.openxmlformats.org/officeDocument/2006/relationships/hyperlink" Target="https://www.facebook.com/sushiaruhi/" TargetMode="External" Id="rId134" /><Relationship Type="http://schemas.openxmlformats.org/officeDocument/2006/relationships/hyperlink" Target="https://www.google.com/maps/search/?api=1&amp;query=Sushi+Gruhi+10+Lakeview+Promenade+Newport" TargetMode="External" Id="rId135" /><Relationship Type="http://schemas.openxmlformats.org/officeDocument/2006/relationships/hyperlink" Target="https://www.instagram.com/gfreedonuts.uq" TargetMode="External" Id="rId136" /><Relationship Type="http://schemas.openxmlformats.org/officeDocument/2006/relationships/hyperlink" Target="https://www.instagram.com/gfreedonuts.uq" TargetMode="External" Id="rId137" /><Relationship Type="http://schemas.openxmlformats.org/officeDocument/2006/relationships/hyperlink" Target="https://www.google.com/maps/search/?api=1&amp;query=G-Free+Donuts" TargetMode="External" Id="rId138" /><Relationship Type="http://schemas.openxmlformats.org/officeDocument/2006/relationships/hyperlink" Target="https://www.facebook.com/kebabncharcoalplace" TargetMode="External" Id="rId139" /><Relationship Type="http://schemas.openxmlformats.org/officeDocument/2006/relationships/hyperlink" Target="https://www.facebook.com/kebabncharcoalplace" TargetMode="External" Id="rId140" /><Relationship Type="http://schemas.openxmlformats.org/officeDocument/2006/relationships/hyperlink" Target="https://www.google.com/maps/search/?api=1&amp;query=Kebab+%26+Charcoal+Place" TargetMode="External" Id="rId141" /><Relationship Type="http://schemas.openxmlformats.org/officeDocument/2006/relationships/hyperlink" Target="https://www.facebook.com/profile.php?id=100071592963125" TargetMode="External" Id="rId142" /><Relationship Type="http://schemas.openxmlformats.org/officeDocument/2006/relationships/hyperlink" Target="https://www.facebook.com/profile.php?id=100071592963125" TargetMode="External" Id="rId143" /><Relationship Type="http://schemas.openxmlformats.org/officeDocument/2006/relationships/hyperlink" Target="https://www.google.com/maps/search/?api=1&amp;query=Red+Dolphin+Seafoods+17+Margate+Parade" TargetMode="External" Id="rId144" /><Relationship Type="http://schemas.openxmlformats.org/officeDocument/2006/relationships/hyperlink" Target="https://www.facebook.com/yabbeyroad/" TargetMode="External" Id="rId145" /><Relationship Type="http://schemas.openxmlformats.org/officeDocument/2006/relationships/hyperlink" Target="https://www.facebook.com/yabbeyroad/" TargetMode="External" Id="rId146" /><Relationship Type="http://schemas.openxmlformats.org/officeDocument/2006/relationships/hyperlink" Target="https://www.google.com/maps/search/?api=1&amp;query=Yabby+Road+133+Redcliffe+Parade" TargetMode="External" Id="rId147" /><Relationship Type="http://schemas.openxmlformats.org/officeDocument/2006/relationships/hyperlink" Target="https://www.facebook.com/mistercutsbarbershopcairns" TargetMode="External" Id="rId148" /><Relationship Type="http://schemas.openxmlformats.org/officeDocument/2006/relationships/hyperlink" Target="https://www.facebook.com/mistercutsbarbershopcairns" TargetMode="External" Id="rId149" /><Relationship Type="http://schemas.openxmlformats.org/officeDocument/2006/relationships/hyperlink" Target="https://www.google.com/maps/search/?api=1&amp;query=Mister+Cuts+Barber+Shop" TargetMode="External" Id="rId150" /><Relationship Type="http://schemas.openxmlformats.org/officeDocument/2006/relationships/hyperlink" Target="https://www.facebook.com/photo/?fbid=122113102580862715&amp;set=a.122095944620862715" TargetMode="External" Id="rId151" /><Relationship Type="http://schemas.openxmlformats.org/officeDocument/2006/relationships/hyperlink" Target="https://www.facebook.com/photo/?fbid=122113102580862715&amp;set=a.122095944620862715" TargetMode="External" Id="rId152" /><Relationship Type="http://schemas.openxmlformats.org/officeDocument/2006/relationships/hyperlink" Target="https://www.google.com/maps/search/?api=1&amp;query=Mrs+Delicious" TargetMode="External" Id="rId153" /><Relationship Type="http://schemas.openxmlformats.org/officeDocument/2006/relationships/hyperlink" Target="https://www.facebook.com/bbqbrothersaustralia" TargetMode="External" Id="rId154" /><Relationship Type="http://schemas.openxmlformats.org/officeDocument/2006/relationships/hyperlink" Target="https://www.facebook.com/bbqbrothersaustralia" TargetMode="External" Id="rId155" /><Relationship Type="http://schemas.openxmlformats.org/officeDocument/2006/relationships/hyperlink" Target="https://www.google.com/maps/search/?api=1&amp;query=BBQ+Brothers" TargetMode="External" Id="rId156" /><Relationship Type="http://schemas.openxmlformats.org/officeDocument/2006/relationships/hyperlink" Target="https://www.instagram.com/cool_ganba" TargetMode="External" Id="rId157" /><Relationship Type="http://schemas.openxmlformats.org/officeDocument/2006/relationships/hyperlink" Target="https://www.instagram.com/cool_ganba/" TargetMode="External" Id="rId158" /><Relationship Type="http://schemas.openxmlformats.org/officeDocument/2006/relationships/hyperlink" Target="https://www.google.com/maps/search/?api=1&amp;query=Ganbaranba+12-20+Spence+Street" TargetMode="External" Id="rId159" /><Relationship Type="http://schemas.openxmlformats.org/officeDocument/2006/relationships/hyperlink" Target="https://www.facebook.com/Sushi-Rollking-Sheridan-869079169913894/?notify_field=hours&amp;modal=profile_completion" TargetMode="External" Id="rId160" /><Relationship Type="http://schemas.openxmlformats.org/officeDocument/2006/relationships/hyperlink" Target="https://www.facebook.com/Sushi-Rollking-Sheridan-869079169913894/?notify_field=hours&amp;modal=profile_completion" TargetMode="External" Id="rId161" /><Relationship Type="http://schemas.openxmlformats.org/officeDocument/2006/relationships/hyperlink" Target="https://www.google.com/maps/search/?api=1&amp;query=Sushi+Roll+King+129+Sheridan+Street+Cairns+City" TargetMode="External" Id="rId162" /><Relationship Type="http://schemas.openxmlformats.org/officeDocument/2006/relationships/hyperlink" Target="https://www.facebook.com/Arttastecaferobina/" TargetMode="External" Id="rId163" /><Relationship Type="http://schemas.openxmlformats.org/officeDocument/2006/relationships/hyperlink" Target="https://www.facebook.com/Arttastecaferobina/" TargetMode="External" Id="rId164" /><Relationship Type="http://schemas.openxmlformats.org/officeDocument/2006/relationships/hyperlink" Target="https://www.google.com/maps/search/?api=1&amp;query=Art+Taste+Cafe" TargetMode="External" Id="rId165" /><Relationship Type="http://schemas.openxmlformats.org/officeDocument/2006/relationships/hyperlink" Target="https://www.facebook.com/kirrabeachbakery/" TargetMode="External" Id="rId166" /><Relationship Type="http://schemas.openxmlformats.org/officeDocument/2006/relationships/hyperlink" Target="https://www.facebook.com/kirrabeachbakery/" TargetMode="External" Id="rId167" /><Relationship Type="http://schemas.openxmlformats.org/officeDocument/2006/relationships/hyperlink" Target="https://www.google.com/maps/search/?api=1&amp;query=Kirra+Beach+Bakery" TargetMode="External" Id="rId168" /><Relationship Type="http://schemas.openxmlformats.org/officeDocument/2006/relationships/hyperlink" Target="https://www.facebook.com/piepieburleigh" TargetMode="External" Id="rId169" /><Relationship Type="http://schemas.openxmlformats.org/officeDocument/2006/relationships/hyperlink" Target="https://www.facebook.com/piepieburleigh" TargetMode="External" Id="rId170" /><Relationship Type="http://schemas.openxmlformats.org/officeDocument/2006/relationships/hyperlink" Target="https://www.google.com/maps/search/?api=1&amp;query=Pie+Pie" TargetMode="External" Id="rId171" /><Relationship Type="http://schemas.openxmlformats.org/officeDocument/2006/relationships/hyperlink" Target="https://www.facebook.com/varsity4227/" TargetMode="External" Id="rId172" /><Relationship Type="http://schemas.openxmlformats.org/officeDocument/2006/relationships/hyperlink" Target="https://www.facebook.com/varsity4227/" TargetMode="External" Id="rId173" /><Relationship Type="http://schemas.openxmlformats.org/officeDocument/2006/relationships/hyperlink" Target="https://www.google.com/maps/search/?api=1&amp;query=BarberLife" TargetMode="External" Id="rId174" /><Relationship Type="http://schemas.openxmlformats.org/officeDocument/2006/relationships/hyperlink" Target="https://www.facebook.com/DMHPalmBeach/" TargetMode="External" Id="rId175" /><Relationship Type="http://schemas.openxmlformats.org/officeDocument/2006/relationships/hyperlink" Target="https://www.facebook.com/DMHPalmBeach/" TargetMode="External" Id="rId176" /><Relationship Type="http://schemas.openxmlformats.org/officeDocument/2006/relationships/hyperlink" Target="https://www.google.com/maps/search/?api=1&amp;query=DMH+Palm+Beach" TargetMode="External" Id="rId177" /><Relationship Type="http://schemas.openxmlformats.org/officeDocument/2006/relationships/hyperlink" Target="https://www.facebook.com/Firstwave-Hair-Salon-Tugun-1473721922922601/" TargetMode="External" Id="rId178" /><Relationship Type="http://schemas.openxmlformats.org/officeDocument/2006/relationships/hyperlink" Target="https://www.facebook.com/Firstwave-Hair-Salon-Tugun-1473721922922601/" TargetMode="External" Id="rId179" /><Relationship Type="http://schemas.openxmlformats.org/officeDocument/2006/relationships/hyperlink" Target="https://www.google.com/maps/search/?api=1&amp;query=First+Wave+Hair" TargetMode="External" Id="rId180" /><Relationship Type="http://schemas.openxmlformats.org/officeDocument/2006/relationships/hyperlink" Target="https://www.facebook.com/vanitybeautyservices/" TargetMode="External" Id="rId181" /><Relationship Type="http://schemas.openxmlformats.org/officeDocument/2006/relationships/hyperlink" Target="https://www.facebook.com/vanitybeautyservices/" TargetMode="External" Id="rId182" /><Relationship Type="http://schemas.openxmlformats.org/officeDocument/2006/relationships/hyperlink" Target="https://www.google.com/maps/search/?api=1&amp;query=Vanity+Beauty+Services" TargetMode="External" Id="rId183" /><Relationship Type="http://schemas.openxmlformats.org/officeDocument/2006/relationships/hyperlink" Target="https://m.facebook.com/SeaWishShop/" TargetMode="External" Id="rId184" /><Relationship Type="http://schemas.openxmlformats.org/officeDocument/2006/relationships/hyperlink" Target="https://m.facebook.com/SeaWishShop/" TargetMode="External" Id="rId185" /><Relationship Type="http://schemas.openxmlformats.org/officeDocument/2006/relationships/hyperlink" Target="https://www.google.com/maps/search/?api=1&amp;query=Sea+Wish+52+Griffith+Street+Coolangatta" TargetMode="External" Id="rId186" /><Relationship Type="http://schemas.openxmlformats.org/officeDocument/2006/relationships/hyperlink" Target="https://www.instagram.com/aperitivo.cafe/" TargetMode="External" Id="rId187" /><Relationship Type="http://schemas.openxmlformats.org/officeDocument/2006/relationships/hyperlink" Target="https://www.instagram.com/aperitivo.cafe/" TargetMode="External" Id="rId188" /><Relationship Type="http://schemas.openxmlformats.org/officeDocument/2006/relationships/hyperlink" Target="https://www.google.com/maps/search/?api=1&amp;query=Aperitivo+Cafe+8+Thrower+Drive" TargetMode="External" Id="rId189" /><Relationship Type="http://schemas.openxmlformats.org/officeDocument/2006/relationships/hyperlink" Target="https://www.facebook.com/burleighbeachkiosk" TargetMode="External" Id="rId190" /><Relationship Type="http://schemas.openxmlformats.org/officeDocument/2006/relationships/hyperlink" Target="https://www.facebook.com/burleighbeachkiosk" TargetMode="External" Id="rId191" /><Relationship Type="http://schemas.openxmlformats.org/officeDocument/2006/relationships/hyperlink" Target="https://www.google.com/maps/search/?api=1&amp;query=Burleigh+Beach+Kiosk" TargetMode="External" Id="rId192" /><Relationship Type="http://schemas.openxmlformats.org/officeDocument/2006/relationships/hyperlink" Target="https://www.facebook.com/Cafetwelve91/" TargetMode="External" Id="rId193" /><Relationship Type="http://schemas.openxmlformats.org/officeDocument/2006/relationships/hyperlink" Target="https://www.facebook.com/Cafetwelve91/" TargetMode="External" Id="rId194" /><Relationship Type="http://schemas.openxmlformats.org/officeDocument/2006/relationships/hyperlink" Target="https://www.google.com/maps/search/?api=1&amp;query=Cafe+1291" TargetMode="External" Id="rId195" /><Relationship Type="http://schemas.openxmlformats.org/officeDocument/2006/relationships/hyperlink" Target="https://www.facebook.com/cafekirra/" TargetMode="External" Id="rId196" /><Relationship Type="http://schemas.openxmlformats.org/officeDocument/2006/relationships/hyperlink" Target="https://www.facebook.com/cafekirra/" TargetMode="External" Id="rId197" /><Relationship Type="http://schemas.openxmlformats.org/officeDocument/2006/relationships/hyperlink" Target="https://www.google.com/maps/search/?api=1&amp;query=Cafe+Kirra" TargetMode="External" Id="rId198" /><Relationship Type="http://schemas.openxmlformats.org/officeDocument/2006/relationships/hyperlink" Target="https://www.facebook.com/Elephant-Grounds-552246915107742/" TargetMode="External" Id="rId199" /><Relationship Type="http://schemas.openxmlformats.org/officeDocument/2006/relationships/hyperlink" Target="https://www.facebook.com/Elephant-Grounds-552246915107742/" TargetMode="External" Id="rId200" /><Relationship Type="http://schemas.openxmlformats.org/officeDocument/2006/relationships/hyperlink" Target="https://www.google.com/maps/search/?api=1&amp;query=Elephant+Grounds+Cafe" TargetMode="External" Id="rId201" /><Relationship Type="http://schemas.openxmlformats.org/officeDocument/2006/relationships/hyperlink" Target="https://www.instagram.com/gooddaycoffee/?hl=en" TargetMode="External" Id="rId202" /><Relationship Type="http://schemas.openxmlformats.org/officeDocument/2006/relationships/hyperlink" Target="https://www.instagram.com/gooddaycoffee/?hl=en" TargetMode="External" Id="rId203" /><Relationship Type="http://schemas.openxmlformats.org/officeDocument/2006/relationships/hyperlink" Target="https://www.google.com/maps/search/?api=1&amp;query=Good+Day+Coffee" TargetMode="External" Id="rId204" /><Relationship Type="http://schemas.openxmlformats.org/officeDocument/2006/relationships/hyperlink" Target="https://www.facebook.com/Los-Vegos-Coolangatta-853780404959832/" TargetMode="External" Id="rId205" /><Relationship Type="http://schemas.openxmlformats.org/officeDocument/2006/relationships/hyperlink" Target="https://www.facebook.com/Los-Vegos-Coolangatta-853780404959832/" TargetMode="External" Id="rId206" /><Relationship Type="http://schemas.openxmlformats.org/officeDocument/2006/relationships/hyperlink" Target="https://www.google.com/maps/search/?api=1&amp;query=Los+Vegos" TargetMode="External" Id="rId207" /><Relationship Type="http://schemas.openxmlformats.org/officeDocument/2006/relationships/hyperlink" Target="https://www.facebook.com/Mokacinos/" TargetMode="External" Id="rId208" /><Relationship Type="http://schemas.openxmlformats.org/officeDocument/2006/relationships/hyperlink" Target="https://www.facebook.com/Mokacinos/" TargetMode="External" Id="rId209" /><Relationship Type="http://schemas.openxmlformats.org/officeDocument/2006/relationships/hyperlink" Target="https://www.google.com/maps/search/?api=1&amp;query=Mokacino%27s+Cafe" TargetMode="External" Id="rId210" /><Relationship Type="http://schemas.openxmlformats.org/officeDocument/2006/relationships/hyperlink" Target="https://www.facebook.com/oldparisvarsity/" TargetMode="External" Id="rId211" /><Relationship Type="http://schemas.openxmlformats.org/officeDocument/2006/relationships/hyperlink" Target="https://www.facebook.com/oldparisvarsity/" TargetMode="External" Id="rId212" /><Relationship Type="http://schemas.openxmlformats.org/officeDocument/2006/relationships/hyperlink" Target="https://www.google.com/maps/search/?api=1&amp;query=Old+Paris+Cafe" TargetMode="External" Id="rId213" /><Relationship Type="http://schemas.openxmlformats.org/officeDocument/2006/relationships/hyperlink" Target="https://www.facebook.com/seawaykioskandjetty/" TargetMode="External" Id="rId214" /><Relationship Type="http://schemas.openxmlformats.org/officeDocument/2006/relationships/hyperlink" Target="https://www.facebook.com/seawaykioskandjetty/" TargetMode="External" Id="rId215" /><Relationship Type="http://schemas.openxmlformats.org/officeDocument/2006/relationships/hyperlink" Target="https://www.google.com/maps/search/?api=1&amp;query=Seaway+Kiosk" TargetMode="External" Id="rId216" /><Relationship Type="http://schemas.openxmlformats.org/officeDocument/2006/relationships/hyperlink" Target="https://www.facebook.com/The-Lott-Cafe-Robina-1803600919948866/" TargetMode="External" Id="rId217" /><Relationship Type="http://schemas.openxmlformats.org/officeDocument/2006/relationships/hyperlink" Target="https://www.facebook.com/The-Lott-Cafe-Robina-1803600919948866/" TargetMode="External" Id="rId218" /><Relationship Type="http://schemas.openxmlformats.org/officeDocument/2006/relationships/hyperlink" Target="https://www.google.com/maps/search/?api=1&amp;query=The+Lott+Cafe" TargetMode="External" Id="rId219" /><Relationship Type="http://schemas.openxmlformats.org/officeDocument/2006/relationships/hyperlink" Target="https://www.facebook.com/West-Brew-Coffee-106717397834618/" TargetMode="External" Id="rId220" /><Relationship Type="http://schemas.openxmlformats.org/officeDocument/2006/relationships/hyperlink" Target="https://www.facebook.com/West-Brew-Coffee-106717397834618/" TargetMode="External" Id="rId221" /><Relationship Type="http://schemas.openxmlformats.org/officeDocument/2006/relationships/hyperlink" Target="https://www.google.com/maps/search/?api=1&amp;query=West+Brew+Coffee" TargetMode="External" Id="rId222" /><Relationship Type="http://schemas.openxmlformats.org/officeDocument/2006/relationships/hyperlink" Target="https://www.facebook.com/TugunVets/" TargetMode="External" Id="rId223" /><Relationship Type="http://schemas.openxmlformats.org/officeDocument/2006/relationships/hyperlink" Target="https://www.facebook.com/TugunVets/" TargetMode="External" Id="rId224" /><Relationship Type="http://schemas.openxmlformats.org/officeDocument/2006/relationships/hyperlink" Target="https://www.google.com/maps/search/?api=1&amp;query=Tugun+Veterinary+Surgery" TargetMode="External" Id="rId225" /><Relationship Type="http://schemas.openxmlformats.org/officeDocument/2006/relationships/hyperlink" Target="https://www.facebook.com/caracaramexican/" TargetMode="External" Id="rId226" /><Relationship Type="http://schemas.openxmlformats.org/officeDocument/2006/relationships/hyperlink" Target="https://www.facebook.com/caracaramexican/" TargetMode="External" Id="rId227" /><Relationship Type="http://schemas.openxmlformats.org/officeDocument/2006/relationships/hyperlink" Target="https://www.google.com/maps/search/?api=1&amp;query=Cara+Cara" TargetMode="External" Id="rId228" /><Relationship Type="http://schemas.openxmlformats.org/officeDocument/2006/relationships/hyperlink" Target="https://www.facebook.com/Lucky-Mama-Restaurant-662520431028606/" TargetMode="External" Id="rId229" /><Relationship Type="http://schemas.openxmlformats.org/officeDocument/2006/relationships/hyperlink" Target="https://www.facebook.com/Lucky-Mama-Restaurant-662520431028606/" TargetMode="External" Id="rId230" /><Relationship Type="http://schemas.openxmlformats.org/officeDocument/2006/relationships/hyperlink" Target="https://www.google.com/maps/search/?api=1&amp;query=Lucky+Mama+Malaysian+Restaurant" TargetMode="External" Id="rId231" /><Relationship Type="http://schemas.openxmlformats.org/officeDocument/2006/relationships/hyperlink" Target="https://www.facebook.com/mandialarabiagoldcoast" TargetMode="External" Id="rId232" /><Relationship Type="http://schemas.openxmlformats.org/officeDocument/2006/relationships/hyperlink" Target="https://www.facebook.com/mandialarabiagoldcoast" TargetMode="External" Id="rId233" /><Relationship Type="http://schemas.openxmlformats.org/officeDocument/2006/relationships/hyperlink" Target="https://www.google.com/maps/search/?api=1&amp;query=Mandi+Corner+Gold+Coast+1+Arthur+Way+Ormeau" TargetMode="External" Id="rId234" /><Relationship Type="http://schemas.openxmlformats.org/officeDocument/2006/relationships/hyperlink" Target="https://www.facebook.com/itoshinnabe/" TargetMode="External" Id="rId235" /><Relationship Type="http://schemas.openxmlformats.org/officeDocument/2006/relationships/hyperlink" Target="https://www.facebook.com/itoshinnabe/" TargetMode="External" Id="rId236" /><Relationship Type="http://schemas.openxmlformats.org/officeDocument/2006/relationships/hyperlink" Target="https://www.google.com/maps/search/?api=1&amp;query=Mr+Itoshin" TargetMode="External" Id="rId237" /><Relationship Type="http://schemas.openxmlformats.org/officeDocument/2006/relationships/hyperlink" Target="https://www.facebook.com/PalmGardenChinese" TargetMode="External" Id="rId238" /><Relationship Type="http://schemas.openxmlformats.org/officeDocument/2006/relationships/hyperlink" Target="https://www.facebook.com/PalmGardenChinese" TargetMode="External" Id="rId239" /><Relationship Type="http://schemas.openxmlformats.org/officeDocument/2006/relationships/hyperlink" Target="https://www.google.com/maps/search/?api=1&amp;query=Palm+Garden+Chinese+Restaurant" TargetMode="External" Id="rId240" /><Relationship Type="http://schemas.openxmlformats.org/officeDocument/2006/relationships/hyperlink" Target="https://www.facebook.com/pintothaicoolangatta/" TargetMode="External" Id="rId241" /><Relationship Type="http://schemas.openxmlformats.org/officeDocument/2006/relationships/hyperlink" Target="https://www.facebook.com/pintothaicoolangatta/" TargetMode="External" Id="rId242" /><Relationship Type="http://schemas.openxmlformats.org/officeDocument/2006/relationships/hyperlink" Target="https://www.google.com/maps/search/?api=1&amp;query=Pinto+Thai" TargetMode="External" Id="rId243" /><Relationship Type="http://schemas.openxmlformats.org/officeDocument/2006/relationships/hyperlink" Target="https://www.facebook.com/PollysCountryKitchen/" TargetMode="External" Id="rId244" /><Relationship Type="http://schemas.openxmlformats.org/officeDocument/2006/relationships/hyperlink" Target="https://www.facebook.com/PollysCountryKitchen/" TargetMode="External" Id="rId245" /><Relationship Type="http://schemas.openxmlformats.org/officeDocument/2006/relationships/hyperlink" Target="https://www.google.com/maps/search/?api=1&amp;query=Pollys+Country+Kitchen" TargetMode="External" Id="rId246" /><Relationship Type="http://schemas.openxmlformats.org/officeDocument/2006/relationships/hyperlink" Target="https://www.facebook.com/Cherryblossomvarsity/" TargetMode="External" Id="rId247" /><Relationship Type="http://schemas.openxmlformats.org/officeDocument/2006/relationships/hyperlink" Target="https://www.facebook.com/Cherryblossomvarsity/" TargetMode="External" Id="rId248" /><Relationship Type="http://schemas.openxmlformats.org/officeDocument/2006/relationships/hyperlink" Target="https://www.google.com/maps/search/?api=1&amp;query=Sushi+%26+Tempura" TargetMode="External" Id="rId249" /><Relationship Type="http://schemas.openxmlformats.org/officeDocument/2006/relationships/hyperlink" Target="https://www.instagram.com/sushihonba/" TargetMode="External" Id="rId250" /><Relationship Type="http://schemas.openxmlformats.org/officeDocument/2006/relationships/hyperlink" Target="https://www.instagram.com/sushihonba/" TargetMode="External" Id="rId251" /><Relationship Type="http://schemas.openxmlformats.org/officeDocument/2006/relationships/hyperlink" Target="https://www.google.com/maps/search/?api=1&amp;query=Sushi+Honba" TargetMode="External" Id="rId252" /><Relationship Type="http://schemas.openxmlformats.org/officeDocument/2006/relationships/hyperlink" Target="https://www.facebook.com/thelakebrewhouse" TargetMode="External" Id="rId253" /><Relationship Type="http://schemas.openxmlformats.org/officeDocument/2006/relationships/hyperlink" Target="https://www.facebook.com/thelakebrewhouse" TargetMode="External" Id="rId254" /><Relationship Type="http://schemas.openxmlformats.org/officeDocument/2006/relationships/hyperlink" Target="https://www.google.com/maps/search/?api=1&amp;query=The+Lake+Brewhouse" TargetMode="External" Id="rId255" /><Relationship Type="http://schemas.openxmlformats.org/officeDocument/2006/relationships/hyperlink" Target="https://www.facebook.com/wilderniscafeandbar/" TargetMode="External" Id="rId256" /><Relationship Type="http://schemas.openxmlformats.org/officeDocument/2006/relationships/hyperlink" Target="https://www.facebook.com/wilderniscafeandbar/" TargetMode="External" Id="rId257" /><Relationship Type="http://schemas.openxmlformats.org/officeDocument/2006/relationships/hyperlink" Target="https://www.google.com/maps/search/?api=1&amp;query=Wildernis+Cafe+and+Bar" TargetMode="External" Id="rId258" /><Relationship Type="http://schemas.openxmlformats.org/officeDocument/2006/relationships/hyperlink" Target="https://www.facebook.com/Big-Chief-Burgers-Coolangatta-182275748504697/" TargetMode="External" Id="rId259" /><Relationship Type="http://schemas.openxmlformats.org/officeDocument/2006/relationships/hyperlink" Target="https://www.facebook.com/Big-Chief-Burgers-Coolangatta-182275748504697/" TargetMode="External" Id="rId260" /><Relationship Type="http://schemas.openxmlformats.org/officeDocument/2006/relationships/hyperlink" Target="https://www.google.com/maps/search/?api=1&amp;query=Big+Chief" TargetMode="External" Id="rId261" /><Relationship Type="http://schemas.openxmlformats.org/officeDocument/2006/relationships/hyperlink" Target="https://www.facebook.com/pages/Flying-Chicken/2115204535392038" TargetMode="External" Id="rId262" /><Relationship Type="http://schemas.openxmlformats.org/officeDocument/2006/relationships/hyperlink" Target="https://www.facebook.com/pages/Flying-Chicken/2115204535392038" TargetMode="External" Id="rId263" /><Relationship Type="http://schemas.openxmlformats.org/officeDocument/2006/relationships/hyperlink" Target="https://www.google.com/maps/search/?api=1&amp;query=Flying+Chicken" TargetMode="External" Id="rId264" /><Relationship Type="http://schemas.openxmlformats.org/officeDocument/2006/relationships/hyperlink" Target="https://www.facebook.com/jjsongoldenfour/" TargetMode="External" Id="rId265" /><Relationship Type="http://schemas.openxmlformats.org/officeDocument/2006/relationships/hyperlink" Target="https://www.facebook.com/jjsongoldenfour/" TargetMode="External" Id="rId266" /><Relationship Type="http://schemas.openxmlformats.org/officeDocument/2006/relationships/hyperlink" Target="https://www.google.com/maps/search/?api=1&amp;query=JJ%27s+on+Golden+Four" TargetMode="External" Id="rId267" /><Relationship Type="http://schemas.openxmlformats.org/officeDocument/2006/relationships/hyperlink" Target="https://www.facebook.com/bottletreepub/" TargetMode="External" Id="rId268" /><Relationship Type="http://schemas.openxmlformats.org/officeDocument/2006/relationships/hyperlink" Target="https://www.facebook.com/bottletreepub/" TargetMode="External" Id="rId269" /><Relationship Type="http://schemas.openxmlformats.org/officeDocument/2006/relationships/hyperlink" Target="https://www.google.com/maps/search/?api=1&amp;query=Bottletree+Hotel+Glamorgan+Vale+664+Glamorgan+Vale+Road+Glamorgan+Vale" TargetMode="External" Id="rId270" /><Relationship Type="http://schemas.openxmlformats.org/officeDocument/2006/relationships/hyperlink" Target="https://www.facebook.com/louisboovalfruitmarket/" TargetMode="External" Id="rId271" /><Relationship Type="http://schemas.openxmlformats.org/officeDocument/2006/relationships/hyperlink" Target="https://www.facebook.com/louisboovalfruitmarket/" TargetMode="External" Id="rId272" /><Relationship Type="http://schemas.openxmlformats.org/officeDocument/2006/relationships/hyperlink" Target="https://www.google.com/maps/search/?api=1&amp;query=Loui%27s+Fruit+Market+116+Brisbane+Road+Booval" TargetMode="External" Id="rId273" /><Relationship Type="http://schemas.openxmlformats.org/officeDocument/2006/relationships/hyperlink" Target="https://www.facebook.com/boovalseafood/" TargetMode="External" Id="rId274" /><Relationship Type="http://schemas.openxmlformats.org/officeDocument/2006/relationships/hyperlink" Target="https://www.facebook.com/boovalseafood/" TargetMode="External" Id="rId275" /><Relationship Type="http://schemas.openxmlformats.org/officeDocument/2006/relationships/hyperlink" Target="https://www.google.com/maps/search/?api=1&amp;query=Booval+Seafood+73+Blackstone+Road" TargetMode="External" Id="rId276" /><Relationship Type="http://schemas.openxmlformats.org/officeDocument/2006/relationships/hyperlink" Target="https://www.facebook.com/FlagstoneBakery/" TargetMode="External" Id="rId277" /><Relationship Type="http://schemas.openxmlformats.org/officeDocument/2006/relationships/hyperlink" Target="https://www.facebook.com/FlagstoneBakery/" TargetMode="External" Id="rId278" /><Relationship Type="http://schemas.openxmlformats.org/officeDocument/2006/relationships/hyperlink" Target="https://www.google.com/maps/search/?api=1&amp;query=Flagstone+Bakery" TargetMode="External" Id="rId279" /><Relationship Type="http://schemas.openxmlformats.org/officeDocument/2006/relationships/hyperlink" Target="https://www.facebook.com/allaussieautomotive" TargetMode="External" Id="rId280" /><Relationship Type="http://schemas.openxmlformats.org/officeDocument/2006/relationships/hyperlink" Target="https://www.facebook.com/allaussieautomotive" TargetMode="External" Id="rId281" /><Relationship Type="http://schemas.openxmlformats.org/officeDocument/2006/relationships/hyperlink" Target="https://www.google.com/maps/search/?api=1&amp;query=All+Aussie+Automotive+34+Old+Pacific+Highway+Yatala" TargetMode="External" Id="rId282" /><Relationship Type="http://schemas.openxmlformats.org/officeDocument/2006/relationships/hyperlink" Target="https://www.facebook.com/GrazingGoatCafe/" TargetMode="External" Id="rId283" /><Relationship Type="http://schemas.openxmlformats.org/officeDocument/2006/relationships/hyperlink" Target="https://www.facebook.com/GrazingGoatCafe/" TargetMode="External" Id="rId284" /><Relationship Type="http://schemas.openxmlformats.org/officeDocument/2006/relationships/hyperlink" Target="https://www.google.com/maps/search/?api=1&amp;query=The+Grazing+Goat+Cafe" TargetMode="External" Id="rId285" /><Relationship Type="http://schemas.openxmlformats.org/officeDocument/2006/relationships/hyperlink" Target="https://www.facebook.com/rarebarandgrillmackay" TargetMode="External" Id="rId286" /><Relationship Type="http://schemas.openxmlformats.org/officeDocument/2006/relationships/hyperlink" Target="https://www.facebook.com/rarebarandgrillmackay" TargetMode="External" Id="rId287" /><Relationship Type="http://schemas.openxmlformats.org/officeDocument/2006/relationships/hyperlink" Target="https://www.google.com/maps/search/?api=1&amp;query=RARE+Bar+%26+Grill" TargetMode="External" Id="rId288" /><Relationship Type="http://schemas.openxmlformats.org/officeDocument/2006/relationships/hyperlink" Target="https://www.facebook.com/jallascafe/" TargetMode="External" Id="rId289" /><Relationship Type="http://schemas.openxmlformats.org/officeDocument/2006/relationships/hyperlink" Target="https://www.facebook.com/jallascafe/" TargetMode="External" Id="rId290" /><Relationship Type="http://schemas.openxmlformats.org/officeDocument/2006/relationships/hyperlink" Target="https://www.google.com/maps/search/?api=1&amp;query=Jalla%27s+Cafe+97+Archer+Street" TargetMode="External" Id="rId291" /><Relationship Type="http://schemas.openxmlformats.org/officeDocument/2006/relationships/hyperlink" Target="https://www.facebook.com/URokHairMakeupDesign/" TargetMode="External" Id="rId292" /><Relationship Type="http://schemas.openxmlformats.org/officeDocument/2006/relationships/hyperlink" Target="https://www.facebook.com/URokHairMakeupDesign/" TargetMode="External" Id="rId293" /><Relationship Type="http://schemas.openxmlformats.org/officeDocument/2006/relationships/hyperlink" Target="https://www.google.com/maps/search/?api=1&amp;query=U+Rok+Hair+%26+Beauty+7+Agnew+Avenue" TargetMode="External" Id="rId294" /><Relationship Type="http://schemas.openxmlformats.org/officeDocument/2006/relationships/hyperlink" Target="https://www.facebook.com/coffeesocietyrockhampton/" TargetMode="External" Id="rId295" /><Relationship Type="http://schemas.openxmlformats.org/officeDocument/2006/relationships/hyperlink" Target="https://www.facebook.com/coffeesocietyrockhampton/" TargetMode="External" Id="rId296" /><Relationship Type="http://schemas.openxmlformats.org/officeDocument/2006/relationships/hyperlink" Target="https://www.google.com/maps/search/?api=1&amp;query=Coffee+Society+126+East+Street" TargetMode="External" Id="rId297" /><Relationship Type="http://schemas.openxmlformats.org/officeDocument/2006/relationships/hyperlink" Target="https://www.facebook.com/rockhamptonfitness.centre/" TargetMode="External" Id="rId298" /><Relationship Type="http://schemas.openxmlformats.org/officeDocument/2006/relationships/hyperlink" Target="https://www.facebook.com/rockhamptonfitness.centre/" TargetMode="External" Id="rId299" /><Relationship Type="http://schemas.openxmlformats.org/officeDocument/2006/relationships/hyperlink" Target="https://www.google.com/maps/search/?api=1&amp;query=Rockhampton+Fitness+Centre+205+East+Street" TargetMode="External" Id="rId300" /><Relationship Type="http://schemas.openxmlformats.org/officeDocument/2006/relationships/hyperlink" Target="https://www.facebook.com/capricorniaremedialmassage" TargetMode="External" Id="rId301" /><Relationship Type="http://schemas.openxmlformats.org/officeDocument/2006/relationships/hyperlink" Target="https://capricorniaremedialmassagerockhampton.gettimely.com/" TargetMode="External" Id="rId302" /><Relationship Type="http://schemas.openxmlformats.org/officeDocument/2006/relationships/hyperlink" Target="https://www.google.com/maps/search/?api=1&amp;query=Capricornia+Remedial+Massage+31+Berserker+Street" TargetMode="External" Id="rId303" /><Relationship Type="http://schemas.openxmlformats.org/officeDocument/2006/relationships/hyperlink" Target="https://facebook.com/parklandsbakery/" TargetMode="External" Id="rId304" /><Relationship Type="http://schemas.openxmlformats.org/officeDocument/2006/relationships/hyperlink" Target="https://facebook.com/parklandsbakery/" TargetMode="External" Id="rId305" /><Relationship Type="http://schemas.openxmlformats.org/officeDocument/2006/relationships/hyperlink" Target="https://www.google.com/maps/search/?api=1&amp;query=Parklands+Bakery+36+Village+Way+Little+Mountain" TargetMode="External" Id="rId306" /><Relationship Type="http://schemas.openxmlformats.org/officeDocument/2006/relationships/hyperlink" Target="https://www.facebook.com/petesvillagebakery" TargetMode="External" Id="rId307" /><Relationship Type="http://schemas.openxmlformats.org/officeDocument/2006/relationships/hyperlink" Target="https://www.facebook.com/petesvillagebakery" TargetMode="External" Id="rId308" /><Relationship Type="http://schemas.openxmlformats.org/officeDocument/2006/relationships/hyperlink" Target="https://www.google.com/maps/search/?api=1&amp;query=Pete%27s+Village+Bakery+5+Farrell+Street+Yandina" TargetMode="External" Id="rId309" /><Relationship Type="http://schemas.openxmlformats.org/officeDocument/2006/relationships/hyperlink" Target="https://m.facebook.com/@hairstudiomooloolabah" TargetMode="External" Id="rId310" /><Relationship Type="http://schemas.openxmlformats.org/officeDocument/2006/relationships/hyperlink" Target="https://m.facebook.com/@hairstudiomooloolabah" TargetMode="External" Id="rId311" /><Relationship Type="http://schemas.openxmlformats.org/officeDocument/2006/relationships/hyperlink" Target="https://www.google.com/maps/search/?api=1&amp;query=Hair+at+Mooloolaba+2+Brisbane+Road+Mooloolaba" TargetMode="External" Id="rId312" /><Relationship Type="http://schemas.openxmlformats.org/officeDocument/2006/relationships/hyperlink" Target="https://www.facebook.com/Ocean-Spa-Nails-Currimundi-100394445284468/" TargetMode="External" Id="rId313" /><Relationship Type="http://schemas.openxmlformats.org/officeDocument/2006/relationships/hyperlink" Target="https://www.facebook.com/Ocean-Spa-Nails-Currimundi-100394445284468/" TargetMode="External" Id="rId314" /><Relationship Type="http://schemas.openxmlformats.org/officeDocument/2006/relationships/hyperlink" Target="https://www.google.com/maps/search/?api=1&amp;query=Ocean+Spa+Nails+750+Nicklin+Way+Currimundi" TargetMode="External" Id="rId315" /><Relationship Type="http://schemas.openxmlformats.org/officeDocument/2006/relationships/hyperlink" Target="https://www.facebook.com/THESUSHI79CURRIMUNDI/" TargetMode="External" Id="rId316" /><Relationship Type="http://schemas.openxmlformats.org/officeDocument/2006/relationships/hyperlink" Target="https://www.facebook.com/THESUSHI79CURRIMUNDI/" TargetMode="External" Id="rId317" /><Relationship Type="http://schemas.openxmlformats.org/officeDocument/2006/relationships/hyperlink" Target="https://www.google.com/maps/search/?api=1&amp;query=Sushi+79+750+Nicklin+Way+Currimundi" TargetMode="External" Id="rId318" /><Relationship Type="http://schemas.openxmlformats.org/officeDocument/2006/relationships/hyperlink" Target="https://www.facebook.com/Wok-at-Li-noodles-595307274287896/" TargetMode="External" Id="rId319" /><Relationship Type="http://schemas.openxmlformats.org/officeDocument/2006/relationships/hyperlink" Target="https://www.facebook.com/Wok-at-Li-noodles-595307274287896/" TargetMode="External" Id="rId320" /><Relationship Type="http://schemas.openxmlformats.org/officeDocument/2006/relationships/hyperlink" Target="https://www.google.com/maps/search/?api=1&amp;query=Wok%40Li+Noodles+750+Nicklin+Way+Currimundi" TargetMode="External" Id="rId321" /><Relationship Type="http://schemas.openxmlformats.org/officeDocument/2006/relationships/hyperlink" Target="https://www.facebook.com/clancys.beachside.takeaway/" TargetMode="External" Id="rId322" /><Relationship Type="http://schemas.openxmlformats.org/officeDocument/2006/relationships/hyperlink" Target="https://www.facebook.com/clancys.beachside.takeaway/" TargetMode="External" Id="rId323" /><Relationship Type="http://schemas.openxmlformats.org/officeDocument/2006/relationships/hyperlink" Target="https://www.google.com/maps/search/?api=1&amp;query=Clancy%27s+Beachside+Takeaway+8A+Beerburrum+Street" TargetMode="External" Id="rId324" /><Relationship Type="http://schemas.openxmlformats.org/officeDocument/2006/relationships/hyperlink" Target="https://www.facebook.com/australianhoteltownsville" TargetMode="External" Id="rId325" /><Relationship Type="http://schemas.openxmlformats.org/officeDocument/2006/relationships/hyperlink" Target="https://www.facebook.com/australianhoteltownsville" TargetMode="External" Id="rId326" /><Relationship Type="http://schemas.openxmlformats.org/officeDocument/2006/relationships/hyperlink" Target="https://www.google.com/maps/search/?api=1&amp;query=Australian+Hotel" TargetMode="External" Id="rId327" /><Relationship Type="http://schemas.openxmlformats.org/officeDocument/2006/relationships/hyperlink" Target="https://www.facebook.com/pages/category/Local-Business/Gentleman-Jones-235990806595718" TargetMode="External" Id="rId328" /><Relationship Type="http://schemas.openxmlformats.org/officeDocument/2006/relationships/hyperlink" Target="https://www.facebook.com/pages/category/Local-Business/Gentleman-Jones-235990806595718" TargetMode="External" Id="rId329" /><Relationship Type="http://schemas.openxmlformats.org/officeDocument/2006/relationships/hyperlink" Target="https://www.google.com/maps/search/?api=1&amp;query=Gentleman+Jones+Barber+Shop" TargetMode="External" Id="rId330" /><Relationship Type="http://schemas.openxmlformats.org/officeDocument/2006/relationships/hyperlink" Target="https://www.facebook.com/shecreativehair.com.au/" TargetMode="External" Id="rId331" /><Relationship Type="http://schemas.openxmlformats.org/officeDocument/2006/relationships/hyperlink" Target="https://www.facebook.com/shecreativehair.com.au/" TargetMode="External" Id="rId332" /><Relationship Type="http://schemas.openxmlformats.org/officeDocument/2006/relationships/hyperlink" Target="https://www.google.com/maps/search/?api=1&amp;query=She+Creative+Hair" TargetMode="External" Id="rId333" /><Relationship Type="http://schemas.openxmlformats.org/officeDocument/2006/relationships/hyperlink" Target="https://www.facebook.com/Alt-Brew-1325275994229457" TargetMode="External" Id="rId334" /><Relationship Type="http://schemas.openxmlformats.org/officeDocument/2006/relationships/hyperlink" Target="https://www.facebook.com/Alt-Brew-1325275994229457" TargetMode="External" Id="rId335" /><Relationship Type="http://schemas.openxmlformats.org/officeDocument/2006/relationships/hyperlink" Target="https://www.google.com/maps/search/?api=1&amp;query=Alt+Brew" TargetMode="External" Id="rId336" /><Relationship Type="http://schemas.openxmlformats.org/officeDocument/2006/relationships/hyperlink" Target="https://www.facebook.com/theoldrailwaycafe" TargetMode="External" Id="rId337" /><Relationship Type="http://schemas.openxmlformats.org/officeDocument/2006/relationships/hyperlink" Target="https://www.facebook.com/theoldrailwaycafe" TargetMode="External" Id="rId338" /><Relationship Type="http://schemas.openxmlformats.org/officeDocument/2006/relationships/hyperlink" Target="https://www.google.com/maps/search/?api=1&amp;query=Old+Railway+Cafe" TargetMode="External" Id="rId339" /><Relationship Type="http://schemas.openxmlformats.org/officeDocument/2006/relationships/hyperlink" Target="https://www.facebook.com/The-Spirited-Goat-475954869187116" TargetMode="External" Id="rId340" /><Relationship Type="http://schemas.openxmlformats.org/officeDocument/2006/relationships/hyperlink" Target="https://www.facebook.com/The-Spirited-Goat-475954869187116" TargetMode="External" Id="rId341" /><Relationship Type="http://schemas.openxmlformats.org/officeDocument/2006/relationships/hyperlink" Target="https://www.google.com/maps/search/?api=1&amp;query=The+Spirited+Goat" TargetMode="External" Id="rId342" /><Relationship Type="http://schemas.openxmlformats.org/officeDocument/2006/relationships/hyperlink" Target="https://www.facebook.com/ottosmarketprecinct" TargetMode="External" Id="rId343" /><Relationship Type="http://schemas.openxmlformats.org/officeDocument/2006/relationships/hyperlink" Target="https://www.facebook.com/ottosmarketprecinct" TargetMode="External" Id="rId344" /><Relationship Type="http://schemas.openxmlformats.org/officeDocument/2006/relationships/hyperlink" Target="https://www.google.com/maps/search/?api=1&amp;query=Precinct+Fine+Meats" TargetMode="External" Id="rId345" /><Relationship Type="http://schemas.openxmlformats.org/officeDocument/2006/relationships/hyperlink" Target="https://www.facebook.com/NCSAutomotiveTownsville/" TargetMode="External" Id="rId346" /><Relationship Type="http://schemas.openxmlformats.org/officeDocument/2006/relationships/hyperlink" Target="https://www.facebook.com/NCSAutomotiveTownsville/" TargetMode="External" Id="rId347" /><Relationship Type="http://schemas.openxmlformats.org/officeDocument/2006/relationships/hyperlink" Target="https://www.google.com/maps/search/?api=1&amp;query=NCS+Automotive+Townsville" TargetMode="External" Id="rId348" /><Relationship Type="http://schemas.openxmlformats.org/officeDocument/2006/relationships/hyperlink" Target="https://www.facebook.com/AroiBangkokThaiRestaurant" TargetMode="External" Id="rId349" /><Relationship Type="http://schemas.openxmlformats.org/officeDocument/2006/relationships/hyperlink" Target="https://www.facebook.com/AroiBangkokThaiRestaurant" TargetMode="External" Id="rId350" /><Relationship Type="http://schemas.openxmlformats.org/officeDocument/2006/relationships/hyperlink" Target="https://www.google.com/maps/search/?api=1&amp;query=Aroi+Bangkok+Thai+Restaurant" TargetMode="External" Id="rId351" /><Relationship Type="http://schemas.openxmlformats.org/officeDocument/2006/relationships/hyperlink" Target="https://www.instagram.com/lotussaigonts" TargetMode="External" Id="rId352" /><Relationship Type="http://schemas.openxmlformats.org/officeDocument/2006/relationships/hyperlink" Target="https://www.facebook.com/lotussaigontsv" TargetMode="External" Id="rId353" /><Relationship Type="http://schemas.openxmlformats.org/officeDocument/2006/relationships/hyperlink" Target="https://lotus-saigon.business.site/" TargetMode="External" Id="rId354" /><Relationship Type="http://schemas.openxmlformats.org/officeDocument/2006/relationships/hyperlink" Target="https://www.google.com/maps/search/?api=1&amp;query=Lotus+Saigon+42+Gregory+Street" TargetMode="External" Id="rId355" /><Relationship Type="http://schemas.openxmlformats.org/officeDocument/2006/relationships/hyperlink" Target="https://www.facebook.com/WHKindy/" TargetMode="External" Id="rId356" /><Relationship Type="http://schemas.openxmlformats.org/officeDocument/2006/relationships/hyperlink" Target="https://www.wavellheightskindergarten.com.au" TargetMode="External" Id="rId357" /><Relationship Type="http://schemas.openxmlformats.org/officeDocument/2006/relationships/hyperlink" Target="https://www.google.com/maps/search/?api=1&amp;query=Wavell+Heights+Kindergarten+175+Edinburgh+Castle+Road+Wavell+Heights" TargetMode="External" Id="rId358" /><Relationship Type="http://schemas.openxmlformats.org/officeDocument/2006/relationships/hyperlink" Target="https://www.instagram.com/duttonparkfamilydental" TargetMode="External" Id="rId359" /><Relationship Type="http://schemas.openxmlformats.org/officeDocument/2006/relationships/hyperlink" Target="https://www.duttonparkfamilydental.com.au/" TargetMode="External" Id="rId360" /><Relationship Type="http://schemas.openxmlformats.org/officeDocument/2006/relationships/hyperlink" Target="https://www.google.com/maps/search/?api=1&amp;query=Dutton+Park+Family+Dental" TargetMode="External" Id="rId361" /><Relationship Type="http://schemas.openxmlformats.org/officeDocument/2006/relationships/hyperlink" Target="https://www.facebook.com/oxleynursery/" TargetMode="External" Id="rId362" /><Relationship Type="http://schemas.openxmlformats.org/officeDocument/2006/relationships/hyperlink" Target="https://www.oxleynursery.com.au/" TargetMode="External" Id="rId363" /><Relationship Type="http://schemas.openxmlformats.org/officeDocument/2006/relationships/hyperlink" Target="https://www.google.com/maps/search/?api=1&amp;query=Oxley+Nursery+174+Dowding+Street+Oxley" TargetMode="External" Id="rId364" /><Relationship Type="http://schemas.openxmlformats.org/officeDocument/2006/relationships/hyperlink" Target="https://www.instagram.com/maggiemaybne" TargetMode="External" Id="rId365" /><Relationship Type="http://schemas.openxmlformats.org/officeDocument/2006/relationships/hyperlink" Target="https://www.facebook.com/maggiemaybne" TargetMode="External" Id="rId366" /><Relationship Type="http://schemas.openxmlformats.org/officeDocument/2006/relationships/hyperlink" Target="https://maggiemaybne.com.au/" TargetMode="External" Id="rId367" /><Relationship Type="http://schemas.openxmlformats.org/officeDocument/2006/relationships/hyperlink" Target="https://www.google.com/maps/search/?api=1&amp;query=Supperclub+Maggie+May+84+Longland+Street+Newstead" TargetMode="External" Id="rId368" /><Relationship Type="http://schemas.openxmlformats.org/officeDocument/2006/relationships/hyperlink" Target="https://www.facebook.com/beancafe2016/" TargetMode="External" Id="rId369" /><Relationship Type="http://schemas.openxmlformats.org/officeDocument/2006/relationships/hyperlink" Target="https://naughtybeancafe.com.au/" TargetMode="External" Id="rId370" /><Relationship Type="http://schemas.openxmlformats.org/officeDocument/2006/relationships/hyperlink" Target="https://www.google.com/maps/search/?api=1&amp;query=Naughty+Bean+Cafe+16+Township+Drive+Burleigh+Heads" TargetMode="External" Id="rId371" /><Relationship Type="http://schemas.openxmlformats.org/officeDocument/2006/relationships/hyperlink" Target="https://www.facebook.com/FlourOfLife" TargetMode="External" Id="rId372" /><Relationship Type="http://schemas.openxmlformats.org/officeDocument/2006/relationships/hyperlink" Target="https://flouroflifebakery.com.au" TargetMode="External" Id="rId373" /><Relationship Type="http://schemas.openxmlformats.org/officeDocument/2006/relationships/hyperlink" Target="https://www.google.com/maps/search/?api=1&amp;query=Flour+of+Life+Bakery+22-32+Siganto+Drive+Helensvale" TargetMode="External" Id="rId374" /><Relationship Type="http://schemas.openxmlformats.org/officeDocument/2006/relationships/hyperlink" Target="https://www.instagram.com/shibawings/" TargetMode="External" Id="rId375" /><Relationship Type="http://schemas.openxmlformats.org/officeDocument/2006/relationships/hyperlink" Target="https://www.facebook.com/shibawingsAUS/?show_switched_toast=0&amp;show_invite_to_follow=0&amp;show_switched_tooltip=0&amp;show_podcast_settings=0&amp;show_community_review_changes=0&amp;show_community_rollback=0&amp;show_follower_visibility_disclosure=0" TargetMode="External" Id="rId376" /><Relationship Type="http://schemas.openxmlformats.org/officeDocument/2006/relationships/hyperlink" Target="https://shibawings.com.au/" TargetMode="External" Id="rId377" /><Relationship Type="http://schemas.openxmlformats.org/officeDocument/2006/relationships/hyperlink" Target="https://www.google.com/maps/search/?api=1&amp;query=Shiba+Wings+-++Scammers+Closed+Shop+012+Cavill+Avenue+Surfers+Paradise" TargetMode="External" Id="rId378" /><Relationship Type="http://schemas.openxmlformats.org/officeDocument/2006/relationships/hyperlink" Target="https://www.facebook.com/thewitchhotel/" TargetMode="External" Id="rId379" /><Relationship Type="http://schemas.openxmlformats.org/officeDocument/2006/relationships/hyperlink" Target="https://www.witchhotel.com/" TargetMode="External" Id="rId380" /><Relationship Type="http://schemas.openxmlformats.org/officeDocument/2006/relationships/hyperlink" Target="https://www.google.com/maps/search/?api=1&amp;query=The+Witch+Hotel+254+Brisbane+Street" TargetMode="External" Id="rId381" /><Relationship Type="http://schemas.openxmlformats.org/officeDocument/2006/relationships/hyperlink" Target="https://www.facebook.com/westbrooktavern" TargetMode="External" Id="rId382" /><Relationship Type="http://schemas.openxmlformats.org/officeDocument/2006/relationships/hyperlink" Target="https://www.westbrooktavern.com.au/" TargetMode="External" Id="rId383" /><Relationship Type="http://schemas.openxmlformats.org/officeDocument/2006/relationships/hyperlink" Target="https://www.google.com/maps/search/?api=1&amp;query=Westbrook+Tavern+68-78+Main+Street+Westbrook" TargetMode="External" Id="rId384" /><Relationship Type="http://schemas.openxmlformats.org/officeDocument/2006/relationships/hyperlink" Target="https://www.instagram.com/blacktempletattootsv" TargetMode="External" Id="rId385" /><Relationship Type="http://schemas.openxmlformats.org/officeDocument/2006/relationships/hyperlink" Target="https://www.facebook.com/blacktempletattootownsville" TargetMode="External" Id="rId386" /><Relationship Type="http://schemas.openxmlformats.org/officeDocument/2006/relationships/hyperlink" Target="https://blacktempletattoo.com.au" TargetMode="External" Id="rId387" /><Relationship Type="http://schemas.openxmlformats.org/officeDocument/2006/relationships/hyperlink" Target="https://www.google.com/maps/search/?api=1&amp;query=Black+Temple" TargetMode="External" Id="rId388" /><Relationship Type="http://schemas.openxmlformats.org/officeDocument/2006/relationships/hyperlink" Target="https://www.facebook.com/kenmorebakery/" TargetMode="External" Id="rId389" /><Relationship Type="http://schemas.openxmlformats.org/officeDocument/2006/relationships/hyperlink" Target="https://www.google.com/maps/search/?api=1&amp;query=Kenmore+Village+Bakery" TargetMode="External" Id="rId390" /><Relationship Type="http://schemas.openxmlformats.org/officeDocument/2006/relationships/hyperlink" Target="https://www.facebook.com/Mountcottonsourdoughbakers/" TargetMode="External" Id="rId391" /><Relationship Type="http://schemas.openxmlformats.org/officeDocument/2006/relationships/hyperlink" Target="https://www.google.com/maps/search/?api=1&amp;query=Mount+Cotton+Sourdough+Bakers+101+Valley+Way+Mount+Cotton" TargetMode="External" Id="rId392" /><Relationship Type="http://schemas.openxmlformats.org/officeDocument/2006/relationships/hyperlink" Target="https://www.facebook.com/mountviewbakehouse/" TargetMode="External" Id="rId393" /><Relationship Type="http://schemas.openxmlformats.org/officeDocument/2006/relationships/hyperlink" Target="https://www.google.com/maps/search/?api=1&amp;query=Mountview+Bakehouse+171-191+School+Road+Redbank+Plains" TargetMode="External" Id="rId394" /><Relationship Type="http://schemas.openxmlformats.org/officeDocument/2006/relationships/hyperlink" Target="https://www.facebook.com/kedronmumsbakehouse/?_rdr" TargetMode="External" Id="rId395" /><Relationship Type="http://schemas.openxmlformats.org/officeDocument/2006/relationships/hyperlink" Target="https://www.google.com/maps/search/?api=1&amp;query=Mum%27s+Bakehouse+206+Gympie+Road+Kedron" TargetMode="External" Id="rId396" /><Relationship Type="http://schemas.openxmlformats.org/officeDocument/2006/relationships/hyperlink" Target="https://www.instagram.com/88billiards" TargetMode="External" Id="rId397" /><Relationship Type="http://schemas.openxmlformats.org/officeDocument/2006/relationships/hyperlink" Target="https://www.google.com/maps/search/?api=1&amp;query=88+BILLIARDS+115+Boundary+Street" TargetMode="External" Id="rId398" /><Relationship Type="http://schemas.openxmlformats.org/officeDocument/2006/relationships/hyperlink" Target="https://www.instagram.com/barcoopers.bne" TargetMode="External" Id="rId399" /><Relationship Type="http://schemas.openxmlformats.org/officeDocument/2006/relationships/hyperlink" Target="https://www.google.com/maps/search/?api=1&amp;query=Bar+Cooper%27s+321+Chatsworth+Road" TargetMode="External" Id="rId400" /><Relationship Type="http://schemas.openxmlformats.org/officeDocument/2006/relationships/hyperlink" Target="https://www.instagram.com/makerbrisbane/" TargetMode="External" Id="rId401" /><Relationship Type="http://schemas.openxmlformats.org/officeDocument/2006/relationships/hyperlink" Target="https://www.google.com/maps/search/?api=1&amp;query=Maker+9+Fish+Lane+South+Brisbane" TargetMode="External" Id="rId402" /><Relationship Type="http://schemas.openxmlformats.org/officeDocument/2006/relationships/hyperlink" Target="https://www.facebook.com/thestaffordtavern" TargetMode="External" Id="rId403" /><Relationship Type="http://schemas.openxmlformats.org/officeDocument/2006/relationships/hyperlink" Target="https://www.google.com/maps/search/?api=1&amp;query=Stafford+Tavern+51+Webster+Road+Stafford" TargetMode="External" Id="rId404" /><Relationship Type="http://schemas.openxmlformats.org/officeDocument/2006/relationships/hyperlink" Target="https://www.facebook.com/SuburbanSocialNeighbourhoodBarandKitchen/" TargetMode="External" Id="rId405" /><Relationship Type="http://schemas.openxmlformats.org/officeDocument/2006/relationships/hyperlink" Target="https://www.google.com/maps/search/?api=1&amp;query=Suburban+Social" TargetMode="External" Id="rId406" /><Relationship Type="http://schemas.openxmlformats.org/officeDocument/2006/relationships/hyperlink" Target="https://www.facebook.com/brookfieldhairstudio" TargetMode="External" Id="rId407" /><Relationship Type="http://schemas.openxmlformats.org/officeDocument/2006/relationships/hyperlink" Target="https://www.google.com/maps/search/?api=1&amp;query=Brookfield+Hair+Studio" TargetMode="External" Id="rId408" /><Relationship Type="http://schemas.openxmlformats.org/officeDocument/2006/relationships/hyperlink" Target="https://www.facebook.com/483499168383610" TargetMode="External" Id="rId409" /><Relationship Type="http://schemas.openxmlformats.org/officeDocument/2006/relationships/hyperlink" Target="https://www.google.com/maps/search/?api=1&amp;query=Charlie+Parrella+Hairdresser+2+Manson+Road" TargetMode="External" Id="rId410" /><Relationship Type="http://schemas.openxmlformats.org/officeDocument/2006/relationships/hyperlink" Target="https://www.facebook.com/Moorooka/" TargetMode="External" Id="rId411" /><Relationship Type="http://schemas.openxmlformats.org/officeDocument/2006/relationships/hyperlink" Target="https://www.google.com/maps/search/?api=1&amp;query=Eddy%E2%80%99s+Barber+Shop+204+Beaudesert+Road+Moorooka" TargetMode="External" Id="rId412" /><Relationship Type="http://schemas.openxmlformats.org/officeDocument/2006/relationships/hyperlink" Target="https://www.instagram.com/hairtobeaustralia/" TargetMode="External" Id="rId413" /><Relationship Type="http://schemas.openxmlformats.org/officeDocument/2006/relationships/hyperlink" Target="https://www.google.com/maps/search/?api=1&amp;query=Hair+to+be+195+Vienna+Road+Alexandra+Hills" TargetMode="External" Id="rId414" /><Relationship Type="http://schemas.openxmlformats.org/officeDocument/2006/relationships/hyperlink" Target="https://www.facebook.com/hikarihairstudio" TargetMode="External" Id="rId415" /><Relationship Type="http://schemas.openxmlformats.org/officeDocument/2006/relationships/hyperlink" Target="https://www.google.com/maps/search/?api=1&amp;query=Hikari+Hair+Studio+85+Mawson+Street+Stafford+Heights" TargetMode="External" Id="rId416" /><Relationship Type="http://schemas.openxmlformats.org/officeDocument/2006/relationships/hyperlink" Target="https://www.facebook.com/jacksbarber4171" TargetMode="External" Id="rId417" /><Relationship Type="http://schemas.openxmlformats.org/officeDocument/2006/relationships/hyperlink" Target="https://www.google.com/maps/search/?api=1&amp;query=Jack%27s+Barber+135+Riding+Road+Hawthorne" TargetMode="External" Id="rId418" /><Relationship Type="http://schemas.openxmlformats.org/officeDocument/2006/relationships/hyperlink" Target="https://www.facebook.com/julesandginger" TargetMode="External" Id="rId419" /><Relationship Type="http://schemas.openxmlformats.org/officeDocument/2006/relationships/hyperlink" Target="https://www.google.com/maps/search/?api=1&amp;query=Jules+%26+Ginger+135+Riding+Road+Hawthorne" TargetMode="External" Id="rId420" /><Relationship Type="http://schemas.openxmlformats.org/officeDocument/2006/relationships/hyperlink" Target="https://www.facebook.com/p/Kaija-hairdressing-make-up--100054313728630/" TargetMode="External" Id="rId421" /><Relationship Type="http://schemas.openxmlformats.org/officeDocument/2006/relationships/hyperlink" Target="https://www.google.com/maps/search/?api=1&amp;query=Kaija+Hairdresser+64+Park+Road+Wooloowin" TargetMode="External" Id="rId422" /><Relationship Type="http://schemas.openxmlformats.org/officeDocument/2006/relationships/hyperlink" Target="https://www.facebook.com/Mcbarbers2021" TargetMode="External" Id="rId423" /><Relationship Type="http://schemas.openxmlformats.org/officeDocument/2006/relationships/hyperlink" Target="https://www.google.com/maps/search/?api=1&amp;query=MC+Barbers+101+Valley+Way+Mount+Cotton" TargetMode="External" Id="rId424" /><Relationship Type="http://schemas.openxmlformats.org/officeDocument/2006/relationships/hyperlink" Target="https://www.instagram.com/ouhair_rochedale/?hl=en" TargetMode="External" Id="rId425" /><Relationship Type="http://schemas.openxmlformats.org/officeDocument/2006/relationships/hyperlink" Target="https://www.facebook.com/ouhairRochedale" TargetMode="External" Id="rId426" /><Relationship Type="http://schemas.openxmlformats.org/officeDocument/2006/relationships/hyperlink" Target="https://www.google.com/maps/search/?api=1&amp;query=OU+Hair+329+Gardner+Road+Rochedale" TargetMode="External" Id="rId427" /><Relationship Type="http://schemas.openxmlformats.org/officeDocument/2006/relationships/hyperlink" Target="https://www.facebook.com/people/Saba-hair-studio/100083090384553/" TargetMode="External" Id="rId428" /><Relationship Type="http://schemas.openxmlformats.org/officeDocument/2006/relationships/hyperlink" Target="https://www.google.com/maps/search/?api=1&amp;query=Saba+Hair+Studio" TargetMode="External" Id="rId429" /><Relationship Type="http://schemas.openxmlformats.org/officeDocument/2006/relationships/hyperlink" Target="https://www.facebook.com/stranzhairdesignbulimba/" TargetMode="External" Id="rId430" /><Relationship Type="http://schemas.openxmlformats.org/officeDocument/2006/relationships/hyperlink" Target="https://www.google.com/maps/search/?api=1&amp;query=Stranz+Hair+Design+141+Oxford+Street+Bulimba" TargetMode="External" Id="rId431" /><Relationship Type="http://schemas.openxmlformats.org/officeDocument/2006/relationships/hyperlink" Target="https://www.facebook.com/thesecrethaircolor/" TargetMode="External" Id="rId432" /><Relationship Type="http://schemas.openxmlformats.org/officeDocument/2006/relationships/hyperlink" Target="https://www.google.com/maps/search/?api=1&amp;query=The+Secret+Hair+Color" TargetMode="External" Id="rId433" /><Relationship Type="http://schemas.openxmlformats.org/officeDocument/2006/relationships/hyperlink" Target="https://www.facebook.com/9889nailsandbeauty" TargetMode="External" Id="rId434" /><Relationship Type="http://schemas.openxmlformats.org/officeDocument/2006/relationships/hyperlink" Target="https://www.google.com/maps/search/?api=1&amp;query=9889+Nails+and+Beauty+101+Valley+Way+Mount+Cotton" TargetMode="External" Id="rId435" /><Relationship Type="http://schemas.openxmlformats.org/officeDocument/2006/relationships/hyperlink" Target="https://www.facebook.com/isabishair" TargetMode="External" Id="rId436" /><Relationship Type="http://schemas.openxmlformats.org/officeDocument/2006/relationships/hyperlink" Target="https://www.google.com/maps/search/?api=1&amp;query=Isabis+Hair+82+Leicester+Street+Coorparoo" TargetMode="External" Id="rId437" /><Relationship Type="http://schemas.openxmlformats.org/officeDocument/2006/relationships/hyperlink" Target="https://www.instagram.com/nails59_rochedale/" TargetMode="External" Id="rId438" /><Relationship Type="http://schemas.openxmlformats.org/officeDocument/2006/relationships/hyperlink" Target="https://www.google.com/maps/search/?api=1&amp;query=Nails59+329+Gardner+Road+Rochedale" TargetMode="External" Id="rId439" /><Relationship Type="http://schemas.openxmlformats.org/officeDocument/2006/relationships/hyperlink" Target="https://www.facebook.com/satisfiednail/" TargetMode="External" Id="rId440" /><Relationship Type="http://schemas.openxmlformats.org/officeDocument/2006/relationships/hyperlink" Target="https://www.google.com/maps/search/?api=1&amp;query=Satisfied+Nail" TargetMode="External" Id="rId441" /><Relationship Type="http://schemas.openxmlformats.org/officeDocument/2006/relationships/hyperlink" Target="https://www.facebook.com/people/Brandons-Shoe-Repairs/100057123895028/" TargetMode="External" Id="rId442" /><Relationship Type="http://schemas.openxmlformats.org/officeDocument/2006/relationships/hyperlink" Target="https://www.google.com/maps/search/?api=1&amp;query=Brandons+Shoe+Repairs" TargetMode="External" Id="rId443" /><Relationship Type="http://schemas.openxmlformats.org/officeDocument/2006/relationships/hyperlink" Target="https://www.facebook.com/people/Etcetera-Leisure-Plus/61550838810039/" TargetMode="External" Id="rId444" /><Relationship Type="http://schemas.openxmlformats.org/officeDocument/2006/relationships/hyperlink" Target="https://www.google.com/maps/search/?api=1&amp;query=Etcetera+Leisure+Plus" TargetMode="External" Id="rId445" /><Relationship Type="http://schemas.openxmlformats.org/officeDocument/2006/relationships/hyperlink" Target="https://www.instagram.com/palmbeeaustralia" TargetMode="External" Id="rId446" /><Relationship Type="http://schemas.openxmlformats.org/officeDocument/2006/relationships/hyperlink" Target="https://www.facebook.com/palmbeexx" TargetMode="External" Id="rId447" /><Relationship Type="http://schemas.openxmlformats.org/officeDocument/2006/relationships/hyperlink" Target="https://www.google.com/maps/search/?api=1&amp;query=Palmbee+Capalaba+HQ+91+Redland+Bay+Road+Capalaba" TargetMode="External" Id="rId448" /><Relationship Type="http://schemas.openxmlformats.org/officeDocument/2006/relationships/hyperlink" Target="https://www.facebook.com/StudioMbyMargarita" TargetMode="External" Id="rId449" /><Relationship Type="http://schemas.openxmlformats.org/officeDocument/2006/relationships/hyperlink" Target="https://www.google.com/maps/search/?api=1&amp;query=Studio+M+by+Margarita" TargetMode="External" Id="rId450" /><Relationship Type="http://schemas.openxmlformats.org/officeDocument/2006/relationships/hyperlink" Target="https://www.facebook.com/abodeonHillsdon" TargetMode="External" Id="rId451" /><Relationship Type="http://schemas.openxmlformats.org/officeDocument/2006/relationships/hyperlink" Target="https://www.google.com/maps/search/?api=1&amp;query=Abode+Cafe" TargetMode="External" Id="rId452" /><Relationship Type="http://schemas.openxmlformats.org/officeDocument/2006/relationships/hyperlink" Target="https://www.facebook.com/Augustus.Espresso/" TargetMode="External" Id="rId453" /><Relationship Type="http://schemas.openxmlformats.org/officeDocument/2006/relationships/hyperlink" Target="https://www.google.com/maps/search/?api=1&amp;query=Augustus+Espresso+140+Oxford+Street+Bulimba" TargetMode="External" Id="rId454" /><Relationship Type="http://schemas.openxmlformats.org/officeDocument/2006/relationships/hyperlink" Target="https://www.facebook.com/vietnameseavachatcafe/" TargetMode="External" Id="rId455" /><Relationship Type="http://schemas.openxmlformats.org/officeDocument/2006/relationships/hyperlink" Target="https://www.google.com/maps/search/?api=1&amp;query=Av-A-Chat+Cafe" TargetMode="External" Id="rId456" /><Relationship Type="http://schemas.openxmlformats.org/officeDocument/2006/relationships/hyperlink" Target="http://facebook.com/thebluepoppy/" TargetMode="External" Id="rId457" /><Relationship Type="http://schemas.openxmlformats.org/officeDocument/2006/relationships/hyperlink" Target="https://www.google.com/maps/search/?api=1&amp;query=Blue+Poppy+32+Asquith+Street" TargetMode="External" Id="rId458" /><Relationship Type="http://schemas.openxmlformats.org/officeDocument/2006/relationships/hyperlink" Target="https://www.instagram.com/croixssant.bne" TargetMode="External" Id="rId459" /><Relationship Type="http://schemas.openxmlformats.org/officeDocument/2006/relationships/hyperlink" Target="https://www.google.com/maps/search/?api=1&amp;query=Croix+Croissant+68+Commercial+Road" TargetMode="External" Id="rId460" /><Relationship Type="http://schemas.openxmlformats.org/officeDocument/2006/relationships/hyperlink" Target="https://instagram.com/deathstarbrisbane" TargetMode="External" Id="rId461" /><Relationship Type="http://schemas.openxmlformats.org/officeDocument/2006/relationships/hyperlink" Target="https://facebook.com/deathstarcanteenbrisbane/" TargetMode="External" Id="rId462" /><Relationship Type="http://schemas.openxmlformats.org/officeDocument/2006/relationships/hyperlink" Target="https://www.google.com/maps/search/?api=1&amp;query=Death+Star+Canteen" TargetMode="External" Id="rId463" /><Relationship Type="http://schemas.openxmlformats.org/officeDocument/2006/relationships/hyperlink" Target="https://www.facebook.com/docbrowncafe" TargetMode="External" Id="rId464" /><Relationship Type="http://schemas.openxmlformats.org/officeDocument/2006/relationships/hyperlink" Target="https://www.google.com/maps/search/?api=1&amp;query=Doc+Brown" TargetMode="External" Id="rId465" /><Relationship Type="http://schemas.openxmlformats.org/officeDocument/2006/relationships/hyperlink" Target="https://www.facebook.com/DoubleMakerCoffee" TargetMode="External" Id="rId466" /><Relationship Type="http://schemas.openxmlformats.org/officeDocument/2006/relationships/hyperlink" Target="https://www.google.com/maps/search/?api=1&amp;query=Double+Maker+Coffee+126+Margaret+Street" TargetMode="External" Id="rId467" /><Relationship Type="http://schemas.openxmlformats.org/officeDocument/2006/relationships/hyperlink" Target="https://www.instagram.com/FARMHOUSEKEDRON" TargetMode="External" Id="rId468" /><Relationship Type="http://schemas.openxmlformats.org/officeDocument/2006/relationships/hyperlink" Target="https://www.facebook.com/farmhousekedron/" TargetMode="External" Id="rId469" /><Relationship Type="http://schemas.openxmlformats.org/officeDocument/2006/relationships/hyperlink" Target="https://www.google.com/maps/search/?api=1&amp;query=Farmhouse+Cafe+9+Somerset+Road+Kedron" TargetMode="External" Id="rId470" /><Relationship Type="http://schemas.openxmlformats.org/officeDocument/2006/relationships/hyperlink" Target="https://www.facebook.com/fiddleleafbrisbane" TargetMode="External" Id="rId471" /><Relationship Type="http://schemas.openxmlformats.org/officeDocument/2006/relationships/hyperlink" Target="https://www.google.com/maps/search/?api=1&amp;query=Fiddle+Leaf+7+Corio+Street+Bulimba" TargetMode="External" Id="rId472" /><Relationship Type="http://schemas.openxmlformats.org/officeDocument/2006/relationships/hyperlink" Target="https://www.instagram.com/idocafe_auchenflower" TargetMode="External" Id="rId473" /><Relationship Type="http://schemas.openxmlformats.org/officeDocument/2006/relationships/hyperlink" Target="https://www.google.com/maps/search/?api=1&amp;query=I+DO+28+Grimes+Street+Auchenflower" TargetMode="External" Id="rId474" /><Relationship Type="http://schemas.openxmlformats.org/officeDocument/2006/relationships/hyperlink" Target="https://www.facebook.com/lafamiliacoffeeco" TargetMode="External" Id="rId475" /><Relationship Type="http://schemas.openxmlformats.org/officeDocument/2006/relationships/hyperlink" Target="https://www.google.com/maps/search/?api=1&amp;query=La+Familia+Espesso+Bar+20+Minimine+Street" TargetMode="External" Id="rId476" /><Relationship Type="http://schemas.openxmlformats.org/officeDocument/2006/relationships/hyperlink" Target="https://www.instagram.com/laneway86/" TargetMode="External" Id="rId477" /><Relationship Type="http://schemas.openxmlformats.org/officeDocument/2006/relationships/hyperlink" Target="https://www.google.com/maps/search/?api=1&amp;query=Laneway+86" TargetMode="External" Id="rId478" /><Relationship Type="http://schemas.openxmlformats.org/officeDocument/2006/relationships/hyperlink" Target="https://www.facebook.com/Lecafeashgrove/" TargetMode="External" Id="rId479" /><Relationship Type="http://schemas.openxmlformats.org/officeDocument/2006/relationships/hyperlink" Target="https://www.google.com/maps/search/?api=1&amp;query=Le+Cafe+Ashgrove+486+Waterworks+Road+Ashgrove" TargetMode="External" Id="rId480" /><Relationship Type="http://schemas.openxmlformats.org/officeDocument/2006/relationships/hyperlink" Target="https://www.instagram.com/makemyday.cafe" TargetMode="External" Id="rId481" /><Relationship Type="http://schemas.openxmlformats.org/officeDocument/2006/relationships/hyperlink" Target="https://www.google.com/maps/search/?api=1&amp;query=Make+My+Day+3c+Gibbon+Street" TargetMode="External" Id="rId482" /><Relationship Type="http://schemas.openxmlformats.org/officeDocument/2006/relationships/hyperlink" Target="https://www.instagram.com/manka_cafe" TargetMode="External" Id="rId483" /><Relationship Type="http://schemas.openxmlformats.org/officeDocument/2006/relationships/hyperlink" Target="https://www.google.com/maps/search/?api=1&amp;query=Manka+Cafe" TargetMode="External" Id="rId484" /><Relationship Type="http://schemas.openxmlformats.org/officeDocument/2006/relationships/hyperlink" Target="https://www.facebook.com/MeanBeanzEspresso" TargetMode="External" Id="rId485" /><Relationship Type="http://schemas.openxmlformats.org/officeDocument/2006/relationships/hyperlink" Target="https://www.google.com/maps/search/?api=1&amp;query=Mean+Beanz+Espresso+60+Blamey+Street+Kelvin+Grove" TargetMode="External" Id="rId486" /><Relationship Type="http://schemas.openxmlformats.org/officeDocument/2006/relationships/hyperlink" Target="https://www.instagram.com/hellomowandco/" TargetMode="External" Id="rId487" /><Relationship Type="http://schemas.openxmlformats.org/officeDocument/2006/relationships/hyperlink" Target="https://www.google.com/maps/search/?api=1&amp;query=Mow+and+Co." TargetMode="External" Id="rId488" /><Relationship Type="http://schemas.openxmlformats.org/officeDocument/2006/relationships/hyperlink" Target="https://www.instagram.com/nursestationcafe" TargetMode="External" Id="rId489" /><Relationship Type="http://schemas.openxmlformats.org/officeDocument/2006/relationships/hyperlink" Target="https://www.facebook.com/nursestationcafe" TargetMode="External" Id="rId490" /><Relationship Type="http://schemas.openxmlformats.org/officeDocument/2006/relationships/hyperlink" Target="https://www.google.com/maps/search/?api=1&amp;query=Nurse+Station+Coffee+and+Juice+Bar" TargetMode="External" Id="rId491" /><Relationship Type="http://schemas.openxmlformats.org/officeDocument/2006/relationships/hyperlink" Target="https://www.facebook.com/OrangeTeaAustralia" TargetMode="External" Id="rId492" /><Relationship Type="http://schemas.openxmlformats.org/officeDocument/2006/relationships/hyperlink" Target="https://www.google.com/maps/search/?api=1&amp;query=Orange+Tea+Brisbane+One+Peel+Street" TargetMode="External" Id="rId493" /><Relationship Type="http://schemas.openxmlformats.org/officeDocument/2006/relationships/hyperlink" Target="https://www.facebook.com/podespresso/" TargetMode="External" Id="rId494" /><Relationship Type="http://schemas.openxmlformats.org/officeDocument/2006/relationships/hyperlink" Target="https://www.google.com/maps/search/?api=1&amp;query=POD+Espresso+275+Stafford+Road+Stafford" TargetMode="External" Id="rId495" /><Relationship Type="http://schemas.openxmlformats.org/officeDocument/2006/relationships/hyperlink" Target="https://www.facebook.com/pureshotcafe" TargetMode="External" Id="rId496" /><Relationship Type="http://schemas.openxmlformats.org/officeDocument/2006/relationships/hyperlink" Target="https://www.google.com/maps/search/?api=1&amp;query=Pure+Shot+Cafe+28+Doherty+Street+Brendale" TargetMode="External" Id="rId497" /><Relationship Type="http://schemas.openxmlformats.org/officeDocument/2006/relationships/hyperlink" Target="https://www.instagram.com/sipsoclock/" TargetMode="External" Id="rId498" /><Relationship Type="http://schemas.openxmlformats.org/officeDocument/2006/relationships/hyperlink" Target="https://www.google.com/maps/search/?api=1&amp;query=Sips+O%27clock+75+Grey+Street+South+Brisbane" TargetMode="External" Id="rId499" /><Relationship Type="http://schemas.openxmlformats.org/officeDocument/2006/relationships/hyperlink" Target="https://www.facebook.com/snagandbrownannerley/" TargetMode="External" Id="rId500" /><Relationship Type="http://schemas.openxmlformats.org/officeDocument/2006/relationships/hyperlink" Target="https://www.google.com/maps/search/?api=1&amp;query=Snag+%26+Brown+97+Ekibin+Road+Annerley" TargetMode="External" Id="rId501" /><Relationship Type="http://schemas.openxmlformats.org/officeDocument/2006/relationships/hyperlink" Target="https://www.instagram.com/snug.bne" TargetMode="External" Id="rId502" /><Relationship Type="http://schemas.openxmlformats.org/officeDocument/2006/relationships/hyperlink" Target="https://www.google.com/maps/search/?api=1&amp;query=Snug+Cafe+321+Chatsworth+Road" TargetMode="External" Id="rId503" /><Relationship Type="http://schemas.openxmlformats.org/officeDocument/2006/relationships/hyperlink" Target="https://www.facebook.com/p/Studio-Solo-Co-100063505363434/" TargetMode="External" Id="rId504" /><Relationship Type="http://schemas.openxmlformats.org/officeDocument/2006/relationships/hyperlink" Target="https://www.google.com/maps/search/?api=1&amp;query=Studio+Solo+and+Co+20+Nellie+Street+Nundah" TargetMode="External" Id="rId505" /><Relationship Type="http://schemas.openxmlformats.org/officeDocument/2006/relationships/hyperlink" Target="https://www.facebook.com/TheBaristorian/" TargetMode="External" Id="rId506" /><Relationship Type="http://schemas.openxmlformats.org/officeDocument/2006/relationships/hyperlink" Target="https://www.google.com/maps/search/?api=1&amp;query=The+Baristorian+165+Main+Avenue" TargetMode="External" Id="rId507" /><Relationship Type="http://schemas.openxmlformats.org/officeDocument/2006/relationships/hyperlink" Target="https://www.instagram.com/upbeat.cafe_/" TargetMode="External" Id="rId508" /><Relationship Type="http://schemas.openxmlformats.org/officeDocument/2006/relationships/hyperlink" Target="https://www.facebook.com/people/Upbeat-Cafe/61578887307099/" TargetMode="External" Id="rId509" /><Relationship Type="http://schemas.openxmlformats.org/officeDocument/2006/relationships/hyperlink" Target="https://www.google.com/maps/search/?api=1&amp;query=Upbeat" TargetMode="External" Id="rId510" /><Relationship Type="http://schemas.openxmlformats.org/officeDocument/2006/relationships/hyperlink" Target="https://www.facebook.com/vitosascot/" TargetMode="External" Id="rId511" /><Relationship Type="http://schemas.openxmlformats.org/officeDocument/2006/relationships/hyperlink" Target="https://www.google.com/maps/search/?api=1&amp;query=Vito%27s+Cucina+%26+Bar+Ascot+188+Nudgee+Road+Ascot" TargetMode="External" Id="rId512" /><Relationship Type="http://schemas.openxmlformats.org/officeDocument/2006/relationships/hyperlink" Target="https://www.facebook.com/yorkstreetespressobar/" TargetMode="External" Id="rId513" /><Relationship Type="http://schemas.openxmlformats.org/officeDocument/2006/relationships/hyperlink" Target="https://www.google.com/maps/search/?api=1&amp;query=York+St+Espresso+Bar+83+York+Street+Nundah" TargetMode="External" Id="rId514" /><Relationship Type="http://schemas.openxmlformats.org/officeDocument/2006/relationships/hyperlink" Target="https://www.instagram.com/zmirk.bne" TargetMode="External" Id="rId515" /><Relationship Type="http://schemas.openxmlformats.org/officeDocument/2006/relationships/hyperlink" Target="https://www.google.com/maps/search/?api=1&amp;query=Zmirk+Co.+220+Annerley+Road" TargetMode="External" Id="rId516" /><Relationship Type="http://schemas.openxmlformats.org/officeDocument/2006/relationships/hyperlink" Target="https://www.facebook.com/meadowbrookelc/" TargetMode="External" Id="rId517" /><Relationship Type="http://schemas.openxmlformats.org/officeDocument/2006/relationships/hyperlink" Target="https://www.google.com/maps/search/?api=1&amp;query=Meadowbrook+Early+Learning+Centre" TargetMode="External" Id="rId518" /><Relationship Type="http://schemas.openxmlformats.org/officeDocument/2006/relationships/hyperlink" Target="https://www.facebook.com/Banyo-meat-service-328382267317004/" TargetMode="External" Id="rId519" /><Relationship Type="http://schemas.openxmlformats.org/officeDocument/2006/relationships/hyperlink" Target="https://www.google.com/maps/search/?api=1&amp;query=Banyo+Meat+Service" TargetMode="External" Id="rId520" /><Relationship Type="http://schemas.openxmlformats.org/officeDocument/2006/relationships/hyperlink" Target="https://facebook.com/pages/Bellas-Fruit-Market/316006148423409" TargetMode="External" Id="rId521" /><Relationship Type="http://schemas.openxmlformats.org/officeDocument/2006/relationships/hyperlink" Target="https://www.google.com/maps/search/?api=1&amp;query=Bellas+Fruit+Market+218+Padstow+Road" TargetMode="External" Id="rId522" /><Relationship Type="http://schemas.openxmlformats.org/officeDocument/2006/relationships/hyperlink" Target="https://www.facebook.com/SouthAfricanBiltongDeli/" TargetMode="External" Id="rId523" /><Relationship Type="http://schemas.openxmlformats.org/officeDocument/2006/relationships/hyperlink" Target="https://www.google.com/maps/search/?api=1&amp;query=Biltong+Deli+2066+Moggill+Road" TargetMode="External" Id="rId524" /><Relationship Type="http://schemas.openxmlformats.org/officeDocument/2006/relationships/hyperlink" Target="https://www.facebook.com/greengrocerspantry/" TargetMode="External" Id="rId525" /><Relationship Type="http://schemas.openxmlformats.org/officeDocument/2006/relationships/hyperlink" Target="https://www.google.com/maps/search/?api=1&amp;query=Greengrocers+Pantry" TargetMode="External" Id="rId526" /><Relationship Type="http://schemas.openxmlformats.org/officeDocument/2006/relationships/hyperlink" Target="https://www.facebook.com/people/Kenmore-Health-Nutrition/100063567670771/" TargetMode="External" Id="rId527" /><Relationship Type="http://schemas.openxmlformats.org/officeDocument/2006/relationships/hyperlink" Target="https://www.google.com/maps/search/?api=1&amp;query=Health+%26+Nutrition" TargetMode="External" Id="rId528" /><Relationship Type="http://schemas.openxmlformats.org/officeDocument/2006/relationships/hyperlink" Target="https://www.facebook.com/kenmorefresh/" TargetMode="External" Id="rId529" /><Relationship Type="http://schemas.openxmlformats.org/officeDocument/2006/relationships/hyperlink" Target="https://www.google.com/maps/search/?api=1&amp;query=Kenmore+Fresh" TargetMode="External" Id="rId530" /><Relationship Type="http://schemas.openxmlformats.org/officeDocument/2006/relationships/hyperlink" Target="https://www.facebook.com/pages/Microlot-Coffee-House/532108803616296" TargetMode="External" Id="rId531" /><Relationship Type="http://schemas.openxmlformats.org/officeDocument/2006/relationships/hyperlink" Target="https://www.google.com/maps/search/?api=1&amp;query=Microlot+Coffee+House+135+Riding+Road+Hawthorne" TargetMode="External" Id="rId532" /><Relationship Type="http://schemas.openxmlformats.org/officeDocument/2006/relationships/hyperlink" Target="https://www.facebook.com/p/Nundah-Fruit-Market-61564367108912/" TargetMode="External" Id="rId533" /><Relationship Type="http://schemas.openxmlformats.org/officeDocument/2006/relationships/hyperlink" Target="https://www.google.com/maps/search/?api=1&amp;query=Nundah+Fruit+Market+1558+Sandgate+Road+Nundah" TargetMode="External" Id="rId534" /><Relationship Type="http://schemas.openxmlformats.org/officeDocument/2006/relationships/hyperlink" Target="https://www.facebook.com/p/Top-Cut-Butcher-100064321140937/" TargetMode="External" Id="rId535" /><Relationship Type="http://schemas.openxmlformats.org/officeDocument/2006/relationships/hyperlink" Target="https://www.google.com/maps/search/?api=1&amp;query=Top+Cut+Butchery+Quality+Meats+North+Road" TargetMode="External" Id="rId536" /><Relationship Type="http://schemas.openxmlformats.org/officeDocument/2006/relationships/hyperlink" Target="https://www.facebook.com/wavellgourmetmeats" TargetMode="External" Id="rId537" /><Relationship Type="http://schemas.openxmlformats.org/officeDocument/2006/relationships/hyperlink" Target="https://www.google.com/maps/search/?api=1&amp;query=Wavell+Heights+Gourmet+Meats+216+Shaw+Road+Wavell+Heights" TargetMode="External" Id="rId538" /><Relationship Type="http://schemas.openxmlformats.org/officeDocument/2006/relationships/hyperlink" Target="https://www.facebook.com/Flowers-by-Louise-Inspired-by-you-113504464161306/" TargetMode="External" Id="rId539" /><Relationship Type="http://schemas.openxmlformats.org/officeDocument/2006/relationships/hyperlink" Target="https://www.google.com/maps/search/?api=1&amp;query=Flowers+by+Louise+5+Stanley+Street+Acacia+Ridge" TargetMode="External" Id="rId540" /><Relationship Type="http://schemas.openxmlformats.org/officeDocument/2006/relationships/hyperlink" Target="https://www.facebook.com/profile.php?id=100066631573794" TargetMode="External" Id="rId541" /><Relationship Type="http://schemas.openxmlformats.org/officeDocument/2006/relationships/hyperlink" Target="https://www.google.com/maps/search/?api=1&amp;query=Wedding+N+Florist+58+Boundary+Road+Thornlands" TargetMode="External" Id="rId542" /><Relationship Type="http://schemas.openxmlformats.org/officeDocument/2006/relationships/hyperlink" Target="https://www.facebook.com/people/Delight-For-Gifts/100065206801946/" TargetMode="External" Id="rId543" /><Relationship Type="http://schemas.openxmlformats.org/officeDocument/2006/relationships/hyperlink" Target="https://www.google.com/maps/search/?api=1&amp;query=Delight+for+Gifts" TargetMode="External" Id="rId544" /><Relationship Type="http://schemas.openxmlformats.org/officeDocument/2006/relationships/hyperlink" Target="https://www.facebook.com/oursunroom/" TargetMode="External" Id="rId545" /><Relationship Type="http://schemas.openxmlformats.org/officeDocument/2006/relationships/hyperlink" Target="https://www.google.com/maps/search/?api=1&amp;query=Our+Sun+Room+498+Waterworks+Road+Ashgrove" TargetMode="External" Id="rId546" /><Relationship Type="http://schemas.openxmlformats.org/officeDocument/2006/relationships/hyperlink" Target="https://www.instagram.com/visgiftshop/?hl=en" TargetMode="External" Id="rId547" /><Relationship Type="http://schemas.openxmlformats.org/officeDocument/2006/relationships/hyperlink" Target="https://www.google.com/maps/search/?api=1&amp;query=VIS" TargetMode="External" Id="rId548" /><Relationship Type="http://schemas.openxmlformats.org/officeDocument/2006/relationships/hyperlink" Target="https://www.facebook.com/MassagehealthcentreHamilton/?_rdr" TargetMode="External" Id="rId549" /><Relationship Type="http://schemas.openxmlformats.org/officeDocument/2006/relationships/hyperlink" Target="https://www.google.com/maps/search/?api=1&amp;query=Massage+Health+Centre+33+Racecourse+Road+Hamilton" TargetMode="External" Id="rId550" /><Relationship Type="http://schemas.openxmlformats.org/officeDocument/2006/relationships/hyperlink" Target="https://www.facebook.com/profile.php?id=100086356354712" TargetMode="External" Id="rId551" /><Relationship Type="http://schemas.openxmlformats.org/officeDocument/2006/relationships/hyperlink" Target="https://www.google.com/maps/search/?api=1&amp;query=Soul+Thai+Massage+329+Gardner+Road+Rochedale" TargetMode="External" Id="rId552" /><Relationship Type="http://schemas.openxmlformats.org/officeDocument/2006/relationships/hyperlink" Target="https://www.facebook.com/T-Massage-100679675602823/" TargetMode="External" Id="rId553" /><Relationship Type="http://schemas.openxmlformats.org/officeDocument/2006/relationships/hyperlink" Target="https://www.google.com/maps/search/?api=1&amp;query=T+Massage" TargetMode="External" Id="rId554" /><Relationship Type="http://schemas.openxmlformats.org/officeDocument/2006/relationships/hyperlink" Target="https://facebook.com/kjsafetycertificates/" TargetMode="External" Id="rId555" /><Relationship Type="http://schemas.openxmlformats.org/officeDocument/2006/relationships/hyperlink" Target="https://www.google.com/maps/search/?api=1&amp;query=KJ+Safety+Certificates%2FRoadworthy+Certificates+1+Possum+Court" TargetMode="External" Id="rId556" /><Relationship Type="http://schemas.openxmlformats.org/officeDocument/2006/relationships/hyperlink" Target="https://www.facebook.com/people/Monster-Tyres/100095017035749/" TargetMode="External" Id="rId557" /><Relationship Type="http://schemas.openxmlformats.org/officeDocument/2006/relationships/hyperlink" Target="https://www.google.com/maps/search/?api=1&amp;query=Monster+Tyres+26+Mining+Street+Bundamba" TargetMode="External" Id="rId558" /><Relationship Type="http://schemas.openxmlformats.org/officeDocument/2006/relationships/hyperlink" Target="https://www.facebook.com/p/Sam-Auto-Care-100075669889000/" TargetMode="External" Id="rId559" /><Relationship Type="http://schemas.openxmlformats.org/officeDocument/2006/relationships/hyperlink" Target="https://www.google.com/maps/search/?api=1&amp;query=Sam+Auto+Care" TargetMode="External" Id="rId560" /><Relationship Type="http://schemas.openxmlformats.org/officeDocument/2006/relationships/hyperlink" Target="https://m.facebook.com/alohahound/" TargetMode="External" Id="rId561" /><Relationship Type="http://schemas.openxmlformats.org/officeDocument/2006/relationships/hyperlink" Target="https://www.google.com/maps/search/?api=1&amp;query=Aloha+Hound" TargetMode="External" Id="rId562" /><Relationship Type="http://schemas.openxmlformats.org/officeDocument/2006/relationships/hyperlink" Target="https://www.facebook.com/RedlandsProduce/" TargetMode="External" Id="rId563" /><Relationship Type="http://schemas.openxmlformats.org/officeDocument/2006/relationships/hyperlink" Target="https://www.google.com/maps/search/?api=1&amp;query=Redlands+Produce+87+Boundary+Road+Thornlands" TargetMode="External" Id="rId564" /><Relationship Type="http://schemas.openxmlformats.org/officeDocument/2006/relationships/hyperlink" Target="https://www.facebook.com/profile.php?id=100044607326097" TargetMode="External" Id="rId565" /><Relationship Type="http://schemas.openxmlformats.org/officeDocument/2006/relationships/hyperlink" Target="https://www.google.com/maps/search/?api=1&amp;query=Tiny+Tots+Physiotherapy+-+Kathryn+Shutt+33+Woodlands+Drive+Thornlands" TargetMode="External" Id="rId566" /><Relationship Type="http://schemas.openxmlformats.org/officeDocument/2006/relationships/hyperlink" Target="https://www.facebook.com/people/Asia-Canteen/100063772110992/" TargetMode="External" Id="rId567" /><Relationship Type="http://schemas.openxmlformats.org/officeDocument/2006/relationships/hyperlink" Target="https://www.google.com/maps/search/?api=1&amp;query=Asia+Canteen+1+Patricks+Road+Arana+Hills" TargetMode="External" Id="rId568" /><Relationship Type="http://schemas.openxmlformats.org/officeDocument/2006/relationships/hyperlink" Target="https://www.facebook.com/bensburgers" TargetMode="External" Id="rId569" /><Relationship Type="http://schemas.openxmlformats.org/officeDocument/2006/relationships/hyperlink" Target="https://www.google.com/maps/search/?api=1&amp;query=Ben%27s+Burgers+5+Winn+Street+Fortitude+Valley" TargetMode="External" Id="rId570" /><Relationship Type="http://schemas.openxmlformats.org/officeDocument/2006/relationships/hyperlink" Target="https://m.facebook.com/BunchaBunchaQLD/" TargetMode="External" Id="rId571" /><Relationship Type="http://schemas.openxmlformats.org/officeDocument/2006/relationships/hyperlink" Target="https://www.google.com/maps/search/?api=1&amp;query=Buncha+Buncha+405+Logan+Road+Stones+Corner" TargetMode="External" Id="rId572" /><Relationship Type="http://schemas.openxmlformats.org/officeDocument/2006/relationships/hyperlink" Target="https://www.facebook.com/p/Ho-Choi-Licensed-Restaurant-100040303334335/" TargetMode="External" Id="rId573" /><Relationship Type="http://schemas.openxmlformats.org/officeDocument/2006/relationships/hyperlink" Target="https://www.google.com/maps/search/?api=1&amp;query=Ho+Choi+204+Beaudesert+Road+Moorooka" TargetMode="External" Id="rId574" /><Relationship Type="http://schemas.openxmlformats.org/officeDocument/2006/relationships/hyperlink" Target="https://www.facebook.com/LATIN.MANNA" TargetMode="External" Id="rId575" /><Relationship Type="http://schemas.openxmlformats.org/officeDocument/2006/relationships/hyperlink" Target="https://www.google.com/maps/search/?api=1&amp;query=Latin+Manna" TargetMode="External" Id="rId576" /><Relationship Type="http://schemas.openxmlformats.org/officeDocument/2006/relationships/hyperlink" Target="https://www.instagram.com/nekoland.westend" TargetMode="External" Id="rId577" /><Relationship Type="http://schemas.openxmlformats.org/officeDocument/2006/relationships/hyperlink" Target="https://www.google.com/maps/search/?api=1&amp;query=Nekoland+Ramen+%26+Bar+120+Boundary+Street" TargetMode="External" Id="rId578" /><Relationship Type="http://schemas.openxmlformats.org/officeDocument/2006/relationships/hyperlink" Target="https://www.facebook.com/passionsushi.com.au" TargetMode="External" Id="rId579" /><Relationship Type="http://schemas.openxmlformats.org/officeDocument/2006/relationships/hyperlink" Target="https://www.google.com/maps/search/?api=1&amp;query=Passion+Sushi+329+Gardner+Road+Rochedale" TargetMode="External" Id="rId580" /><Relationship Type="http://schemas.openxmlformats.org/officeDocument/2006/relationships/hyperlink" Target="https://www.instagram.com/Stickybeakwinebar" TargetMode="External" Id="rId581" /><Relationship Type="http://schemas.openxmlformats.org/officeDocument/2006/relationships/hyperlink" Target="https://www.google.com/maps/search/?api=1&amp;query=Stickybeak" TargetMode="External" Id="rId582" /><Relationship Type="http://schemas.openxmlformats.org/officeDocument/2006/relationships/hyperlink" Target="https://www.facebook.com/The Whitehouse Waterford" TargetMode="External" Id="rId583" /><Relationship Type="http://schemas.openxmlformats.org/officeDocument/2006/relationships/hyperlink" Target="https://www.google.com/maps/search/?api=1&amp;query=The+White+House+Waterford+9-11+Nerang+Street+Waterford" TargetMode="External" Id="rId584" /><Relationship Type="http://schemas.openxmlformats.org/officeDocument/2006/relationships/hyperlink" Target="https://www.facebook.com/warawarabrisbane" TargetMode="External" Id="rId585" /><Relationship Type="http://schemas.openxmlformats.org/officeDocument/2006/relationships/hyperlink" Target="https://www.google.com/maps/search/?api=1&amp;query=Wara+Wara+153+Elizabeth+Street" TargetMode="External" Id="rId586" /><Relationship Type="http://schemas.openxmlformats.org/officeDocument/2006/relationships/hyperlink" Target="https://facebook.com/pages/category/Restaurant/CLOVE-WEST-END-107877521487899/" TargetMode="External" Id="rId587" /><Relationship Type="http://schemas.openxmlformats.org/officeDocument/2006/relationships/hyperlink" Target="https://www.google.com/maps/search/?api=1&amp;query=Clove" TargetMode="External" Id="rId588" /><Relationship Type="http://schemas.openxmlformats.org/officeDocument/2006/relationships/hyperlink" Target="https://www.facebook.com/kingofthewingsbrisbane/" TargetMode="External" Id="rId589" /><Relationship Type="http://schemas.openxmlformats.org/officeDocument/2006/relationships/hyperlink" Target="https://www.google.com/maps/search/?api=1&amp;query=King+of+the+Wings+240+Stafford+Road+Stafford" TargetMode="External" Id="rId590" /><Relationship Type="http://schemas.openxmlformats.org/officeDocument/2006/relationships/hyperlink" Target="https://www.facebook.com/people/LilyLalas-Kebab/61568934639796/" TargetMode="External" Id="rId591" /><Relationship Type="http://schemas.openxmlformats.org/officeDocument/2006/relationships/hyperlink" Target="https://www.google.com/maps/search/?api=1&amp;query=Lily+%26+Lala+Kebab" TargetMode="External" Id="rId592" /><Relationship Type="http://schemas.openxmlformats.org/officeDocument/2006/relationships/hyperlink" Target="https://www.facebook.com/mountcottonseafood" TargetMode="External" Id="rId593" /><Relationship Type="http://schemas.openxmlformats.org/officeDocument/2006/relationships/hyperlink" Target="https://www.google.com/maps/search/?api=1&amp;query=Mount+Cotton+Seafood+101+Valley+Way+Mount+Cotton" TargetMode="External" Id="rId594" /><Relationship Type="http://schemas.openxmlformats.org/officeDocument/2006/relationships/hyperlink" Target="http://www.facebook.com/nessiesfishbite" TargetMode="External" Id="rId595" /><Relationship Type="http://schemas.openxmlformats.org/officeDocument/2006/relationships/hyperlink" Target="https://www.google.com/maps/search/?api=1&amp;query=Nessie%27s+Fish+Bite+14-18+Discovery+Drive" TargetMode="External" Id="rId596" /><Relationship Type="http://schemas.openxmlformats.org/officeDocument/2006/relationships/hyperlink" Target="https://www.facebook.com/RedHillSeafood" TargetMode="External" Id="rId597" /><Relationship Type="http://schemas.openxmlformats.org/officeDocument/2006/relationships/hyperlink" Target="https://www.google.com/maps/search/?api=1&amp;query=Red+Hill+Seafoods+22+Enoggera+Terrace+Red+Hill" TargetMode="External" Id="rId598" /><Relationship Type="http://schemas.openxmlformats.org/officeDocument/2006/relationships/hyperlink" Target="https://www.facebook.com/RockleaKebabandpizza/" TargetMode="External" Id="rId599" /><Relationship Type="http://schemas.openxmlformats.org/officeDocument/2006/relationships/hyperlink" Target="https://www.google.com/maps/search/?api=1&amp;query=Rocklea+Kebab+and+Pizza" TargetMode="External" Id="rId600" /><Relationship Type="http://schemas.openxmlformats.org/officeDocument/2006/relationships/hyperlink" Target="https://www.facebook.com/thedecktakeawayfood/" TargetMode="External" Id="rId601" /><Relationship Type="http://schemas.openxmlformats.org/officeDocument/2006/relationships/hyperlink" Target="https://www.google.com/maps/search/?api=1&amp;query=The+Deck+3+Currumbin+Court+Capalaba" TargetMode="External" Id="rId602" /><Relationship Type="http://schemas.openxmlformats.org/officeDocument/2006/relationships/hyperlink" Target="https://facebook.com/inksanetattooqld/" TargetMode="External" Id="rId603" /><Relationship Type="http://schemas.openxmlformats.org/officeDocument/2006/relationships/hyperlink" Target="https://www.google.com/maps/search/?api=1&amp;query=Inksane+199+Progress+Road" TargetMode="External" Id="rId604" /><Relationship Type="http://schemas.openxmlformats.org/officeDocument/2006/relationships/hyperlink" Target="https://www.facebook.com/savepointtattoo" TargetMode="External" Id="rId605" /><Relationship Type="http://schemas.openxmlformats.org/officeDocument/2006/relationships/hyperlink" Target="https://www.google.com/maps/search/?api=1&amp;query=Save+Point+Tattoo+645+Wynnum+Road+Morningside" TargetMode="External" Id="rId606" /><Relationship Type="http://schemas.openxmlformats.org/officeDocument/2006/relationships/hyperlink" Target="https://www.facebook.com/st.tattoos/" TargetMode="External" Id="rId607" /><Relationship Type="http://schemas.openxmlformats.org/officeDocument/2006/relationships/hyperlink" Target="https://www.google.com/maps/search/?api=1&amp;query=Stafford+Tattoo+259+Stafford+Road+Stafford" TargetMode="External" Id="rId608" /><Relationship Type="http://schemas.openxmlformats.org/officeDocument/2006/relationships/hyperlink" Target="https://www.facebook.com/Voodoo-Tattoo-193688920647994/" TargetMode="External" Id="rId609" /><Relationship Type="http://schemas.openxmlformats.org/officeDocument/2006/relationships/hyperlink" Target="https://www.google.com/maps/search/?api=1&amp;query=Voodoo+Tattoo" TargetMode="External" Id="rId610" /><Relationship Type="http://schemas.openxmlformats.org/officeDocument/2006/relationships/hyperlink" Target="https://www.facebook.com/allowayfarm/" TargetMode="External" Id="rId611" /><Relationship Type="http://schemas.openxmlformats.org/officeDocument/2006/relationships/hyperlink" Target="https://www.google.com/maps/search/?api=1&amp;query=Alloway+Farm+Market+1+Alloway+Siding+Road" TargetMode="External" Id="rId612" /><Relationship Type="http://schemas.openxmlformats.org/officeDocument/2006/relationships/hyperlink" Target="https://www.facebook.com/jelecelectricalcontractors/" TargetMode="External" Id="rId613" /><Relationship Type="http://schemas.openxmlformats.org/officeDocument/2006/relationships/hyperlink" Target="https://www.google.com/maps/search/?api=1&amp;query=J-Elec+Electrical+Contractors+24+Burrum+Street" TargetMode="External" Id="rId614" /><Relationship Type="http://schemas.openxmlformats.org/officeDocument/2006/relationships/hyperlink" Target="https://www.facebook.com/teddyespresso.com.au/" TargetMode="External" Id="rId615" /><Relationship Type="http://schemas.openxmlformats.org/officeDocument/2006/relationships/hyperlink" Target="https://www.google.com/maps/search/?api=1&amp;query=Teddy+Espresso" TargetMode="External" Id="rId616" /><Relationship Type="http://schemas.openxmlformats.org/officeDocument/2006/relationships/hyperlink" Target="https://www.facebook.com/ironstrengthpp/" TargetMode="External" Id="rId617" /><Relationship Type="http://schemas.openxmlformats.org/officeDocument/2006/relationships/hyperlink" Target="https://www.google.com/maps/search/?api=1&amp;query=Iron+strength+power+and+performance+268+Spence+Street" TargetMode="External" Id="rId618" /><Relationship Type="http://schemas.openxmlformats.org/officeDocument/2006/relationships/hyperlink" Target="https://facebook.com/tastyroad" TargetMode="External" Id="rId619" /><Relationship Type="http://schemas.openxmlformats.org/officeDocument/2006/relationships/hyperlink" Target="https://www.google.com/maps/search/?api=1&amp;query=Tasty+Road" TargetMode="External" Id="rId620" /><Relationship Type="http://schemas.openxmlformats.org/officeDocument/2006/relationships/hyperlink" Target="https://www.facebook.com/p/Boulangerie-Vietnam-100086495847018/" TargetMode="External" Id="rId621" /><Relationship Type="http://schemas.openxmlformats.org/officeDocument/2006/relationships/hyperlink" Target="https://www.google.com/maps/search/?api=1&amp;query=Boulangerie+Vietnam" TargetMode="External" Id="rId622" /><Relationship Type="http://schemas.openxmlformats.org/officeDocument/2006/relationships/hyperlink" Target="https://facebook.com/ladedabakery/" TargetMode="External" Id="rId623" /><Relationship Type="http://schemas.openxmlformats.org/officeDocument/2006/relationships/hyperlink" Target="https://www.google.com/maps/search/?api=1&amp;query=La+De+Da+99+Kennedy+Drive+Tweed+Heads" TargetMode="External" Id="rId624" /><Relationship Type="http://schemas.openxmlformats.org/officeDocument/2006/relationships/hyperlink" Target="https://www.facebook.com/lakesidebakerypalmbeach" TargetMode="External" Id="rId625" /><Relationship Type="http://schemas.openxmlformats.org/officeDocument/2006/relationships/hyperlink" Target="https://www.google.com/maps/search/?api=1&amp;query=Lakeside+Bakery+16+Philippine+Parade" TargetMode="External" Id="rId626" /><Relationship Type="http://schemas.openxmlformats.org/officeDocument/2006/relationships/hyperlink" Target="https://www.facebook.com/hellomrbake/" TargetMode="External" Id="rId627" /><Relationship Type="http://schemas.openxmlformats.org/officeDocument/2006/relationships/hyperlink" Target="https://www.google.com/maps/search/?api=1&amp;query=MR+Bake" TargetMode="External" Id="rId628" /><Relationship Type="http://schemas.openxmlformats.org/officeDocument/2006/relationships/hyperlink" Target="https://www.facebook.com/TheOrientalBakery/" TargetMode="External" Id="rId629" /><Relationship Type="http://schemas.openxmlformats.org/officeDocument/2006/relationships/hyperlink" Target="https://www.google.com/maps/search/?api=1&amp;query=Oriental+Bakery" TargetMode="External" Id="rId630" /><Relationship Type="http://schemas.openxmlformats.org/officeDocument/2006/relationships/hyperlink" Target="https://www.facebook.com/people/Pan-200-Daily-Bakery/100077636797482/" TargetMode="External" Id="rId631" /><Relationship Type="http://schemas.openxmlformats.org/officeDocument/2006/relationships/hyperlink" Target="https://www.google.com/maps/search/?api=1&amp;query=Pan+200+Daily+Bakery+48A+Nerang+Street" TargetMode="External" Id="rId632" /><Relationship Type="http://schemas.openxmlformats.org/officeDocument/2006/relationships/hyperlink" Target="https://www.facebook.com/madockebeer/" TargetMode="External" Id="rId633" /><Relationship Type="http://schemas.openxmlformats.org/officeDocument/2006/relationships/hyperlink" Target="https://www.google.com/maps/search/?api=1&amp;query=Madocke+Beer+Brewing+Co+286+Southport+Nerang+Road" TargetMode="External" Id="rId634" /><Relationship Type="http://schemas.openxmlformats.org/officeDocument/2006/relationships/hyperlink" Target="https://www.facebook.com/people/5th-Avenue-Hair-Palm-Beach/100090549709595/" TargetMode="External" Id="rId635" /><Relationship Type="http://schemas.openxmlformats.org/officeDocument/2006/relationships/hyperlink" Target="https://www.google.com/maps/search/?api=1&amp;query=5th+Avenue+Hair" TargetMode="External" Id="rId636" /><Relationship Type="http://schemas.openxmlformats.org/officeDocument/2006/relationships/hyperlink" Target="https://facebook.com/barberandcapelli" TargetMode="External" Id="rId637" /><Relationship Type="http://schemas.openxmlformats.org/officeDocument/2006/relationships/hyperlink" Target="https://www.google.com/maps/search/?api=1&amp;query=Barber+%26+Capelli+Co+2098+Gold+Coast+Highway+Miami" TargetMode="External" Id="rId638" /><Relationship Type="http://schemas.openxmlformats.org/officeDocument/2006/relationships/hyperlink" Target="https://www.instagram.com/bimbos.gc/" TargetMode="External" Id="rId639" /><Relationship Type="http://schemas.openxmlformats.org/officeDocument/2006/relationships/hyperlink" Target="https://www.facebook.com/p/Blondie-hair-co-100078309943317/" TargetMode="External" Id="rId640" /><Relationship Type="http://schemas.openxmlformats.org/officeDocument/2006/relationships/hyperlink" Target="https://www.google.com/maps/search/?api=1&amp;query=Bimbos+Hair+15+Palm+Beach+Avenue" TargetMode="External" Id="rId641" /><Relationship Type="http://schemas.openxmlformats.org/officeDocument/2006/relationships/hyperlink" Target="https://www.facebook.com/brazabarbergc/about/" TargetMode="External" Id="rId642" /><Relationship Type="http://schemas.openxmlformats.org/officeDocument/2006/relationships/hyperlink" Target="https://www.google.com/maps/search/?api=1&amp;query=Brazabarber" TargetMode="External" Id="rId643" /><Relationship Type="http://schemas.openxmlformats.org/officeDocument/2006/relationships/hyperlink" Target="https://www.facebook.com/colournationpalmbeach/" TargetMode="External" Id="rId644" /><Relationship Type="http://schemas.openxmlformats.org/officeDocument/2006/relationships/hyperlink" Target="https://www.google.com/maps/search/?api=1&amp;query=Colour+Nation+24+Philippine+Parade" TargetMode="External" Id="rId645" /><Relationship Type="http://schemas.openxmlformats.org/officeDocument/2006/relationships/hyperlink" Target="https://www.facebook.com/getsmarthairbodysoul/" TargetMode="External" Id="rId646" /><Relationship Type="http://schemas.openxmlformats.org/officeDocument/2006/relationships/hyperlink" Target="https://www.google.com/maps/search/?api=1&amp;query=Get+Smart+Hair+Body+%26+Soul" TargetMode="External" Id="rId647" /><Relationship Type="http://schemas.openxmlformats.org/officeDocument/2006/relationships/hyperlink" Target="https://www.facebook.com/HairAffairBurleigh/" TargetMode="External" Id="rId648" /><Relationship Type="http://schemas.openxmlformats.org/officeDocument/2006/relationships/hyperlink" Target="https://www.google.com/maps/search/?api=1&amp;query=Hair+Affair" TargetMode="External" Id="rId649" /><Relationship Type="http://schemas.openxmlformats.org/officeDocument/2006/relationships/hyperlink" Target="https://www.facebook.com/hairbyserena.goldcoast/" TargetMode="External" Id="rId650" /><Relationship Type="http://schemas.openxmlformats.org/officeDocument/2006/relationships/hyperlink" Target="https://www.google.com/maps/search/?api=1&amp;query=Hair+by+Serena" TargetMode="External" Id="rId651" /><Relationship Type="http://schemas.openxmlformats.org/officeDocument/2006/relationships/hyperlink" Target="https://www.facebook.com/Intro-Hair-Burleigh-1626887570895425/" TargetMode="External" Id="rId652" /><Relationship Type="http://schemas.openxmlformats.org/officeDocument/2006/relationships/hyperlink" Target="https://www.google.com/maps/search/?api=1&amp;query=Intro+Hairdressing" TargetMode="External" Id="rId653" /><Relationship Type="http://schemas.openxmlformats.org/officeDocument/2006/relationships/hyperlink" Target="https://www.facebook.com/jeanniesbarbershop/" TargetMode="External" Id="rId654" /><Relationship Type="http://schemas.openxmlformats.org/officeDocument/2006/relationships/hyperlink" Target="https://www.google.com/maps/search/?api=1&amp;query=Jeannie%27s+Barber+Shop" TargetMode="External" Id="rId655" /><Relationship Type="http://schemas.openxmlformats.org/officeDocument/2006/relationships/hyperlink" Target="https://www.facebook.com/KelisKutz/" TargetMode="External" Id="rId656" /><Relationship Type="http://schemas.openxmlformats.org/officeDocument/2006/relationships/hyperlink" Target="https://www.google.com/maps/search/?api=1&amp;query=Keli%27s+Kuts" TargetMode="External" Id="rId657" /><Relationship Type="http://schemas.openxmlformats.org/officeDocument/2006/relationships/hyperlink" Target="https://www.facebook.com/loveisinthehairhairsalon/" TargetMode="External" Id="rId658" /><Relationship Type="http://schemas.openxmlformats.org/officeDocument/2006/relationships/hyperlink" Target="https://www.google.com/maps/search/?api=1&amp;query=Love+is+in+the+hair" TargetMode="External" Id="rId659" /><Relationship Type="http://schemas.openxmlformats.org/officeDocument/2006/relationships/hyperlink" Target="https://www.facebook.com/NewlengthsNobbyBeach/" TargetMode="External" Id="rId660" /><Relationship Type="http://schemas.openxmlformats.org/officeDocument/2006/relationships/hyperlink" Target="https://www.google.com/maps/search/?api=1&amp;query=Newlengths+Hairdressing" TargetMode="External" Id="rId661" /><Relationship Type="http://schemas.openxmlformats.org/officeDocument/2006/relationships/hyperlink" Target="https://www.facebook.com/p/Old-Wileys-Barbershop-100063607865296/" TargetMode="External" Id="rId662" /><Relationship Type="http://schemas.openxmlformats.org/officeDocument/2006/relationships/hyperlink" Target="https://www.google.com/maps/search/?api=1&amp;query=Old+Wiley%27s+Barbershop" TargetMode="External" Id="rId663" /><Relationship Type="http://schemas.openxmlformats.org/officeDocument/2006/relationships/hyperlink" Target="https://www.facebook.com/profile.php?id=100063804390042" TargetMode="External" Id="rId664" /><Relationship Type="http://schemas.openxmlformats.org/officeDocument/2006/relationships/hyperlink" Target="https://www.google.com/maps/search/?api=1&amp;query=Rachael%27s+Hair+Studio" TargetMode="External" Id="rId665" /><Relationship Type="http://schemas.openxmlformats.org/officeDocument/2006/relationships/hyperlink" Target="https://www.facebook.com/people/Salty-dogs-barber-shop/100050556597140/" TargetMode="External" Id="rId666" /><Relationship Type="http://schemas.openxmlformats.org/officeDocument/2006/relationships/hyperlink" Target="https://www.google.com/maps/search/?api=1&amp;query=Saltydogs+Barber+Shop+10+Fifth+Avenue" TargetMode="External" Id="rId667" /><Relationship Type="http://schemas.openxmlformats.org/officeDocument/2006/relationships/hyperlink" Target="https://www.instagram.com/styleaddict_hairmastery/?hl=en" TargetMode="External" Id="rId668" /><Relationship Type="http://schemas.openxmlformats.org/officeDocument/2006/relationships/hyperlink" Target="https://www.google.com/maps/search/?api=1&amp;query=Style+Addict" TargetMode="External" Id="rId669" /><Relationship Type="http://schemas.openxmlformats.org/officeDocument/2006/relationships/hyperlink" Target="https://instagram.com/this.studioandco" TargetMode="External" Id="rId670" /><Relationship Type="http://schemas.openxmlformats.org/officeDocument/2006/relationships/hyperlink" Target="https://facebook.com/this.studioandco" TargetMode="External" Id="rId671" /><Relationship Type="http://schemas.openxmlformats.org/officeDocument/2006/relationships/hyperlink" Target="https://thisstudioandco.com.au" TargetMode="External" Id="rId672" /><Relationship Type="http://schemas.openxmlformats.org/officeDocument/2006/relationships/hyperlink" Target="https://www.google.com/maps/search/?api=1&amp;query=This+studio%26co" TargetMode="External" Id="rId673" /><Relationship Type="http://schemas.openxmlformats.org/officeDocument/2006/relationships/hyperlink" Target="https://www.facebook.com/zinahairstudio/" TargetMode="External" Id="rId674" /><Relationship Type="http://schemas.openxmlformats.org/officeDocument/2006/relationships/hyperlink" Target="https://www.google.com/maps/search/?api=1&amp;query=Zina+Hair+Studio" TargetMode="External" Id="rId675" /><Relationship Type="http://schemas.openxmlformats.org/officeDocument/2006/relationships/hyperlink" Target="https://www.instagram.com/lv_lashes.and.brows/" TargetMode="External" Id="rId676" /><Relationship Type="http://schemas.openxmlformats.org/officeDocument/2006/relationships/hyperlink" Target="https://www.google.com/maps/search/?api=1&amp;query=LV+lashes+%26+brows+3%2F121+Sunshine+Boulevard" TargetMode="External" Id="rId677" /><Relationship Type="http://schemas.openxmlformats.org/officeDocument/2006/relationships/hyperlink" Target="https://www.facebook.com/frontyardsgc/" TargetMode="External" Id="rId678" /><Relationship Type="http://schemas.openxmlformats.org/officeDocument/2006/relationships/hyperlink" Target="https://www.google.com/maps/search/?api=1&amp;query=The+Courtyard+Co+36+Seabeach+Avenue" TargetMode="External" Id="rId679" /><Relationship Type="http://schemas.openxmlformats.org/officeDocument/2006/relationships/hyperlink" Target="https://facebook.com/people/Desire-on-James/100057670328902" TargetMode="External" Id="rId680" /><Relationship Type="http://schemas.openxmlformats.org/officeDocument/2006/relationships/hyperlink" Target="https://www.google.com/maps/search/?api=1&amp;query=Desire+50+James+Street" TargetMode="External" Id="rId681" /><Relationship Type="http://schemas.openxmlformats.org/officeDocument/2006/relationships/hyperlink" Target="https://www.facebook.com/2251GCHWY/" TargetMode="External" Id="rId682" /><Relationship Type="http://schemas.openxmlformats.org/officeDocument/2006/relationships/hyperlink" Target="https://www.google.com/maps/search/?api=1&amp;query=The+Best+Things+Jewellery" TargetMode="External" Id="rId683" /><Relationship Type="http://schemas.openxmlformats.org/officeDocument/2006/relationships/hyperlink" Target="https://www.facebook.com/Bjsnacksburleighheads/" TargetMode="External" Id="rId684" /><Relationship Type="http://schemas.openxmlformats.org/officeDocument/2006/relationships/hyperlink" Target="https://www.google.com/maps/search/?api=1&amp;query=BJ+Snacks" TargetMode="External" Id="rId685" /><Relationship Type="http://schemas.openxmlformats.org/officeDocument/2006/relationships/hyperlink" Target="https://www.facebook.com/Cafe-Biaggi-110229862373489/" TargetMode="External" Id="rId686" /><Relationship Type="http://schemas.openxmlformats.org/officeDocument/2006/relationships/hyperlink" Target="https://www.google.com/maps/search/?api=1&amp;query=Caf%C3%A9+Biaggi" TargetMode="External" Id="rId687" /><Relationship Type="http://schemas.openxmlformats.org/officeDocument/2006/relationships/hyperlink" Target="https://www.facebook.com/CanteenCoffeeandKitchen/" TargetMode="External" Id="rId688" /><Relationship Type="http://schemas.openxmlformats.org/officeDocument/2006/relationships/hyperlink" Target="https://www.google.com/maps/search/?api=1&amp;query=Canteen+Coffee+23+Park+Avenue" TargetMode="External" Id="rId689" /><Relationship Type="http://schemas.openxmlformats.org/officeDocument/2006/relationships/hyperlink" Target="https://www.facebook.com/Commune-188007077908552/" TargetMode="External" Id="rId690" /><Relationship Type="http://schemas.openxmlformats.org/officeDocument/2006/relationships/hyperlink" Target="https://www.google.com/maps/search/?api=1&amp;query=Commune+1844+Gold+Coast+Highway" TargetMode="External" Id="rId691" /><Relationship Type="http://schemas.openxmlformats.org/officeDocument/2006/relationships/hyperlink" Target="https://www.facebook.com/dailygrindburleigh/" TargetMode="External" Id="rId692" /><Relationship Type="http://schemas.openxmlformats.org/officeDocument/2006/relationships/hyperlink" Target="https://www.google.com/maps/search/?api=1&amp;query=Daily+Grind" TargetMode="External" Id="rId693" /><Relationship Type="http://schemas.openxmlformats.org/officeDocument/2006/relationships/hyperlink" Target="https://www.instagram.com/cafe_bar_dokidoki/" TargetMode="External" Id="rId694" /><Relationship Type="http://schemas.openxmlformats.org/officeDocument/2006/relationships/hyperlink" Target="https://www.google.com/maps/search/?api=1&amp;query=Doki+Doki+Cafe+Bar" TargetMode="External" Id="rId695" /><Relationship Type="http://schemas.openxmlformats.org/officeDocument/2006/relationships/hyperlink" Target="https://www.facebook.com/FreshCoffeeBarVarsity/" TargetMode="External" Id="rId696" /><Relationship Type="http://schemas.openxmlformats.org/officeDocument/2006/relationships/hyperlink" Target="https://www.google.com/maps/search/?api=1&amp;query=Fresh+Coffee+Bar" TargetMode="External" Id="rId697" /><Relationship Type="http://schemas.openxmlformats.org/officeDocument/2006/relationships/hyperlink" Target="https://www.facebook.com/hidenseekespresso13/" TargetMode="External" Id="rId698" /><Relationship Type="http://schemas.openxmlformats.org/officeDocument/2006/relationships/hyperlink" Target="https://www.google.com/maps/search/?api=1&amp;query=Hide+N+Seek+Espresso" TargetMode="External" Id="rId699" /><Relationship Type="http://schemas.openxmlformats.org/officeDocument/2006/relationships/hyperlink" Target="https://www.instagram.com/littlebanditscoffee/" TargetMode="External" Id="rId700" /><Relationship Type="http://schemas.openxmlformats.org/officeDocument/2006/relationships/hyperlink" Target="https://www.google.com/maps/search/?api=1&amp;query=Little+Bandits+Coffee+%26+More" TargetMode="External" Id="rId701" /><Relationship Type="http://schemas.openxmlformats.org/officeDocument/2006/relationships/hyperlink" Target="https://www.facebook.com/morecoffeepleasecafe/" TargetMode="External" Id="rId702" /><Relationship Type="http://schemas.openxmlformats.org/officeDocument/2006/relationships/hyperlink" Target="https://www.google.com/maps/search/?api=1&amp;query=More+Coffee+Please" TargetMode="External" Id="rId703" /><Relationship Type="http://schemas.openxmlformats.org/officeDocument/2006/relationships/hyperlink" Target="https://instagram.com/nicheandco" TargetMode="External" Id="rId704" /><Relationship Type="http://schemas.openxmlformats.org/officeDocument/2006/relationships/hyperlink" Target="https://facebook.com/nicheandco" TargetMode="External" Id="rId705" /><Relationship Type="http://schemas.openxmlformats.org/officeDocument/2006/relationships/hyperlink" Target="https://nicheandco.com.au" TargetMode="External" Id="rId706" /><Relationship Type="http://schemas.openxmlformats.org/officeDocument/2006/relationships/hyperlink" Target="https://www.google.com/maps/search/?api=1&amp;query=Niche+%26+Co+449+Golden+Four+Drive" TargetMode="External" Id="rId707" /><Relationship Type="http://schemas.openxmlformats.org/officeDocument/2006/relationships/hyperlink" Target="https://www.instagram.com/profile_coffee_colab/" TargetMode="External" Id="rId708" /><Relationship Type="http://schemas.openxmlformats.org/officeDocument/2006/relationships/hyperlink" Target="https://www.google.com/maps/search/?api=1&amp;query=Profile+Coffee+Co-Lab" TargetMode="External" Id="rId709" /><Relationship Type="http://schemas.openxmlformats.org/officeDocument/2006/relationships/hyperlink" Target="https://instagram.com/quadeandco" TargetMode="External" Id="rId710" /><Relationship Type="http://schemas.openxmlformats.org/officeDocument/2006/relationships/hyperlink" Target="https://facebook.com/quadeandco" TargetMode="External" Id="rId711" /><Relationship Type="http://schemas.openxmlformats.org/officeDocument/2006/relationships/hyperlink" Target="https://www.google.com/maps/search/?api=1&amp;query=Quade+%26+Co+2098+Gold+Coast+Highway+Miami" TargetMode="External" Id="rId712" /><Relationship Type="http://schemas.openxmlformats.org/officeDocument/2006/relationships/hyperlink" Target="https://www.facebook.com/marieanitas/" TargetMode="External" Id="rId713" /><Relationship Type="http://schemas.openxmlformats.org/officeDocument/2006/relationships/hyperlink" Target="https://www.google.com/maps/search/?api=1&amp;query=See+Y%C3%B6+Cafe+%26+Bakery" TargetMode="External" Id="rId714" /><Relationship Type="http://schemas.openxmlformats.org/officeDocument/2006/relationships/hyperlink" Target="https://www.instagram.com/sens_coffee_co/" TargetMode="External" Id="rId715" /><Relationship Type="http://schemas.openxmlformats.org/officeDocument/2006/relationships/hyperlink" Target="https://www.facebook.com/p/SENS-COFEE-CO-Southport-61564429171125/" TargetMode="External" Id="rId716" /><Relationship Type="http://schemas.openxmlformats.org/officeDocument/2006/relationships/hyperlink" Target="https://www.google.com/maps/search/?api=1&amp;query=Sens+Coffee+Co+2+Como+Crescent" TargetMode="External" Id="rId717" /><Relationship Type="http://schemas.openxmlformats.org/officeDocument/2006/relationships/hyperlink" Target="https://www.facebook.com/socialbrewburleigh/" TargetMode="External" Id="rId718" /><Relationship Type="http://schemas.openxmlformats.org/officeDocument/2006/relationships/hyperlink" Target="https://www.google.com/maps/search/?api=1&amp;query=Social+Brew" TargetMode="External" Id="rId719" /><Relationship Type="http://schemas.openxmlformats.org/officeDocument/2006/relationships/hyperlink" Target="https://www.facebook.com/StreetCornerEspresso/" TargetMode="External" Id="rId720" /><Relationship Type="http://schemas.openxmlformats.org/officeDocument/2006/relationships/hyperlink" Target="https://www.google.com/maps/search/?api=1&amp;query=Street+Corner+Espresso" TargetMode="External" Id="rId721" /><Relationship Type="http://schemas.openxmlformats.org/officeDocument/2006/relationships/hyperlink" Target="https://www.facebook.com/thekumarapatch/" TargetMode="External" Id="rId722" /><Relationship Type="http://schemas.openxmlformats.org/officeDocument/2006/relationships/hyperlink" Target="https://www.google.com/maps/search/?api=1&amp;query=The+Kumara+Patch" TargetMode="External" Id="rId723" /><Relationship Type="http://schemas.openxmlformats.org/officeDocument/2006/relationships/hyperlink" Target="https://www.instagram.com/the_palmcoffee" TargetMode="External" Id="rId724" /><Relationship Type="http://schemas.openxmlformats.org/officeDocument/2006/relationships/hyperlink" Target="https://www.facebook.com/thepalmscoffees/" TargetMode="External" Id="rId725" /><Relationship Type="http://schemas.openxmlformats.org/officeDocument/2006/relationships/hyperlink" Target="https://www.google.com/maps/search/?api=1&amp;query=The+Palm+Coffee+83+Cypress+Terrace" TargetMode="External" Id="rId726" /><Relationship Type="http://schemas.openxmlformats.org/officeDocument/2006/relationships/hyperlink" Target="https://www.facebook.com/thepresscafecoomera/" TargetMode="External" Id="rId727" /><Relationship Type="http://schemas.openxmlformats.org/officeDocument/2006/relationships/hyperlink" Target="https://www.google.com/maps/search/?api=1&amp;query=The+Press+Cafe+25+Harbour+Village+Parade+Coomera" TargetMode="External" Id="rId728" /><Relationship Type="http://schemas.openxmlformats.org/officeDocument/2006/relationships/hyperlink" Target="https://www.facebook.com/treehouseonthehill/" TargetMode="External" Id="rId729" /><Relationship Type="http://schemas.openxmlformats.org/officeDocument/2006/relationships/hyperlink" Target="https://www.google.com/maps/search/?api=1&amp;query=The+Treehouse+161+Long+Road+Tamborine+Mountain" TargetMode="External" Id="rId730" /><Relationship Type="http://schemas.openxmlformats.org/officeDocument/2006/relationships/hyperlink" Target="https://www.instagram.com/thirdbasepalmbeach/" TargetMode="External" Id="rId731" /><Relationship Type="http://schemas.openxmlformats.org/officeDocument/2006/relationships/hyperlink" Target="https://www.google.com/maps/search/?api=1&amp;query=Third+Base+24+Philippine+Parade" TargetMode="External" Id="rId732" /><Relationship Type="http://schemas.openxmlformats.org/officeDocument/2006/relationships/hyperlink" Target="https://www.instagram.com/vegepatchstudios" TargetMode="External" Id="rId733" /><Relationship Type="http://schemas.openxmlformats.org/officeDocument/2006/relationships/hyperlink" Target="https://www.google.com/maps/search/?api=1&amp;query=Vegepatch+Studios+10+Fifth+Avenue" TargetMode="External" Id="rId734" /><Relationship Type="http://schemas.openxmlformats.org/officeDocument/2006/relationships/hyperlink" Target="https://www.facebook.com/Broccoli.Brothers.Treetops.Plaza/" TargetMode="External" Id="rId735" /><Relationship Type="http://schemas.openxmlformats.org/officeDocument/2006/relationships/hyperlink" Target="https://www.google.com/maps/search/?api=1&amp;query=Broccoli+Brothers" TargetMode="External" Id="rId736" /><Relationship Type="http://schemas.openxmlformats.org/officeDocument/2006/relationships/hyperlink" Target="https://www.facebook.com/p/Gold-Coast-Growers-Market-100063543881581/" TargetMode="External" Id="rId737" /><Relationship Type="http://schemas.openxmlformats.org/officeDocument/2006/relationships/hyperlink" Target="https://www.google.com/maps/search/?api=1&amp;query=Gold+Coast+Growers+Market" TargetMode="External" Id="rId738" /><Relationship Type="http://schemas.openxmlformats.org/officeDocument/2006/relationships/hyperlink" Target="https://www.facebook.com/Kingswoodparkbutchery/" TargetMode="External" Id="rId739" /><Relationship Type="http://schemas.openxmlformats.org/officeDocument/2006/relationships/hyperlink" Target="https://www.google.com/maps/search/?api=1&amp;query=Kingswood+Park+Butchery+15+Palm+Beach+Avenue" TargetMode="External" Id="rId740" /><Relationship Type="http://schemas.openxmlformats.org/officeDocument/2006/relationships/hyperlink" Target="https://www.instagram.com/lakeside_quality_meats" TargetMode="External" Id="rId741" /><Relationship Type="http://schemas.openxmlformats.org/officeDocument/2006/relationships/hyperlink" Target="https://www.facebook.com/lakesidequalitymeatspalmbeach/" TargetMode="External" Id="rId742" /><Relationship Type="http://schemas.openxmlformats.org/officeDocument/2006/relationships/hyperlink" Target="https://www.google.com/maps/search/?api=1&amp;query=Lakeside+Quality+Meats+17+Philippine+Parade" TargetMode="External" Id="rId743" /><Relationship Type="http://schemas.openxmlformats.org/officeDocument/2006/relationships/hyperlink" Target="https://www.facebook.com/lovedaysqualitymeats/" TargetMode="External" Id="rId744" /><Relationship Type="http://schemas.openxmlformats.org/officeDocument/2006/relationships/hyperlink" Target="https://www.google.com/maps/search/?api=1&amp;query=Loveday%E2%80%99s+Quality+Meats" TargetMode="External" Id="rId745" /><Relationship Type="http://schemas.openxmlformats.org/officeDocument/2006/relationships/hyperlink" Target="https://www.instagram.com/saltandsmoke_meatco/" TargetMode="External" Id="rId746" /><Relationship Type="http://schemas.openxmlformats.org/officeDocument/2006/relationships/hyperlink" Target="https://www.facebook.com/saltandsmokemeatco/" TargetMode="External" Id="rId747" /><Relationship Type="http://schemas.openxmlformats.org/officeDocument/2006/relationships/hyperlink" Target="https://www.google.com/maps/search/?api=1&amp;query=Salt+%26+Smoke+Meat+Co+10+Fifth+Avenue" TargetMode="External" Id="rId748" /><Relationship Type="http://schemas.openxmlformats.org/officeDocument/2006/relationships/hyperlink" Target="https://facebook.com/thebutcherstablenerang" TargetMode="External" Id="rId749" /><Relationship Type="http://schemas.openxmlformats.org/officeDocument/2006/relationships/hyperlink" Target="https://www.google.com/maps/search/?api=1&amp;query=The+Butcher%27s+Table" TargetMode="External" Id="rId750" /><Relationship Type="http://schemas.openxmlformats.org/officeDocument/2006/relationships/hyperlink" Target="https://instagram.com/vishnusfreshfruitsanvegetables" TargetMode="External" Id="rId751" /><Relationship Type="http://schemas.openxmlformats.org/officeDocument/2006/relationships/hyperlink" Target="https://facebook.com/people/Vish-Fruit-veg/100063856403485" TargetMode="External" Id="rId752" /><Relationship Type="http://schemas.openxmlformats.org/officeDocument/2006/relationships/hyperlink" Target="https://www.google.com/maps/search/?api=1&amp;query=Vish+Fruit+%26+Veg" TargetMode="External" Id="rId753" /><Relationship Type="http://schemas.openxmlformats.org/officeDocument/2006/relationships/hyperlink" Target="https://www.facebook.com/ImpactFurnitureFinishers/" TargetMode="External" Id="rId754" /><Relationship Type="http://schemas.openxmlformats.org/officeDocument/2006/relationships/hyperlink" Target="https://www.google.com/maps/search/?api=1&amp;query=Impact+Furniture+Finishers" TargetMode="External" Id="rId755" /><Relationship Type="http://schemas.openxmlformats.org/officeDocument/2006/relationships/hyperlink" Target="https://www.facebook.com/starketraining/" TargetMode="External" Id="rId756" /><Relationship Type="http://schemas.openxmlformats.org/officeDocument/2006/relationships/hyperlink" Target="https://www.google.com/maps/search/?api=1&amp;query=Starke+Fitness" TargetMode="External" Id="rId757" /><Relationship Type="http://schemas.openxmlformats.org/officeDocument/2006/relationships/hyperlink" Target="https://www.facebook.com/BundallSmash/" TargetMode="External" Id="rId758" /><Relationship Type="http://schemas.openxmlformats.org/officeDocument/2006/relationships/hyperlink" Target="https://www.google.com/maps/search/?api=1&amp;query=Bundall+Smash+Repairs" TargetMode="External" Id="rId759" /><Relationship Type="http://schemas.openxmlformats.org/officeDocument/2006/relationships/hyperlink" Target="https://www.facebook.com/Craigs-Detailing-118049508275423/" TargetMode="External" Id="rId760" /><Relationship Type="http://schemas.openxmlformats.org/officeDocument/2006/relationships/hyperlink" Target="https://www.google.com/maps/search/?api=1&amp;query=Craig%27s+Detailing" TargetMode="External" Id="rId761" /><Relationship Type="http://schemas.openxmlformats.org/officeDocument/2006/relationships/hyperlink" Target="https://www.facebook.com/pages/category/Automotive-Repair-Shop/George-Gray-Motors-1800438436943462/" TargetMode="External" Id="rId762" /><Relationship Type="http://schemas.openxmlformats.org/officeDocument/2006/relationships/hyperlink" Target="https://www.google.com/maps/search/?api=1&amp;query=George+Gray+Motors" TargetMode="External" Id="rId763" /><Relationship Type="http://schemas.openxmlformats.org/officeDocument/2006/relationships/hyperlink" Target="https://www.facebook.com/pages/Guys-Bodyworks-Southport/190128311365007" TargetMode="External" Id="rId764" /><Relationship Type="http://schemas.openxmlformats.org/officeDocument/2006/relationships/hyperlink" Target="https://www.google.com/maps/search/?api=1&amp;query=Guys+Bodyworks" TargetMode="External" Id="rId765" /><Relationship Type="http://schemas.openxmlformats.org/officeDocument/2006/relationships/hyperlink" Target="https://www.facebook.com/p/Toyotechniks-100063546062838/" TargetMode="External" Id="rId766" /><Relationship Type="http://schemas.openxmlformats.org/officeDocument/2006/relationships/hyperlink" Target="https://www.google.com/maps/search/?api=1&amp;query=ToyoTechniks" TargetMode="External" Id="rId767" /><Relationship Type="http://schemas.openxmlformats.org/officeDocument/2006/relationships/hyperlink" Target="https://www.facebook.com/p/Woodys-Auto-Electrics-100054551465189/" TargetMode="External" Id="rId768" /><Relationship Type="http://schemas.openxmlformats.org/officeDocument/2006/relationships/hyperlink" Target="https://www.google.com/maps/search/?api=1&amp;query=Woodys+Auto+Electrics" TargetMode="External" Id="rId769" /><Relationship Type="http://schemas.openxmlformats.org/officeDocument/2006/relationships/hyperlink" Target="https://www.facebook.com/pg/Burleigh-Pet-Stockfeed-Supplies-893075937451992/about/" TargetMode="External" Id="rId770" /><Relationship Type="http://schemas.openxmlformats.org/officeDocument/2006/relationships/hyperlink" Target="https://www.google.com/maps/search/?api=1&amp;query=Burleigh+Pet+%26+Stockfeed+Supplies" TargetMode="External" Id="rId771" /><Relationship Type="http://schemas.openxmlformats.org/officeDocument/2006/relationships/hyperlink" Target="https://www.facebook.com/www.facebook.com/pages/german-Sausages" TargetMode="External" Id="rId772" /><Relationship Type="http://schemas.openxmlformats.org/officeDocument/2006/relationships/hyperlink" Target="https://www.google.com/maps/search/?api=1&amp;query=German+Sausages+3018+shop+2+Surfers+Paradise+Boulevard+Surfers+Paradise" TargetMode="External" Id="rId773" /><Relationship Type="http://schemas.openxmlformats.org/officeDocument/2006/relationships/hyperlink" Target="https://www.facebook.com/profile.php?id=100065273629487" TargetMode="External" Id="rId774" /><Relationship Type="http://schemas.openxmlformats.org/officeDocument/2006/relationships/hyperlink" Target="https://www.google.com/maps/search/?api=1&amp;query=Magic+Wok+Chinese+Restaurant" TargetMode="External" Id="rId775" /><Relationship Type="http://schemas.openxmlformats.org/officeDocument/2006/relationships/hyperlink" Target="https://www.facebook.com/pages/Master-Sushi/157277494310497" TargetMode="External" Id="rId776" /><Relationship Type="http://schemas.openxmlformats.org/officeDocument/2006/relationships/hyperlink" Target="https://www.google.com/maps/search/?api=1&amp;query=Master+Sushi" TargetMode="External" Id="rId777" /><Relationship Type="http://schemas.openxmlformats.org/officeDocument/2006/relationships/hyperlink" Target="https://www.facebook.com/p/Michaels-Kitchen-Chinese-Takeaway-100063715285734/" TargetMode="External" Id="rId778" /><Relationship Type="http://schemas.openxmlformats.org/officeDocument/2006/relationships/hyperlink" Target="https://www.google.com/maps/search/?api=1&amp;query=Michael%27s+Kitchen" TargetMode="External" Id="rId779" /><Relationship Type="http://schemas.openxmlformats.org/officeDocument/2006/relationships/hyperlink" Target="https://www.facebook.com/goldcoastshogunjapaneserestaurant" TargetMode="External" Id="rId780" /><Relationship Type="http://schemas.openxmlformats.org/officeDocument/2006/relationships/hyperlink" Target="https://www.google.com/maps/search/?api=1&amp;query=Shogun+Japanese" TargetMode="External" Id="rId781" /><Relationship Type="http://schemas.openxmlformats.org/officeDocument/2006/relationships/hyperlink" Target="https://www.facebook.com/sognoitalian0/" TargetMode="External" Id="rId782" /><Relationship Type="http://schemas.openxmlformats.org/officeDocument/2006/relationships/hyperlink" Target="https://www.google.com/maps/search/?api=1&amp;query=Sogno+Italiano" TargetMode="External" Id="rId783" /><Relationship Type="http://schemas.openxmlformats.org/officeDocument/2006/relationships/hyperlink" Target="https://www.facebook.com/p/Supranees-pork-crackling-thai-groceries-100064069959236/" TargetMode="External" Id="rId784" /><Relationship Type="http://schemas.openxmlformats.org/officeDocument/2006/relationships/hyperlink" Target="https://www.google.com/maps/search/?api=1&amp;query=Supranee%E2%80%99s+Pork+Crackling" TargetMode="External" Id="rId785" /><Relationship Type="http://schemas.openxmlformats.org/officeDocument/2006/relationships/hyperlink" Target="https://www.instagram.com/sushitrain_coomera/" TargetMode="External" Id="rId786" /><Relationship Type="http://schemas.openxmlformats.org/officeDocument/2006/relationships/hyperlink" Target="https://www.google.com/maps/search/?api=1&amp;query=Sushi+Train" TargetMode="External" Id="rId787" /><Relationship Type="http://schemas.openxmlformats.org/officeDocument/2006/relationships/hyperlink" Target="https://www.facebook.com/SushiAtPalmBeach/" TargetMode="External" Id="rId788" /><Relationship Type="http://schemas.openxmlformats.org/officeDocument/2006/relationships/hyperlink" Target="https://www.google.com/maps/search/?api=1&amp;query=Sushi+at+Palm+Beach" TargetMode="External" Id="rId789" /><Relationship Type="http://schemas.openxmlformats.org/officeDocument/2006/relationships/hyperlink" Target="https://www.facebook.com/thegreekjointburleigh" TargetMode="External" Id="rId790" /><Relationship Type="http://schemas.openxmlformats.org/officeDocument/2006/relationships/hyperlink" Target="https://www.google.com/maps/search/?api=1&amp;query=The+Greek+Joint+Brews+And+BBQs" TargetMode="External" Id="rId791" /><Relationship Type="http://schemas.openxmlformats.org/officeDocument/2006/relationships/hyperlink" Target="https://www.instagram.com/tokyokitchenpalmbeach/" TargetMode="External" Id="rId792" /><Relationship Type="http://schemas.openxmlformats.org/officeDocument/2006/relationships/hyperlink" Target="https://www.google.com/maps/search/?api=1&amp;query=Tokyo+Kitchen" TargetMode="External" Id="rId793" /><Relationship Type="http://schemas.openxmlformats.org/officeDocument/2006/relationships/hyperlink" Target="https://www.facebook.com/p/Zhang-Liang-Malatang-Southport-100076346656014/" TargetMode="External" Id="rId794" /><Relationship Type="http://schemas.openxmlformats.org/officeDocument/2006/relationships/hyperlink" Target="https://www.google.com/maps/search/?api=1&amp;query=Zhang+Liang+Malatang" TargetMode="External" Id="rId795" /><Relationship Type="http://schemas.openxmlformats.org/officeDocument/2006/relationships/hyperlink" Target="https://www.facebook.com/people/Fat-Chicken-West-Burleigh/100063635289144/" TargetMode="External" Id="rId796" /><Relationship Type="http://schemas.openxmlformats.org/officeDocument/2006/relationships/hyperlink" Target="https://www.google.com/maps/search/?api=1&amp;query=Fat+Chicken+5+Tallebudgera+Creek+Road" TargetMode="External" Id="rId797" /><Relationship Type="http://schemas.openxmlformats.org/officeDocument/2006/relationships/hyperlink" Target="https://www.facebook.com/MOFOSTWEEDHEADS/" TargetMode="External" Id="rId798" /><Relationship Type="http://schemas.openxmlformats.org/officeDocument/2006/relationships/hyperlink" Target="https://www.google.com/maps/search/?api=1&amp;query=MOFOS+Tweed+Heads+67A+Minjungbal+Drive" TargetMode="External" Id="rId799" /><Relationship Type="http://schemas.openxmlformats.org/officeDocument/2006/relationships/hyperlink" Target="https://www.facebook.com/notoriouseat/" TargetMode="External" Id="rId800" /><Relationship Type="http://schemas.openxmlformats.org/officeDocument/2006/relationships/hyperlink" Target="https://www.google.com/maps/search/?api=1&amp;query=Notorious+E.A.T+Food+Truck" TargetMode="External" Id="rId801" /><Relationship Type="http://schemas.openxmlformats.org/officeDocument/2006/relationships/hyperlink" Target="https://www.facebook.com/hareetattoostudio/" TargetMode="External" Id="rId802" /><Relationship Type="http://schemas.openxmlformats.org/officeDocument/2006/relationships/hyperlink" Target="https://www.google.com/maps/search/?api=1&amp;query=Haree+Tattoo+Studio" TargetMode="External" Id="rId803" /><Relationship Type="http://schemas.openxmlformats.org/officeDocument/2006/relationships/hyperlink" Target="https://instagram.com/inkhanced" TargetMode="External" Id="rId804" /><Relationship Type="http://schemas.openxmlformats.org/officeDocument/2006/relationships/hyperlink" Target="https://facebook.com/Inkhanced" TargetMode="External" Id="rId805" /><Relationship Type="http://schemas.openxmlformats.org/officeDocument/2006/relationships/hyperlink" Target="https://www.google.com/maps/search/?api=1&amp;query=Inkhanced+Cosmetic+Tattoo" TargetMode="External" Id="rId806" /><Relationship Type="http://schemas.openxmlformats.org/officeDocument/2006/relationships/hyperlink" Target="https://www.instagram.com/lafemmetattoohouse/" TargetMode="External" Id="rId807" /><Relationship Type="http://schemas.openxmlformats.org/officeDocument/2006/relationships/hyperlink" Target="https://www.google.com/maps/search/?api=1&amp;query=La+Femme+Tattoo+House" TargetMode="External" Id="rId808" /><Relationship Type="http://schemas.openxmlformats.org/officeDocument/2006/relationships/hyperlink" Target="https://instagram.com/visiontattoomiami" TargetMode="External" Id="rId809" /><Relationship Type="http://schemas.openxmlformats.org/officeDocument/2006/relationships/hyperlink" Target="https://facebook.com/visiontattoomiami" TargetMode="External" Id="rId810" /><Relationship Type="http://schemas.openxmlformats.org/officeDocument/2006/relationships/hyperlink" Target="https://www.google.com/maps/search/?api=1&amp;query=Vision+Tattoo+Studio" TargetMode="External" Id="rId811" /><Relationship Type="http://schemas.openxmlformats.org/officeDocument/2006/relationships/hyperlink" Target="https://www.facebook.com/FederalHotelIpswich/" TargetMode="External" Id="rId812" /><Relationship Type="http://schemas.openxmlformats.org/officeDocument/2006/relationships/hyperlink" Target="https://www.google.com/maps/search/?api=1&amp;query=Federal+Hotel+214+Brisbane+Street+Ipswich" TargetMode="External" Id="rId813" /><Relationship Type="http://schemas.openxmlformats.org/officeDocument/2006/relationships/hyperlink" Target="https://www.facebook.com/HeavyW8Barbers/" TargetMode="External" Id="rId814" /><Relationship Type="http://schemas.openxmlformats.org/officeDocument/2006/relationships/hyperlink" Target="https://www.google.com/maps/search/?api=1&amp;query=HeavyW8+Barbers+57A+Pine+Mountain+Road+North+Ipswich" TargetMode="External" Id="rId815" /><Relationship Type="http://schemas.openxmlformats.org/officeDocument/2006/relationships/hyperlink" Target="https://www.facebook.com/Ellenandrod/" TargetMode="External" Id="rId816" /><Relationship Type="http://schemas.openxmlformats.org/officeDocument/2006/relationships/hyperlink" Target="https://www.google.com/maps/search/?api=1&amp;query=Ellen+%26+Rod+Cafe+55+Ellenborough+Street+Ipswich" TargetMode="External" Id="rId817" /><Relationship Type="http://schemas.openxmlformats.org/officeDocument/2006/relationships/hyperlink" Target="https://www.facebook.com/thechamberscafe" TargetMode="External" Id="rId818" /><Relationship Type="http://schemas.openxmlformats.org/officeDocument/2006/relationships/hyperlink" Target="https://www.google.com/maps/search/?api=1&amp;query=The+Chambers+Cafe+43+Ellenborough+Street+Ipswich" TargetMode="External" Id="rId819" /><Relationship Type="http://schemas.openxmlformats.org/officeDocument/2006/relationships/hyperlink" Target="https://www.facebook.com/towercentralcafeipswich/" TargetMode="External" Id="rId820" /><Relationship Type="http://schemas.openxmlformats.org/officeDocument/2006/relationships/hyperlink" Target="https://www.google.com/maps/search/?api=1&amp;query=Tower+Central+Cafe+114+Brisbane+Street+Ipswich" TargetMode="External" Id="rId821" /><Relationship Type="http://schemas.openxmlformats.org/officeDocument/2006/relationships/hyperlink" Target="https://www.facebook.com/HoeInnFoodBar/" TargetMode="External" Id="rId822" /><Relationship Type="http://schemas.openxmlformats.org/officeDocument/2006/relationships/hyperlink" Target="https://www.google.com/maps/search/?api=1&amp;query=Hoe+Inn+Food+Bar+57+Limestone+Street+Ipswich" TargetMode="External" Id="rId823" /><Relationship Type="http://schemas.openxmlformats.org/officeDocument/2006/relationships/hyperlink" Target="https://www.instagram.com/miaalashes_/?igshid=YmMyMTA2M2Y=" TargetMode="External" Id="rId824" /><Relationship Type="http://schemas.openxmlformats.org/officeDocument/2006/relationships/hyperlink" Target="https://www.google.com/maps/search/?api=1&amp;query=Mia%C3%A1+Lashes+4+Centurion+Circuit" TargetMode="External" Id="rId825" /><Relationship Type="http://schemas.openxmlformats.org/officeDocument/2006/relationships/hyperlink" Target="https://facebook.com/hotpropertymackay" TargetMode="External" Id="rId826" /><Relationship Type="http://schemas.openxmlformats.org/officeDocument/2006/relationships/hyperlink" Target="https://www.google.com/maps/search/?api=1&amp;query=Hot+Property+Realty+118+Sams+Road" TargetMode="External" Id="rId827" /><Relationship Type="http://schemas.openxmlformats.org/officeDocument/2006/relationships/hyperlink" Target="https://www.facebook.com/sgcafe.com.au/" TargetMode="External" Id="rId828" /><Relationship Type="http://schemas.openxmlformats.org/officeDocument/2006/relationships/hyperlink" Target="https://www.google.com/maps/search/?api=1&amp;query=SG+Cafe+1+Ardrossan+Road" TargetMode="External" Id="rId829" /><Relationship Type="http://schemas.openxmlformats.org/officeDocument/2006/relationships/hyperlink" Target="https://www.facebook.com/profile.php/?id=100054399854687" TargetMode="External" Id="rId830" /><Relationship Type="http://schemas.openxmlformats.org/officeDocument/2006/relationships/hyperlink" Target="https://www.google.com/maps/search/?api=1&amp;query=Cuts+on+Cresthaven+40+Cresthaven+Drive" TargetMode="External" Id="rId831" /><Relationship Type="http://schemas.openxmlformats.org/officeDocument/2006/relationships/hyperlink" Target="https://www.facebook.com/haironarcher/" TargetMode="External" Id="rId832" /><Relationship Type="http://schemas.openxmlformats.org/officeDocument/2006/relationships/hyperlink" Target="https://www.google.com/maps/search/?api=1&amp;query=Hair+on+Archer" TargetMode="External" Id="rId833" /><Relationship Type="http://schemas.openxmlformats.org/officeDocument/2006/relationships/hyperlink" Target="https://www.facebook.com/SwayonBribie" TargetMode="External" Id="rId834" /><Relationship Type="http://schemas.openxmlformats.org/officeDocument/2006/relationships/hyperlink" Target="https://www.google.com/maps/search/?api=1&amp;query=Sway+on+Bribie+17+First+Avenue" TargetMode="External" Id="rId835" /><Relationship Type="http://schemas.openxmlformats.org/officeDocument/2006/relationships/hyperlink" Target="https://m.facebook.com/gatherandfeastcafe" TargetMode="External" Id="rId836" /><Relationship Type="http://schemas.openxmlformats.org/officeDocument/2006/relationships/hyperlink" Target="https://www.google.com/maps/search/?api=1&amp;query=Gather+and+Feast+7+James+Street" TargetMode="External" Id="rId837" /><Relationship Type="http://schemas.openxmlformats.org/officeDocument/2006/relationships/hyperlink" Target="https://www.facebook.com/thebeachshakcafe/" TargetMode="External" Id="rId838" /><Relationship Type="http://schemas.openxmlformats.org/officeDocument/2006/relationships/hyperlink" Target="https://www.google.com/maps/search/?api=1&amp;query=The+Beach+Shak+Cafe" TargetMode="External" Id="rId839" /><Relationship Type="http://schemas.openxmlformats.org/officeDocument/2006/relationships/hyperlink" Target="https://www.instagram.com/village_deli_bongaree/" TargetMode="External" Id="rId840" /><Relationship Type="http://schemas.openxmlformats.org/officeDocument/2006/relationships/hyperlink" Target="https://www.facebook.com/villagedelibongaree" TargetMode="External" Id="rId841" /><Relationship Type="http://schemas.openxmlformats.org/officeDocument/2006/relationships/hyperlink" Target="https://www.google.com/maps/search/?api=1&amp;query=Village+Deli+Bongaree+17+First+Avenue" TargetMode="External" Id="rId842" /><Relationship Type="http://schemas.openxmlformats.org/officeDocument/2006/relationships/hyperlink" Target="https://www.facebook.com/JezAutomotive/" TargetMode="External" Id="rId843" /><Relationship Type="http://schemas.openxmlformats.org/officeDocument/2006/relationships/hyperlink" Target="https://www.google.com/maps/search/?api=1&amp;query=JEZ+Automotive+2+Machinery+Parade+Caboolture" TargetMode="External" Id="rId844" /><Relationship Type="http://schemas.openxmlformats.org/officeDocument/2006/relationships/hyperlink" Target="https://www.facebook.com/profile.php/?id=100057076285153" TargetMode="External" Id="rId845" /><Relationship Type="http://schemas.openxmlformats.org/officeDocument/2006/relationships/hyperlink" Target="https://www.google.com/maps/search/?api=1&amp;query=Bongaree+Pet+Food+75+Cotterill+Avenue" TargetMode="External" Id="rId846" /><Relationship Type="http://schemas.openxmlformats.org/officeDocument/2006/relationships/hyperlink" Target="https://www.facebook.com/p/Council-Corner-Cafe-61560625214132/" TargetMode="External" Id="rId847" /><Relationship Type="http://schemas.openxmlformats.org/officeDocument/2006/relationships/hyperlink" Target="https://www.google.com/maps/search/?api=1&amp;query=Council+Corner+Cafe+2+Machinery+Parade" TargetMode="External" Id="rId848" /><Relationship Type="http://schemas.openxmlformats.org/officeDocument/2006/relationships/hyperlink" Target="https://www.facebook.com/fishermansdaughterdeceptionbay/" TargetMode="External" Id="rId849" /><Relationship Type="http://schemas.openxmlformats.org/officeDocument/2006/relationships/hyperlink" Target="https://www.google.com/maps/search/?api=1&amp;query=Fishermans+Daughter" TargetMode="External" Id="rId850" /><Relationship Type="http://schemas.openxmlformats.org/officeDocument/2006/relationships/hyperlink" Target="https://www.facebook.com/johnnyspizzaplace" TargetMode="External" Id="rId851" /><Relationship Type="http://schemas.openxmlformats.org/officeDocument/2006/relationships/hyperlink" Target="https://www.google.com/maps/search/?api=1&amp;query=Johnny%27s+Pizza+Place+13+Williams+Street" TargetMode="External" Id="rId852" /><Relationship Type="http://schemas.openxmlformats.org/officeDocument/2006/relationships/hyperlink" Target="https://www.facebook.com/emjaybeautyspa/" TargetMode="External" Id="rId853" /><Relationship Type="http://schemas.openxmlformats.org/officeDocument/2006/relationships/hyperlink" Target="https://www.google.com/maps/search/?api=1&amp;query=Emjay+Spa+%26+Beauty" TargetMode="External" Id="rId854" /><Relationship Type="http://schemas.openxmlformats.org/officeDocument/2006/relationships/hyperlink" Target="https://www.facebook.com/curlewcoochie" TargetMode="External" Id="rId855" /><Relationship Type="http://schemas.openxmlformats.org/officeDocument/2006/relationships/hyperlink" Target="https://www.google.com/maps/search/?api=1&amp;query=Curlew+Cafe+22+Victoria+Parade+South+Coochiemudlo+Island" TargetMode="External" Id="rId856" /><Relationship Type="http://schemas.openxmlformats.org/officeDocument/2006/relationships/hyperlink" Target="https://www.facebook.com/PelicanCafe293/" TargetMode="External" Id="rId857" /><Relationship Type="http://schemas.openxmlformats.org/officeDocument/2006/relationships/hyperlink" Target="https://www.google.com/maps/search/?api=1&amp;query=Pelican+Cafe+293+Esplanade+Redland+Bay" TargetMode="External" Id="rId858" /><Relationship Type="http://schemas.openxmlformats.org/officeDocument/2006/relationships/hyperlink" Target="https://www.facebook.com/103601592445707" TargetMode="External" Id="rId859" /><Relationship Type="http://schemas.openxmlformats.org/officeDocument/2006/relationships/hyperlink" Target="https://www.google.com/maps/search/?api=1&amp;query=The+Big+Mushroom+Fruit+Barn+88+Shore+Street+West+Ormiston" TargetMode="External" Id="rId860" /><Relationship Type="http://schemas.openxmlformats.org/officeDocument/2006/relationships/hyperlink" Target="https://www.facebook.com/p/Top-Gun-Restoration-100063707569188" TargetMode="External" Id="rId861" /><Relationship Type="http://schemas.openxmlformats.org/officeDocument/2006/relationships/hyperlink" Target="https://www.google.com/maps/search/?api=1&amp;query=Top+Gun+Restorations+65+Jardine+Drive+Redland+Bay" TargetMode="External" Id="rId862" /><Relationship Type="http://schemas.openxmlformats.org/officeDocument/2006/relationships/hyperlink" Target="https://www.facebook.com/KoalaParkVeterinarySurgery?mibextid=ZbWKwL" TargetMode="External" Id="rId863" /><Relationship Type="http://schemas.openxmlformats.org/officeDocument/2006/relationships/hyperlink" Target="https://www.google.com/maps/search/?api=1&amp;query=Koala+Park+Veterinary+Surgery+535+Cleveland+Redland+Bay+Road+Victoria+Point" TargetMode="External" Id="rId864" /><Relationship Type="http://schemas.openxmlformats.org/officeDocument/2006/relationships/hyperlink" Target="https://www.facebook.com/coochiemudloislandbeachbar" TargetMode="External" Id="rId865" /><Relationship Type="http://schemas.openxmlformats.org/officeDocument/2006/relationships/hyperlink" Target="https://www.google.com/maps/search/?api=1&amp;query=Coochiemudlo+Island+Beach+Bar+and+Grill+38+Victoria+Parade+South+Coochiemudlo+Island" TargetMode="External" Id="rId866" /><Relationship Type="http://schemas.openxmlformats.org/officeDocument/2006/relationships/hyperlink" Target="https://www.facebook.com/TheJettyStore/" TargetMode="External" Id="rId867" /><Relationship Type="http://schemas.openxmlformats.org/officeDocument/2006/relationships/hyperlink" Target="https://www.google.com/maps/search/?api=1&amp;query=Jetty+Store+II+47+Banana+Street+Redland+Bay" TargetMode="External" Id="rId868" /><Relationship Type="http://schemas.openxmlformats.org/officeDocument/2006/relationships/hyperlink" Target="https://www.instagram.com/thebakerspantrynoosa" TargetMode="External" Id="rId869" /><Relationship Type="http://schemas.openxmlformats.org/officeDocument/2006/relationships/hyperlink" Target="https://www.facebook.com/thebakerspantrynoosa" TargetMode="External" Id="rId870" /><Relationship Type="http://schemas.openxmlformats.org/officeDocument/2006/relationships/hyperlink" Target="https://www.google.com/maps/search/?api=1&amp;query=The+Bakers+Pantry+205+Weyba+Road+Noosaville" TargetMode="External" Id="rId871" /><Relationship Type="http://schemas.openxmlformats.org/officeDocument/2006/relationships/hyperlink" Target="https://www.facebook.com/homegrownpalmwoods/" TargetMode="External" Id="rId872" /><Relationship Type="http://schemas.openxmlformats.org/officeDocument/2006/relationships/hyperlink" Target="https://www.google.com/maps/search/?api=1&amp;query=Homegrown+Cafe+8+Main+Street" TargetMode="External" Id="rId873" /><Relationship Type="http://schemas.openxmlformats.org/officeDocument/2006/relationships/hyperlink" Target="https://www.facebook.com/namboursocial" TargetMode="External" Id="rId874" /><Relationship Type="http://schemas.openxmlformats.org/officeDocument/2006/relationships/hyperlink" Target="https://www.google.com/maps/search/?api=1&amp;query=Nambour+Social+59+Currie+Street+Nambour" TargetMode="External" Id="rId875" /><Relationship Type="http://schemas.openxmlformats.org/officeDocument/2006/relationships/hyperlink" Target="https://www.facebook.com/profile.php?id=100054504337824" TargetMode="External" Id="rId876" /><Relationship Type="http://schemas.openxmlformats.org/officeDocument/2006/relationships/hyperlink" Target="https://www.google.com/maps/search/?api=1&amp;query=Press+at+Noosa+3+Lanyana+Way+Noosa+Heads" TargetMode="External" Id="rId877" /><Relationship Type="http://schemas.openxmlformats.org/officeDocument/2006/relationships/hyperlink" Target="https://www.facebook.com/brownsugarespressonambour/" TargetMode="External" Id="rId878" /><Relationship Type="http://schemas.openxmlformats.org/officeDocument/2006/relationships/hyperlink" Target="https://www.google.com/maps/search/?api=1&amp;query=Brown+Sugar+Espresso" TargetMode="External" Id="rId879" /><Relationship Type="http://schemas.openxmlformats.org/officeDocument/2006/relationships/hyperlink" Target="https://www.facebook.com/yandinamarketgarden/" TargetMode="External" Id="rId880" /><Relationship Type="http://schemas.openxmlformats.org/officeDocument/2006/relationships/hyperlink" Target="https://www.google.com/maps/search/?api=1&amp;query=Yandina+Market+Garden+14+Farrell+Street" TargetMode="External" Id="rId881" /><Relationship Type="http://schemas.openxmlformats.org/officeDocument/2006/relationships/hyperlink" Target="https://www.facebook.com/SuncoastMechanical/" TargetMode="External" Id="rId882" /><Relationship Type="http://schemas.openxmlformats.org/officeDocument/2006/relationships/hyperlink" Target="https://www.google.com/maps/search/?api=1&amp;query=Suncoast+Mechanical" TargetMode="External" Id="rId883" /><Relationship Type="http://schemas.openxmlformats.org/officeDocument/2006/relationships/hyperlink" Target="https://www.facebook.com/jjsushichicken/" TargetMode="External" Id="rId884" /><Relationship Type="http://schemas.openxmlformats.org/officeDocument/2006/relationships/hyperlink" Target="https://www.google.com/maps/search/?api=1&amp;query=J+J+Sushi+35+Mill+Lane" TargetMode="External" Id="rId885" /><Relationship Type="http://schemas.openxmlformats.org/officeDocument/2006/relationships/hyperlink" Target="https://www.instagram.com/mmandcoffeebaking" TargetMode="External" Id="rId886" /><Relationship Type="http://schemas.openxmlformats.org/officeDocument/2006/relationships/hyperlink" Target="https://www.facebook.com/mmandcoffeebaking/" TargetMode="External" Id="rId887" /><Relationship Type="http://schemas.openxmlformats.org/officeDocument/2006/relationships/hyperlink" Target="https://www.google.com/maps/search/?api=1&amp;query=MM%26+26-28+Mitchell+Street+North+Ward" TargetMode="External" Id="rId888" /><Relationship Type="http://schemas.openxmlformats.org/officeDocument/2006/relationships/hyperlink" Target="https://www.facebook.com/hotelallentownsville" TargetMode="External" Id="rId889" /><Relationship Type="http://schemas.openxmlformats.org/officeDocument/2006/relationships/hyperlink" Target="https://www.google.com/maps/search/?api=1&amp;query=Hotel+Allen" TargetMode="External" Id="rId890" /><Relationship Type="http://schemas.openxmlformats.org/officeDocument/2006/relationships/hyperlink" Target="https://www.facebook.com/p/Lads-n-Ladies-Barber-Shop-100069962165987/" TargetMode="External" Id="rId891" /><Relationship Type="http://schemas.openxmlformats.org/officeDocument/2006/relationships/hyperlink" Target="https://www.google.com/maps/search/?api=1&amp;query=Lads+%27n%27+Ladies+Barber+Shop" TargetMode="External" Id="rId892" /><Relationship Type="http://schemas.openxmlformats.org/officeDocument/2006/relationships/hyperlink" Target="https://www.instagram.com/artside.studio" TargetMode="External" Id="rId893" /><Relationship Type="http://schemas.openxmlformats.org/officeDocument/2006/relationships/hyperlink" Target="https://www.google.com/maps/search/?api=1&amp;query=Artside" TargetMode="External" Id="rId894" /><Relationship Type="http://schemas.openxmlformats.org/officeDocument/2006/relationships/hyperlink" Target="https://www.facebook.com/QueensNailsNBeauty" TargetMode="External" Id="rId895" /><Relationship Type="http://schemas.openxmlformats.org/officeDocument/2006/relationships/hyperlink" Target="https://www.google.com/maps/search/?api=1&amp;query=Leena%27s+Nail+and+Beauty" TargetMode="External" Id="rId896" /><Relationship Type="http://schemas.openxmlformats.org/officeDocument/2006/relationships/hyperlink" Target="https://www.instagram.com/axellroseboutique" TargetMode="External" Id="rId897" /><Relationship Type="http://schemas.openxmlformats.org/officeDocument/2006/relationships/hyperlink" Target="https://www.facebook.com/Axell-Rose-Boutique-102241341219356/" TargetMode="External" Id="rId898" /><Relationship Type="http://schemas.openxmlformats.org/officeDocument/2006/relationships/hyperlink" Target="https://www.google.com/maps/search/?api=1&amp;query=Axell+Rose" TargetMode="External" Id="rId899" /><Relationship Type="http://schemas.openxmlformats.org/officeDocument/2006/relationships/hyperlink" Target="https://www.instagram.com/summerland_aus" TargetMode="External" Id="rId900" /><Relationship Type="http://schemas.openxmlformats.org/officeDocument/2006/relationships/hyperlink" Target="https://www.google.com/maps/search/?api=1&amp;query=Summer+Land" TargetMode="External" Id="rId901" /><Relationship Type="http://schemas.openxmlformats.org/officeDocument/2006/relationships/hyperlink" Target="https://www.facebook.com/northwardtownsville" TargetMode="External" Id="rId902" /><Relationship Type="http://schemas.openxmlformats.org/officeDocument/2006/relationships/hyperlink" Target="https://www.google.com/maps/search/?api=1&amp;query=Urban+Loft+Lifestyle" TargetMode="External" Id="rId903" /><Relationship Type="http://schemas.openxmlformats.org/officeDocument/2006/relationships/hyperlink" Target="https://www.instagram.com/balabite" TargetMode="External" Id="rId904" /><Relationship Type="http://schemas.openxmlformats.org/officeDocument/2006/relationships/hyperlink" Target="https://www.facebook.com/balabite/" TargetMode="External" Id="rId905" /><Relationship Type="http://schemas.openxmlformats.org/officeDocument/2006/relationships/hyperlink" Target="https://www.google.com/maps/search/?api=1&amp;query=Balabite" TargetMode="External" Id="rId906" /><Relationship Type="http://schemas.openxmlformats.org/officeDocument/2006/relationships/hyperlink" Target="https://www.facebook.com/thebubbleshackbubbletea" TargetMode="External" Id="rId907" /><Relationship Type="http://schemas.openxmlformats.org/officeDocument/2006/relationships/hyperlink" Target="https://www.google.com/maps/search/?api=1&amp;query=Bubble+Shack" TargetMode="External" Id="rId908" /><Relationship Type="http://schemas.openxmlformats.org/officeDocument/2006/relationships/hyperlink" Target="https://m.facebook.com/people/Sunvale-Meats/100063491471034/" TargetMode="External" Id="rId909" /><Relationship Type="http://schemas.openxmlformats.org/officeDocument/2006/relationships/hyperlink" Target="https://www.google.com/maps/search/?api=1&amp;query=Sunvale+Meats" TargetMode="External" Id="rId910" /><Relationship Type="http://schemas.openxmlformats.org/officeDocument/2006/relationships/hyperlink" Target="https://www.facebook.com/Aussie-Thai-Fusion-413149449023841" TargetMode="External" Id="rId911" /><Relationship Type="http://schemas.openxmlformats.org/officeDocument/2006/relationships/hyperlink" Target="https://www.google.com/maps/search/?api=1&amp;query=Aussie+Thai+Fusion" TargetMode="External" Id="rId912" /><Relationship Type="http://schemas.openxmlformats.org/officeDocument/2006/relationships/hyperlink" Target="https://www.facebook.com/bountifulthai" TargetMode="External" Id="rId913" /><Relationship Type="http://schemas.openxmlformats.org/officeDocument/2006/relationships/hyperlink" Target="https://www.google.com/maps/search/?api=1&amp;query=Bountiful+Thai" TargetMode="External" Id="rId914" /><Relationship Type="http://schemas.openxmlformats.org/officeDocument/2006/relationships/hyperlink" Target="https://www.facebook.com/chicoriotsv" TargetMode="External" Id="rId915" /><Relationship Type="http://schemas.openxmlformats.org/officeDocument/2006/relationships/hyperlink" Target="https://www.google.com/maps/search/?api=1&amp;query=Chico+Rio" TargetMode="External" Id="rId916" /><Relationship Type="http://schemas.openxmlformats.org/officeDocument/2006/relationships/hyperlink" Target="https://www.facebook.com/WildRiceLaoThai" TargetMode="External" Id="rId917" /><Relationship Type="http://schemas.openxmlformats.org/officeDocument/2006/relationships/hyperlink" Target="https://www.google.com/maps/search/?api=1&amp;query=Wild+Rice" TargetMode="External" Id="rId918" /><Relationship Type="http://schemas.openxmlformats.org/officeDocument/2006/relationships/hyperlink" Target="https://facebook.com/FISHnCHIPDelights" TargetMode="External" Id="rId919" /><Relationship Type="http://schemas.openxmlformats.org/officeDocument/2006/relationships/hyperlink" Target="https://www.google.com/maps/search/?api=1&amp;query=Fish+N+Chip+Delights" TargetMode="External" Id="rId920" /><Relationship Type="http://schemas.openxmlformats.org/officeDocument/2006/relationships/hyperlink" Target="https://www.facebook.com/Squeezemetownsville" TargetMode="External" Id="rId921" /><Relationship Type="http://schemas.openxmlformats.org/officeDocument/2006/relationships/hyperlink" Target="https://www.squeezeme.com.au/" TargetMode="External" Id="rId922" /><Relationship Type="http://schemas.openxmlformats.org/officeDocument/2006/relationships/hyperlink" Target="https://www.google.com/maps/search/?api=1&amp;query=Squeeze+Me" TargetMode="External" Id="rId923" /><Relationship Type="http://schemas.openxmlformats.org/officeDocument/2006/relationships/hyperlink" Target="https://www.facebook.com/DarkArtsTattooTsv/" TargetMode="External" Id="rId924" /><Relationship Type="http://schemas.openxmlformats.org/officeDocument/2006/relationships/hyperlink" Target="https://www.google.com/maps/search/?api=1&amp;query=Dark+Arts+Tattoo" TargetMode="External" Id="rId925" /><Relationship Type="http://schemas.openxmlformats.org/officeDocument/2006/relationships/hyperlink" Target="https://www.facebook.com/lindsay.trims" TargetMode="External" Id="rId926" /><Relationship Type="http://schemas.openxmlformats.org/officeDocument/2006/relationships/hyperlink" Target="http://proactivecoaching.net/" TargetMode="External" Id="rId927" /><Relationship Type="http://schemas.openxmlformats.org/officeDocument/2006/relationships/hyperlink" Target="https://www.google.com/maps/search/?api=1&amp;query=Proactive+Coaching+288+Dawson+Parade+Arana+Hills" TargetMode="External" Id="rId928" /><Relationship Type="http://schemas.openxmlformats.org/officeDocument/2006/relationships/hyperlink" Target="https://www.facebook.com/Contrastshairstudio" TargetMode="External" Id="rId929" /><Relationship Type="http://schemas.openxmlformats.org/officeDocument/2006/relationships/hyperlink" Target="https://contrasts.com.au/" TargetMode="External" Id="rId930" /><Relationship Type="http://schemas.openxmlformats.org/officeDocument/2006/relationships/hyperlink" Target="https://www.google.com/maps/search/?api=1&amp;query=Contrasts+Hair+Studio+82+Days+Road+Grange" TargetMode="External" Id="rId931" /><Relationship Type="http://schemas.openxmlformats.org/officeDocument/2006/relationships/hyperlink" Target="https://www.instagram.com/embroideryqueenau" TargetMode="External" Id="rId932" /><Relationship Type="http://schemas.openxmlformats.org/officeDocument/2006/relationships/hyperlink" Target="https://www.facebook.com/EmbroideryQueens" TargetMode="External" Id="rId933" /><Relationship Type="http://schemas.openxmlformats.org/officeDocument/2006/relationships/hyperlink" Target="http://www.embroideryqueen.com.au/" TargetMode="External" Id="rId934" /><Relationship Type="http://schemas.openxmlformats.org/officeDocument/2006/relationships/hyperlink" Target="https://www.google.com/maps/search/?api=1&amp;query=Embroidery+Queen" TargetMode="External" Id="rId935" /><Relationship Type="http://schemas.openxmlformats.org/officeDocument/2006/relationships/hyperlink" Target="https://www.facebook.com/foragesdelicafe" TargetMode="External" Id="rId936" /><Relationship Type="http://schemas.openxmlformats.org/officeDocument/2006/relationships/hyperlink" Target="https://www.foragesdelicafe.com.au/" TargetMode="External" Id="rId937" /><Relationship Type="http://schemas.openxmlformats.org/officeDocument/2006/relationships/hyperlink" Target="https://www.google.com/maps/search/?api=1&amp;query=Forages+144+Indooroopilly+Road" TargetMode="External" Id="rId938" /><Relationship Type="http://schemas.openxmlformats.org/officeDocument/2006/relationships/hyperlink" Target="https://www.facebook.com/miabellascoffee" TargetMode="External" Id="rId939" /><Relationship Type="http://schemas.openxmlformats.org/officeDocument/2006/relationships/hyperlink" Target="http://miabellascoffee.com/" TargetMode="External" Id="rId940" /><Relationship Type="http://schemas.openxmlformats.org/officeDocument/2006/relationships/hyperlink" Target="https://www.google.com/maps/search/?api=1&amp;query=Mia+Bella%27s+Coffee+Drive+Thru+167+Gympie+Road+Strathpine" TargetMode="External" Id="rId941" /><Relationship Type="http://schemas.openxmlformats.org/officeDocument/2006/relationships/hyperlink" Target="https://www.facebook.com/AlderleyKindy" TargetMode="External" Id="rId942" /><Relationship Type="http://schemas.openxmlformats.org/officeDocument/2006/relationships/hyperlink" Target="https://alderleykindy.com.au" TargetMode="External" Id="rId943" /><Relationship Type="http://schemas.openxmlformats.org/officeDocument/2006/relationships/hyperlink" Target="https://www.google.com/maps/search/?api=1&amp;query=Alderley+Kindergarten+76+South+Pine+Road+Alderley" TargetMode="External" Id="rId944" /><Relationship Type="http://schemas.openxmlformats.org/officeDocument/2006/relationships/hyperlink" Target="https://www.facebook.com/littlebouncingbears" TargetMode="External" Id="rId945" /><Relationship Type="http://schemas.openxmlformats.org/officeDocument/2006/relationships/hyperlink" Target="https://littlebouncingbears.com.au/" TargetMode="External" Id="rId946" /><Relationship Type="http://schemas.openxmlformats.org/officeDocument/2006/relationships/hyperlink" Target="https://www.google.com/maps/search/?api=1&amp;query=Little+Bouncing+Bears+Early+Learning+Centre+7+Link+Street+Upper+Mount+Gravatt" TargetMode="External" Id="rId947" /><Relationship Type="http://schemas.openxmlformats.org/officeDocument/2006/relationships/hyperlink" Target="https://www.instagram.com/littleschoolhighlandpark" TargetMode="External" Id="rId948" /><Relationship Type="http://schemas.openxmlformats.org/officeDocument/2006/relationships/hyperlink" Target="https://www.facebook.com/littleschoolhighlandpark" TargetMode="External" Id="rId949" /><Relationship Type="http://schemas.openxmlformats.org/officeDocument/2006/relationships/hyperlink" Target="https://littleschoolelc.com.au/loganholme/" TargetMode="External" Id="rId950" /><Relationship Type="http://schemas.openxmlformats.org/officeDocument/2006/relationships/hyperlink" Target="https://www.google.com/maps/search/?api=1&amp;query=Little+School+Loganholme+1-3+Bimbadeen+Drive+Loganholme" TargetMode="External" Id="rId951" /><Relationship Type="http://schemas.openxmlformats.org/officeDocument/2006/relationships/hyperlink" Target="https://www.instagram.com/fitnfabfitness" TargetMode="External" Id="rId952" /><Relationship Type="http://schemas.openxmlformats.org/officeDocument/2006/relationships/hyperlink" Target="https://www.facebook.com/fitty.fabbo.7" TargetMode="External" Id="rId953" /><Relationship Type="http://schemas.openxmlformats.org/officeDocument/2006/relationships/hyperlink" Target="https://www.fitnfab.com.au/" TargetMode="External" Id="rId954" /><Relationship Type="http://schemas.openxmlformats.org/officeDocument/2006/relationships/hyperlink" Target="https://www.google.com/maps/search/?api=1&amp;query=Fit+N+Fab+Fitness+101+Valley+Way+Mount+Cotton" TargetMode="External" Id="rId955" /><Relationship Type="http://schemas.openxmlformats.org/officeDocument/2006/relationships/hyperlink" Target="https://www.instagram.com/parkinsonvetsurgery" TargetMode="External" Id="rId956" /><Relationship Type="http://schemas.openxmlformats.org/officeDocument/2006/relationships/hyperlink" Target="https://www.facebook.com/parkinsonvetclinic" TargetMode="External" Id="rId957" /><Relationship Type="http://schemas.openxmlformats.org/officeDocument/2006/relationships/hyperlink" Target="https://parkinsonvet.com.au/" TargetMode="External" Id="rId958" /><Relationship Type="http://schemas.openxmlformats.org/officeDocument/2006/relationships/hyperlink" Target="https://www.google.com/maps/search/?api=1&amp;query=Parkinson+Veterinary+Surgery+2+Menser+Street+Calamvale" TargetMode="External" Id="rId959" /><Relationship Type="http://schemas.openxmlformats.org/officeDocument/2006/relationships/hyperlink" Target="https://instagram.com/burritobar_" TargetMode="External" Id="rId960" /><Relationship Type="http://schemas.openxmlformats.org/officeDocument/2006/relationships/hyperlink" Target="https://www.facebook.com/TheBurritoBar" TargetMode="External" Id="rId961" /><Relationship Type="http://schemas.openxmlformats.org/officeDocument/2006/relationships/hyperlink" Target="http://theburritobar.com.au" TargetMode="External" Id="rId962" /><Relationship Type="http://schemas.openxmlformats.org/officeDocument/2006/relationships/hyperlink" Target="https://www.google.com/maps/search/?api=1&amp;query=Burrito+Bar+170+Leichhardt+Street" TargetMode="External" Id="rId963" /><Relationship Type="http://schemas.openxmlformats.org/officeDocument/2006/relationships/hyperlink" Target="https://www.instagram.com/tasteofshanghai" TargetMode="External" Id="rId964" /><Relationship Type="http://schemas.openxmlformats.org/officeDocument/2006/relationships/hyperlink" Target="https://www.facebook.com/tasteofshanghaiaus" TargetMode="External" Id="rId965" /><Relationship Type="http://schemas.openxmlformats.org/officeDocument/2006/relationships/hyperlink" Target="https://tasteofshanghai.com.au/lilong-2/" TargetMode="External" Id="rId966" /><Relationship Type="http://schemas.openxmlformats.org/officeDocument/2006/relationships/hyperlink" Target="https://www.google.com/maps/search/?api=1&amp;query=Lilong+West+End+79+Boundary+Street" TargetMode="External" Id="rId967" /><Relationship Type="http://schemas.openxmlformats.org/officeDocument/2006/relationships/hyperlink" Target="http://www.facebook.com/pages/Maru-Korean-Restaurant/170697606348616" TargetMode="External" Id="rId968" /><Relationship Type="http://schemas.openxmlformats.org/officeDocument/2006/relationships/hyperlink" Target="https://marukoreanbbq.weebly.com/" TargetMode="External" Id="rId969" /><Relationship Type="http://schemas.openxmlformats.org/officeDocument/2006/relationships/hyperlink" Target="https://www.google.com/maps/search/?api=1&amp;query=Maru+157+Elizabeth+Street" TargetMode="External" Id="rId970" /><Relationship Type="http://schemas.openxmlformats.org/officeDocument/2006/relationships/hyperlink" Target="https://www.facebook.com/login" TargetMode="External" Id="rId971" /><Relationship Type="http://schemas.openxmlformats.org/officeDocument/2006/relationships/hyperlink" Target="www.bobachicken.com" TargetMode="External" Id="rId972" /><Relationship Type="http://schemas.openxmlformats.org/officeDocument/2006/relationships/hyperlink" Target="https://www.google.com/maps/search/?api=1&amp;query=Boba+Chicken+57+Musk+Avenue+Kelvin+Grove" TargetMode="External" Id="rId973" /><Relationship Type="http://schemas.openxmlformats.org/officeDocument/2006/relationships/hyperlink" Target="http://instagram.com/mama_coco" TargetMode="External" Id="rId974" /><Relationship Type="http://schemas.openxmlformats.org/officeDocument/2006/relationships/hyperlink" Target="https://www.facebook.com/mamacococafe" TargetMode="External" Id="rId975" /><Relationship Type="http://schemas.openxmlformats.org/officeDocument/2006/relationships/hyperlink" Target="http://www.mamacoco.com.au" TargetMode="External" Id="rId976" /><Relationship Type="http://schemas.openxmlformats.org/officeDocument/2006/relationships/hyperlink" Target="https://www.google.com/maps/search/?api=1&amp;query=Mama+Coco+196+Mulgrave+Road" TargetMode="External" Id="rId977" /><Relationship Type="http://schemas.openxmlformats.org/officeDocument/2006/relationships/hyperlink" Target="http://instagram.com/sugarme_baby" TargetMode="External" Id="rId978" /><Relationship Type="http://schemas.openxmlformats.org/officeDocument/2006/relationships/hyperlink" Target="https://www.facebook.com/sugarmebaby" TargetMode="External" Id="rId979" /><Relationship Type="http://schemas.openxmlformats.org/officeDocument/2006/relationships/hyperlink" Target="http://www.sugarmebaby.com.au/home/" TargetMode="External" Id="rId980" /><Relationship Type="http://schemas.openxmlformats.org/officeDocument/2006/relationships/hyperlink" Target="https://www.google.com/maps/search/?api=1&amp;query=Sugar+Me+Baby" TargetMode="External" Id="rId981" /><Relationship Type="http://schemas.openxmlformats.org/officeDocument/2006/relationships/hyperlink" Target="https://www.instagram.com/lovelarajewellery" TargetMode="External" Id="rId982" /><Relationship Type="http://schemas.openxmlformats.org/officeDocument/2006/relationships/hyperlink" Target="https://www.facebook.com/Love-Lara-Jewellery-191476280881144" TargetMode="External" Id="rId983" /><Relationship Type="http://schemas.openxmlformats.org/officeDocument/2006/relationships/hyperlink" Target="https://lovelarajewellery.com.au/" TargetMode="External" Id="rId984" /><Relationship Type="http://schemas.openxmlformats.org/officeDocument/2006/relationships/hyperlink" Target="https://www.google.com/maps/search/?api=1&amp;query=Love+Lara+Jewellers" TargetMode="External" Id="rId985" /><Relationship Type="http://schemas.openxmlformats.org/officeDocument/2006/relationships/hyperlink" Target="https://instagram.com/Benowaandbenowahillselc" TargetMode="External" Id="rId986" /><Relationship Type="http://schemas.openxmlformats.org/officeDocument/2006/relationships/hyperlink" Target="https://www.facebook.com/people/Benowa-Hills-Early-Learning-Centre/100057676358993" TargetMode="External" Id="rId987" /><Relationship Type="http://schemas.openxmlformats.org/officeDocument/2006/relationships/hyperlink" Target="https://www.benowahillsearlylearning.com.au/" TargetMode="External" Id="rId988" /><Relationship Type="http://schemas.openxmlformats.org/officeDocument/2006/relationships/hyperlink" Target="https://www.google.com/maps/search/?api=1&amp;query=Benowa+Hills+Early+Learning+Centre" TargetMode="External" Id="rId989" /><Relationship Type="http://schemas.openxmlformats.org/officeDocument/2006/relationships/hyperlink" Target="https://www.facebook.com/GrimmosGarage" TargetMode="External" Id="rId990" /><Relationship Type="http://schemas.openxmlformats.org/officeDocument/2006/relationships/hyperlink" Target="https://www.grimmos.com.au/" TargetMode="External" Id="rId991" /><Relationship Type="http://schemas.openxmlformats.org/officeDocument/2006/relationships/hyperlink" Target="https://www.google.com/maps/search/?api=1&amp;query=Grimmo%27s+garage+225A+Brisbane+Road" TargetMode="External" Id="rId992" /><Relationship Type="http://schemas.openxmlformats.org/officeDocument/2006/relationships/hyperlink" Target="https://www.facebook.com/southportexhaust" TargetMode="External" Id="rId993" /><Relationship Type="http://schemas.openxmlformats.org/officeDocument/2006/relationships/hyperlink" Target="https://southportexhaust.com.au/" TargetMode="External" Id="rId994" /><Relationship Type="http://schemas.openxmlformats.org/officeDocument/2006/relationships/hyperlink" Target="https://www.google.com/maps/search/?api=1&amp;query=Southport+Exhaust" TargetMode="External" Id="rId995" /><Relationship Type="http://schemas.openxmlformats.org/officeDocument/2006/relationships/hyperlink" Target="https://www.facebook.com/WillowDiningRoom" TargetMode="External" Id="rId996" /><Relationship Type="http://schemas.openxmlformats.org/officeDocument/2006/relationships/hyperlink" Target="http://willowdiningroom.com/homepage/" TargetMode="External" Id="rId997" /><Relationship Type="http://schemas.openxmlformats.org/officeDocument/2006/relationships/hyperlink" Target="https://www.google.com/maps/search/?api=1&amp;query=Willow+Dining+Room" TargetMode="External" Id="rId998" /><Relationship Type="http://schemas.openxmlformats.org/officeDocument/2006/relationships/hyperlink" Target="https://www.instagram.com/barcelladining" TargetMode="External" Id="rId999" /><Relationship Type="http://schemas.openxmlformats.org/officeDocument/2006/relationships/hyperlink" Target="https://www.facebook.com/BarcellaRestaurantVictoriaPoint" TargetMode="External" Id="rId1000" /><Relationship Type="http://schemas.openxmlformats.org/officeDocument/2006/relationships/hyperlink" Target="https://barcella.com.au/" TargetMode="External" Id="rId1001" /><Relationship Type="http://schemas.openxmlformats.org/officeDocument/2006/relationships/hyperlink" Target="https://www.google.com/maps/search/?api=1&amp;query=Barcella+Lakeside+Drive+Victoria+Point" TargetMode="External" Id="rId1002" /><Relationship Type="http://schemas.openxmlformats.org/officeDocument/2006/relationships/hyperlink" Target="https://www.facebook.com/pages/De-Lish-Fish-at-Kings/547467392024234" TargetMode="External" Id="rId1003" /><Relationship Type="http://schemas.openxmlformats.org/officeDocument/2006/relationships/hyperlink" Target="http://delishfish.com.au/" TargetMode="External" Id="rId1004" /><Relationship Type="http://schemas.openxmlformats.org/officeDocument/2006/relationships/hyperlink" Target="https://www.google.com/maps/search/?api=1&amp;query=De+Lish+Fish+%40+Kings" TargetMode="External" Id="rId1005" /><Relationship Type="http://schemas.openxmlformats.org/officeDocument/2006/relationships/hyperlink" Target="http://instagram.com/ink_attack" TargetMode="External" Id="rId1006" /><Relationship Type="http://schemas.openxmlformats.org/officeDocument/2006/relationships/hyperlink" Target="https://www.facebook.com/InkAttackTattooStudio" TargetMode="External" Id="rId1007" /><Relationship Type="http://schemas.openxmlformats.org/officeDocument/2006/relationships/hyperlink" Target="http://www.inkattack.com.au" TargetMode="External" Id="rId1008" /><Relationship Type="http://schemas.openxmlformats.org/officeDocument/2006/relationships/hyperlink" Target="https://www.google.com/maps/search/?api=1&amp;query=Ink+Attack+Tattoo+12+Thunderbird+Drive" TargetMode="External" Id="rId1009" /><Relationship Type="http://schemas.openxmlformats.org/officeDocument/2006/relationships/hyperlink" Target="https://www.facebook.com/SunshineCoastElectrician1" TargetMode="External" Id="rId1010" /><Relationship Type="http://schemas.openxmlformats.org/officeDocument/2006/relationships/hyperlink" Target="http://www.rjhelectrical.com.au/" TargetMode="External" Id="rId1011" /><Relationship Type="http://schemas.openxmlformats.org/officeDocument/2006/relationships/hyperlink" Target="https://www.google.com/maps/search/?api=1&amp;query=RJH+Electrical" TargetMode="External" Id="rId1012" /><Relationship Type="http://schemas.openxmlformats.org/officeDocument/2006/relationships/hyperlink" Target="https://www.facebook.com/BousForMen" TargetMode="External" Id="rId1013" /><Relationship Type="http://schemas.openxmlformats.org/officeDocument/2006/relationships/hyperlink" Target="https://www.bousformen.com.au/" TargetMode="External" Id="rId1014" /><Relationship Type="http://schemas.openxmlformats.org/officeDocument/2006/relationships/hyperlink" Target="https://www.google.com/maps/search/?api=1&amp;query=Bou%27s+For+Men+Barber+Shop" TargetMode="External" Id="rId1015" /><Relationship Type="http://schemas.openxmlformats.org/officeDocument/2006/relationships/hyperlink" Target="https://www.facebook.com/TheGreatJewelOfIndia" TargetMode="External" Id="rId1016" /><Relationship Type="http://schemas.openxmlformats.org/officeDocument/2006/relationships/hyperlink" Target="http://www.thegreatjewelofindia.com/" TargetMode="External" Id="rId1017" /><Relationship Type="http://schemas.openxmlformats.org/officeDocument/2006/relationships/hyperlink" Target="https://www.google.com/maps/search/?api=1&amp;query=The+Great+Jewel+Of+India+215+Flinders+Street" TargetMode="External" Id="rId10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28" customWidth="1" min="4" max="4"/>
    <col width="16" customWidth="1" min="5" max="5"/>
    <col width="14" customWidth="1" min="6" max="6"/>
    <col width="11" customWidth="1" min="7" max="7"/>
    <col width="30" customWidth="1" min="8" max="8"/>
    <col width="30" customWidth="1" min="9" max="9"/>
    <col width="16" customWidth="1" min="10" max="10"/>
    <col width="30" customWidth="1" min="11" max="11"/>
    <col width="40" customWidth="1" min="12" max="12"/>
    <col width="7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DM on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What we found</t>
        </is>
      </c>
      <c r="M1" s="1" t="inlineStr">
        <is>
          <t>Suggested first DM (fill the [bracket] first)</t>
        </is>
      </c>
      <c r="N1" s="1" t="inlineStr">
        <is>
          <t>Check on Google Maps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contacted</t>
        </is>
      </c>
      <c r="R1" s="1" t="inlineStr">
        <is>
          <t>Follow-up date</t>
        </is>
      </c>
      <c r="S1" s="1" t="inlineStr">
        <is>
          <t>Notes</t>
        </is>
      </c>
    </row>
    <row r="2">
      <c r="A2" s="2" t="n">
        <v>1</v>
      </c>
      <c r="B2" s="3" t="inlineStr">
        <is>
          <t>HIGH</t>
        </is>
      </c>
      <c r="C2" s="2" t="inlineStr">
        <is>
          <t>No own website</t>
        </is>
      </c>
      <c r="D2" s="2" t="inlineStr">
        <is>
          <t>Ferny Way Bakery</t>
        </is>
      </c>
      <c r="E2" s="2" t="inlineStr">
        <is>
          <t>bakery</t>
        </is>
      </c>
      <c r="F2" s="2" t="inlineStr">
        <is>
          <t>Brisbane</t>
        </is>
      </c>
      <c r="G2" s="2" t="inlineStr">
        <is>
          <t>Facebook</t>
        </is>
      </c>
      <c r="H2" s="2" t="inlineStr"/>
      <c r="I2" s="4" t="inlineStr">
        <is>
          <t>https://www.facebook.com/Ferny-Way-Bakery-689190028097407/</t>
        </is>
      </c>
      <c r="J2" s="2" t="inlineStr">
        <is>
          <t>+61 7 3351 2708</t>
        </is>
      </c>
      <c r="K2" s="4" t="inlineStr">
        <is>
          <t>https://www.facebook.com/Ferny-Way-Bakery-689190028097407/</t>
        </is>
      </c>
      <c r="L2" s="2" t="inlineStr">
        <is>
          <t>no real website (uses www.facebook.com)</t>
        </is>
      </c>
      <c r="M2" s="2" t="inlineStr">
        <is>
          <t>Hi Ferny Way Bakery team! [one real detail from their page]. We're AceAds, a web design studio. We noticed that when people in Brisbane search for a bakery on Google, they only find your Facebook, not a website of your own. We'd be happy to make you a free preview of what a website could look like. Want one? No cost, no obligation.</t>
        </is>
      </c>
      <c r="N2" s="4" t="inlineStr">
        <is>
          <t>Open map</t>
        </is>
      </c>
      <c r="O2" s="2" t="inlineStr">
        <is>
          <t>Not contacted</t>
        </is>
      </c>
      <c r="P2" s="2" t="inlineStr"/>
      <c r="Q2" s="2" t="inlineStr"/>
      <c r="R2" s="2" t="inlineStr"/>
      <c r="S2" s="2" t="inlineStr"/>
    </row>
    <row r="3">
      <c r="A3" s="2" t="n">
        <v>2</v>
      </c>
      <c r="B3" s="3" t="inlineStr">
        <is>
          <t>HIGH</t>
        </is>
      </c>
      <c r="C3" s="2" t="inlineStr">
        <is>
          <t>No own website</t>
        </is>
      </c>
      <c r="D3" s="2" t="inlineStr">
        <is>
          <t>Karana Krusty Bakery</t>
        </is>
      </c>
      <c r="E3" s="2" t="inlineStr">
        <is>
          <t>bakery</t>
        </is>
      </c>
      <c r="F3" s="2" t="inlineStr">
        <is>
          <t>Brisbane</t>
        </is>
      </c>
      <c r="G3" s="2" t="inlineStr">
        <is>
          <t>Facebook</t>
        </is>
      </c>
      <c r="H3" s="2" t="inlineStr"/>
      <c r="I3" s="4" t="inlineStr">
        <is>
          <t>https://www.facebook.com/Bakery-Karana-Downs-624286981023430/</t>
        </is>
      </c>
      <c r="J3" s="2" t="inlineStr">
        <is>
          <t>+61 7 3201 0104</t>
        </is>
      </c>
      <c r="K3" s="4" t="inlineStr">
        <is>
          <t>https://www.facebook.com/Bakery-Karana-Downs-624286981023430/</t>
        </is>
      </c>
      <c r="L3" s="2" t="inlineStr">
        <is>
          <t>no real website (uses www.facebook.com)</t>
        </is>
      </c>
      <c r="M3" s="2" t="inlineStr">
        <is>
          <t>Hi Karana Krusty Bakery team! [one real detail from their page]. We're AceAds, a web design studio. We noticed that when people in Brisbane search for a bakery on Google, they only find your Facebook, not a website of your own. We'd be happy to make you a free preview of what a website could look like. Want one? No cost, no obligation.</t>
        </is>
      </c>
      <c r="N3" s="4" t="inlineStr">
        <is>
          <t>Open map</t>
        </is>
      </c>
      <c r="O3" s="2" t="inlineStr">
        <is>
          <t>Not contacted</t>
        </is>
      </c>
      <c r="P3" s="2" t="inlineStr"/>
      <c r="Q3" s="2" t="inlineStr"/>
      <c r="R3" s="2" t="inlineStr"/>
      <c r="S3" s="2" t="inlineStr"/>
    </row>
    <row r="4">
      <c r="A4" s="2" t="n">
        <v>3</v>
      </c>
      <c r="B4" s="3" t="inlineStr">
        <is>
          <t>HIGH</t>
        </is>
      </c>
      <c r="C4" s="2" t="inlineStr">
        <is>
          <t>No own website</t>
        </is>
      </c>
      <c r="D4" s="2" t="inlineStr">
        <is>
          <t>Flat Lizard Brewing</t>
        </is>
      </c>
      <c r="E4" s="2" t="inlineStr">
        <is>
          <t>bar or pub</t>
        </is>
      </c>
      <c r="F4" s="2" t="inlineStr">
        <is>
          <t>Brisbane</t>
        </is>
      </c>
      <c r="G4" s="2" t="inlineStr">
        <is>
          <t>Facebook</t>
        </is>
      </c>
      <c r="H4" s="2" t="inlineStr"/>
      <c r="I4" s="4" t="inlineStr">
        <is>
          <t>https://www.facebook.com/flatlizardbrewing/</t>
        </is>
      </c>
      <c r="J4" s="2" t="inlineStr"/>
      <c r="K4" s="4" t="inlineStr">
        <is>
          <t>https://www.facebook.com/flatlizardbrewing/</t>
        </is>
      </c>
      <c r="L4" s="2" t="inlineStr">
        <is>
          <t>no real website (uses www.facebook.com)</t>
        </is>
      </c>
      <c r="M4" s="2" t="inlineStr">
        <is>
          <t>Hi Flat Lizard Brewing team! [one real detail from their page]. We're AceAds, a web design studio. We noticed that when people in Brisbane search for a bar on Google, they only find your Facebook, not a website of your own. We'd be happy to make you a free preview of what a website could look like. Want one? No cost, no obligation.</t>
        </is>
      </c>
      <c r="N4" s="4" t="inlineStr">
        <is>
          <t>Open map</t>
        </is>
      </c>
      <c r="O4" s="2" t="inlineStr">
        <is>
          <t>Not contacted</t>
        </is>
      </c>
      <c r="P4" s="2" t="inlineStr"/>
      <c r="Q4" s="2" t="inlineStr"/>
      <c r="R4" s="2" t="inlineStr"/>
      <c r="S4" s="2" t="inlineStr"/>
    </row>
    <row r="5">
      <c r="A5" s="2" t="n">
        <v>4</v>
      </c>
      <c r="B5" s="3" t="inlineStr">
        <is>
          <t>HIGH</t>
        </is>
      </c>
      <c r="C5" s="2" t="inlineStr">
        <is>
          <t>No own website</t>
        </is>
      </c>
      <c r="D5" s="2" t="inlineStr">
        <is>
          <t>Bella Vision Hair Studio</t>
        </is>
      </c>
      <c r="E5" s="2" t="inlineStr">
        <is>
          <t>barber or hairdresser</t>
        </is>
      </c>
      <c r="F5" s="2" t="inlineStr">
        <is>
          <t>Brisbane</t>
        </is>
      </c>
      <c r="G5" s="2" t="inlineStr">
        <is>
          <t>Facebook</t>
        </is>
      </c>
      <c r="H5" s="2" t="inlineStr"/>
      <c r="I5" s="4" t="inlineStr">
        <is>
          <t>https://www.facebook.com/bellavisionhairstudio132</t>
        </is>
      </c>
      <c r="J5" s="2" t="inlineStr">
        <is>
          <t>+61 7 3351 0200</t>
        </is>
      </c>
      <c r="K5" s="4" t="inlineStr">
        <is>
          <t>https://www.facebook.com/bellavisionhairstudio132/</t>
        </is>
      </c>
      <c r="L5" s="2" t="inlineStr">
        <is>
          <t>no real website (uses www.facebook.com)</t>
        </is>
      </c>
      <c r="M5" s="2" t="inlineStr">
        <is>
          <t>Hi Bella Vision Hair Studio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5" s="4" t="inlineStr">
        <is>
          <t>Open map</t>
        </is>
      </c>
      <c r="O5" s="2" t="inlineStr">
        <is>
          <t>Not contacted</t>
        </is>
      </c>
      <c r="P5" s="2" t="inlineStr"/>
      <c r="Q5" s="2" t="inlineStr"/>
      <c r="R5" s="2" t="inlineStr"/>
      <c r="S5" s="2" t="inlineStr"/>
    </row>
    <row r="6">
      <c r="A6" s="2" t="n">
        <v>5</v>
      </c>
      <c r="B6" s="3" t="inlineStr">
        <is>
          <t>HIGH</t>
        </is>
      </c>
      <c r="C6" s="2" t="inlineStr">
        <is>
          <t>No own website</t>
        </is>
      </c>
      <c r="D6" s="2" t="inlineStr">
        <is>
          <t>Brass Knuckles Barber</t>
        </is>
      </c>
      <c r="E6" s="2" t="inlineStr">
        <is>
          <t>barber or hairdresser</t>
        </is>
      </c>
      <c r="F6" s="2" t="inlineStr">
        <is>
          <t>Brisbane</t>
        </is>
      </c>
      <c r="G6" s="2" t="inlineStr">
        <is>
          <t>Instagram</t>
        </is>
      </c>
      <c r="H6" s="4" t="inlineStr">
        <is>
          <t>https://www.instagram.com/brassknuckles_barber/</t>
        </is>
      </c>
      <c r="I6" s="2" t="inlineStr"/>
      <c r="J6" s="2" t="inlineStr">
        <is>
          <t>+61 493 369 135</t>
        </is>
      </c>
      <c r="K6" s="4" t="inlineStr">
        <is>
          <t>https://www.instagram.com/brassknuckles_barber/</t>
        </is>
      </c>
      <c r="L6" s="2" t="inlineStr">
        <is>
          <t>no real website (uses www.instagram.com)</t>
        </is>
      </c>
      <c r="M6" s="2" t="inlineStr">
        <is>
          <t>Hi Brass Knuckles Barber team! [one real detail from their page]. We're AceAds, a web design studio. We noticed that when people in Brisbane search for a hairdresser on Google, they only find your Instagram, not a website of your own. We'd be happy to make you a free preview of what a website could look like. Want one? No cost, no obligation.</t>
        </is>
      </c>
      <c r="N6" s="4" t="inlineStr">
        <is>
          <t>Open map</t>
        </is>
      </c>
      <c r="O6" s="2" t="inlineStr">
        <is>
          <t>Not contacted</t>
        </is>
      </c>
      <c r="P6" s="2" t="inlineStr"/>
      <c r="Q6" s="2" t="inlineStr"/>
      <c r="R6" s="2" t="inlineStr"/>
      <c r="S6" s="2" t="inlineStr"/>
    </row>
    <row r="7">
      <c r="A7" s="2" t="n">
        <v>6</v>
      </c>
      <c r="B7" s="3" t="inlineStr">
        <is>
          <t>HIGH</t>
        </is>
      </c>
      <c r="C7" s="2" t="inlineStr">
        <is>
          <t>No own website</t>
        </is>
      </c>
      <c r="D7" s="2" t="inlineStr">
        <is>
          <t>Crown and Co Barbers</t>
        </is>
      </c>
      <c r="E7" s="2" t="inlineStr">
        <is>
          <t>barber or hairdresser</t>
        </is>
      </c>
      <c r="F7" s="2" t="inlineStr">
        <is>
          <t>Brisbane</t>
        </is>
      </c>
      <c r="G7" s="2" t="inlineStr">
        <is>
          <t>Facebook</t>
        </is>
      </c>
      <c r="H7" s="2" t="inlineStr"/>
      <c r="I7" s="4" t="inlineStr">
        <is>
          <t>https://www.facebook.com/crownandcobarbers/?ref=page_internal</t>
        </is>
      </c>
      <c r="J7" s="2" t="inlineStr"/>
      <c r="K7" s="4" t="inlineStr">
        <is>
          <t>https://www.facebook.com/crownandcobarbers/?ref=page_internal</t>
        </is>
      </c>
      <c r="L7" s="2" t="inlineStr">
        <is>
          <t>no real website (uses www.facebook.com)</t>
        </is>
      </c>
      <c r="M7" s="2" t="inlineStr">
        <is>
          <t>Hi Crown and Co Barbers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7" s="4" t="inlineStr">
        <is>
          <t>Open map</t>
        </is>
      </c>
      <c r="O7" s="2" t="inlineStr">
        <is>
          <t>Not contacted</t>
        </is>
      </c>
      <c r="P7" s="2" t="inlineStr"/>
      <c r="Q7" s="2" t="inlineStr"/>
      <c r="R7" s="2" t="inlineStr"/>
      <c r="S7" s="2" t="inlineStr"/>
    </row>
    <row r="8">
      <c r="A8" s="2" t="n">
        <v>7</v>
      </c>
      <c r="B8" s="3" t="inlineStr">
        <is>
          <t>HIGH</t>
        </is>
      </c>
      <c r="C8" s="2" t="inlineStr">
        <is>
          <t>No own website</t>
        </is>
      </c>
      <c r="D8" s="2" t="inlineStr">
        <is>
          <t>Kin Barbershop</t>
        </is>
      </c>
      <c r="E8" s="2" t="inlineStr">
        <is>
          <t>barber or hairdresser</t>
        </is>
      </c>
      <c r="F8" s="2" t="inlineStr">
        <is>
          <t>Brisbane</t>
        </is>
      </c>
      <c r="G8" s="2" t="inlineStr">
        <is>
          <t>Facebook</t>
        </is>
      </c>
      <c r="H8" s="2" t="inlineStr"/>
      <c r="I8" s="4" t="inlineStr">
        <is>
          <t>https://www.facebook.com/p/Kin-Barbershop-61557611918699</t>
        </is>
      </c>
      <c r="J8" s="2" t="inlineStr">
        <is>
          <t>+61 411 614 614</t>
        </is>
      </c>
      <c r="K8" s="4" t="inlineStr">
        <is>
          <t>https://kinbarbershop.square.site/</t>
        </is>
      </c>
      <c r="L8" s="2" t="inlineStr">
        <is>
          <t>no real website (uses kinbarbershop.square.site)</t>
        </is>
      </c>
      <c r="M8" s="2" t="inlineStr">
        <is>
          <t>Hi Kin Barbershop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8" s="4" t="inlineStr">
        <is>
          <t>Open map</t>
        </is>
      </c>
      <c r="O8" s="2" t="inlineStr">
        <is>
          <t>Not contacted</t>
        </is>
      </c>
      <c r="P8" s="2" t="inlineStr"/>
      <c r="Q8" s="2" t="inlineStr"/>
      <c r="R8" s="2" t="inlineStr"/>
      <c r="S8" s="2" t="inlineStr"/>
    </row>
    <row r="9">
      <c r="A9" s="2" t="n">
        <v>8</v>
      </c>
      <c r="B9" s="3" t="inlineStr">
        <is>
          <t>HIGH</t>
        </is>
      </c>
      <c r="C9" s="2" t="inlineStr">
        <is>
          <t>No own website</t>
        </is>
      </c>
      <c r="D9" s="2" t="inlineStr">
        <is>
          <t>Scotty Barberino's Barber Shop</t>
        </is>
      </c>
      <c r="E9" s="2" t="inlineStr">
        <is>
          <t>barber or hairdresser</t>
        </is>
      </c>
      <c r="F9" s="2" t="inlineStr">
        <is>
          <t>Brisbane</t>
        </is>
      </c>
      <c r="G9" s="2" t="inlineStr">
        <is>
          <t>Facebook</t>
        </is>
      </c>
      <c r="H9" s="2" t="inlineStr"/>
      <c r="I9" s="4" t="inlineStr">
        <is>
          <t>https://facebook.com/scottybarberinos/</t>
        </is>
      </c>
      <c r="J9" s="2" t="inlineStr">
        <is>
          <t>+61 7 3289 2468</t>
        </is>
      </c>
      <c r="K9" s="4" t="inlineStr">
        <is>
          <t>https://facebook.com/scottybarberinos/</t>
        </is>
      </c>
      <c r="L9" s="2" t="inlineStr">
        <is>
          <t>no real website (uses facebook.com)</t>
        </is>
      </c>
      <c r="M9" s="2" t="inlineStr">
        <is>
          <t>Hi Scotty Barberino's Barber Shop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9" s="4" t="inlineStr">
        <is>
          <t>Open map</t>
        </is>
      </c>
      <c r="O9" s="2" t="inlineStr">
        <is>
          <t>Not contacted</t>
        </is>
      </c>
      <c r="P9" s="2" t="inlineStr"/>
      <c r="Q9" s="2" t="inlineStr"/>
      <c r="R9" s="2" t="inlineStr"/>
      <c r="S9" s="2" t="inlineStr"/>
    </row>
    <row r="10">
      <c r="A10" s="2" t="n">
        <v>9</v>
      </c>
      <c r="B10" s="3" t="inlineStr">
        <is>
          <t>HIGH</t>
        </is>
      </c>
      <c r="C10" s="2" t="inlineStr">
        <is>
          <t>No own website</t>
        </is>
      </c>
      <c r="D10" s="2" t="inlineStr">
        <is>
          <t>Terry Dobie Hairdressing</t>
        </is>
      </c>
      <c r="E10" s="2" t="inlineStr">
        <is>
          <t>barber or hairdresser</t>
        </is>
      </c>
      <c r="F10" s="2" t="inlineStr">
        <is>
          <t>Brisbane</t>
        </is>
      </c>
      <c r="G10" s="2" t="inlineStr">
        <is>
          <t>Facebook</t>
        </is>
      </c>
      <c r="H10" s="2" t="inlineStr"/>
      <c r="I10" s="4" t="inlineStr">
        <is>
          <t>https://www.facebook.com/Terrydobiehair/</t>
        </is>
      </c>
      <c r="J10" s="2" t="inlineStr"/>
      <c r="K10" s="4" t="inlineStr">
        <is>
          <t>https://terrydobiehair.wixsite.com/mysite</t>
        </is>
      </c>
      <c r="L10" s="2" t="inlineStr">
        <is>
          <t>no real website (uses terrydobiehair.wixsite.com)</t>
        </is>
      </c>
      <c r="M10" s="2" t="inlineStr">
        <is>
          <t>Hi Terry Dobie Hairdressing team! [one real detail from their page]. We're AceAds, a web design studio. We noticed that when people in Brisbane search for a hairdresser on Google, they only find your Facebook, not a website of your own. We'd be happy to make you a free preview of what a website could look like. Want one? No cost, no obligation.</t>
        </is>
      </c>
      <c r="N10" s="4" t="inlineStr">
        <is>
          <t>Open map</t>
        </is>
      </c>
      <c r="O10" s="2" t="inlineStr">
        <is>
          <t>Not contacted</t>
        </is>
      </c>
      <c r="P10" s="2" t="inlineStr"/>
      <c r="Q10" s="2" t="inlineStr"/>
      <c r="R10" s="2" t="inlineStr"/>
      <c r="S10" s="2" t="inlineStr"/>
    </row>
    <row r="11">
      <c r="A11" s="2" t="n">
        <v>10</v>
      </c>
      <c r="B11" s="3" t="inlineStr">
        <is>
          <t>HIGH</t>
        </is>
      </c>
      <c r="C11" s="2" t="inlineStr">
        <is>
          <t>No own website</t>
        </is>
      </c>
      <c r="D11" s="2" t="inlineStr">
        <is>
          <t>Nail Today</t>
        </is>
      </c>
      <c r="E11" s="2" t="inlineStr">
        <is>
          <t>beauty salon</t>
        </is>
      </c>
      <c r="F11" s="2" t="inlineStr">
        <is>
          <t>Brisbane</t>
        </is>
      </c>
      <c r="G11" s="2" t="inlineStr">
        <is>
          <t>Facebook</t>
        </is>
      </c>
      <c r="H11" s="2" t="inlineStr"/>
      <c r="I11" s="4" t="inlineStr">
        <is>
          <t>https://www.facebook.com/profile.php?id=100063881476277</t>
        </is>
      </c>
      <c r="J11" s="2" t="inlineStr">
        <is>
          <t>+61 414 266 235</t>
        </is>
      </c>
      <c r="K11" s="4" t="inlineStr">
        <is>
          <t>https://www.facebook.com/profile.php?id=100063881476277</t>
        </is>
      </c>
      <c r="L11" s="2" t="inlineStr">
        <is>
          <t>no real website (uses www.facebook.com)</t>
        </is>
      </c>
      <c r="M11" s="2" t="inlineStr">
        <is>
          <t>Hi Nail Today team! [one real detail from their page]. We're AceAds, a web design studio. We noticed that when people in Brisbane search for a beauty salon on Google, they only find your Facebook, not a website of your own. We'd be happy to make you a free preview of what a website could look like. Want one? No cost, no obligation.</t>
        </is>
      </c>
      <c r="N11" s="4" t="inlineStr">
        <is>
          <t>Open map</t>
        </is>
      </c>
      <c r="O11" s="2" t="inlineStr">
        <is>
          <t>Not contacted</t>
        </is>
      </c>
      <c r="P11" s="2" t="inlineStr"/>
      <c r="Q11" s="2" t="inlineStr"/>
      <c r="R11" s="2" t="inlineStr"/>
      <c r="S11" s="2" t="inlineStr"/>
    </row>
    <row r="12">
      <c r="A12" s="2" t="n">
        <v>11</v>
      </c>
      <c r="B12" s="3" t="inlineStr">
        <is>
          <t>HIGH</t>
        </is>
      </c>
      <c r="C12" s="2" t="inlineStr">
        <is>
          <t>No own website</t>
        </is>
      </c>
      <c r="D12" s="2" t="inlineStr">
        <is>
          <t>Canary Lane</t>
        </is>
      </c>
      <c r="E12" s="2" t="inlineStr">
        <is>
          <t>boutique</t>
        </is>
      </c>
      <c r="F12" s="2" t="inlineStr">
        <is>
          <t>Brisbane</t>
        </is>
      </c>
      <c r="G12" s="2" t="inlineStr">
        <is>
          <t>Facebook</t>
        </is>
      </c>
      <c r="H12" s="2" t="inlineStr"/>
      <c r="I12" s="4" t="inlineStr">
        <is>
          <t>https://www.facebook.com/Canary-Lane-686290855153091/</t>
        </is>
      </c>
      <c r="J12" s="2" t="inlineStr">
        <is>
          <t>+61 7 3852 2997</t>
        </is>
      </c>
      <c r="K12" s="4" t="inlineStr">
        <is>
          <t>https://www.facebook.com/Canary-Lane-686290855153091/</t>
        </is>
      </c>
      <c r="L12" s="2" t="inlineStr">
        <is>
          <t>no real website (uses www.facebook.com)</t>
        </is>
      </c>
      <c r="M12" s="2" t="inlineStr">
        <is>
          <t>Hi Canary Lane team! [one real detail from their page]. We're AceAds, a web design studio. We noticed that when people in Brisbane search for a boutique on Google, they only find your Facebook, not a website of your own. We'd be happy to make you a free preview of what a website could look like. Want one? No cost, no obligation.</t>
        </is>
      </c>
      <c r="N12" s="4" t="inlineStr">
        <is>
          <t>Open map</t>
        </is>
      </c>
      <c r="O12" s="2" t="inlineStr">
        <is>
          <t>Not contacted</t>
        </is>
      </c>
      <c r="P12" s="2" t="inlineStr"/>
      <c r="Q12" s="2" t="inlineStr"/>
      <c r="R12" s="2" t="inlineStr"/>
      <c r="S12" s="2" t="inlineStr"/>
    </row>
    <row r="13">
      <c r="A13" s="2" t="n">
        <v>12</v>
      </c>
      <c r="B13" s="3" t="inlineStr">
        <is>
          <t>HIGH</t>
        </is>
      </c>
      <c r="C13" s="2" t="inlineStr">
        <is>
          <t>No own website</t>
        </is>
      </c>
      <c r="D13" s="2" t="inlineStr">
        <is>
          <t>Bancroft Roasters, Bardon</t>
        </is>
      </c>
      <c r="E13" s="2" t="inlineStr">
        <is>
          <t>cafe</t>
        </is>
      </c>
      <c r="F13" s="2" t="inlineStr">
        <is>
          <t>Brisbane</t>
        </is>
      </c>
      <c r="G13" s="2" t="inlineStr">
        <is>
          <t>Facebook</t>
        </is>
      </c>
      <c r="H13" s="2" t="inlineStr"/>
      <c r="I13" s="4" t="inlineStr">
        <is>
          <t>https://m.facebook.com/story.php?story_fbid=2013500125499490&amp;id=487145808134937&amp;sfnsn=mo</t>
        </is>
      </c>
      <c r="J13" s="2" t="inlineStr"/>
      <c r="K13" s="4" t="inlineStr">
        <is>
          <t>https://m.facebook.com/story.php?story_fbid=2013500125499490&amp;id=487145808134937&amp;sfnsn=mo</t>
        </is>
      </c>
      <c r="L13" s="2" t="inlineStr">
        <is>
          <t>no real website (uses m.facebook.com)</t>
        </is>
      </c>
      <c r="M13" s="2" t="inlineStr">
        <is>
          <t>Hi Bancroft Roasters, Bardon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3" s="4" t="inlineStr">
        <is>
          <t>Open map</t>
        </is>
      </c>
      <c r="O13" s="2" t="inlineStr">
        <is>
          <t>Not contacted</t>
        </is>
      </c>
      <c r="P13" s="2" t="inlineStr"/>
      <c r="Q13" s="2" t="inlineStr"/>
      <c r="R13" s="2" t="inlineStr"/>
      <c r="S13" s="2" t="inlineStr"/>
    </row>
    <row r="14">
      <c r="A14" s="2" t="n">
        <v>13</v>
      </c>
      <c r="B14" s="3" t="inlineStr">
        <is>
          <t>HIGH</t>
        </is>
      </c>
      <c r="C14" s="2" t="inlineStr">
        <is>
          <t>No own website</t>
        </is>
      </c>
      <c r="D14" s="2" t="inlineStr">
        <is>
          <t>Bardon Thyme</t>
        </is>
      </c>
      <c r="E14" s="2" t="inlineStr">
        <is>
          <t>cafe</t>
        </is>
      </c>
      <c r="F14" s="2" t="inlineStr">
        <is>
          <t>Brisbane</t>
        </is>
      </c>
      <c r="G14" s="2" t="inlineStr">
        <is>
          <t>Instagram</t>
        </is>
      </c>
      <c r="H14" s="4" t="inlineStr">
        <is>
          <t>https://www.instagram.com/bardonthyme/?hl=en</t>
        </is>
      </c>
      <c r="I14" s="2" t="inlineStr"/>
      <c r="J14" s="2" t="inlineStr">
        <is>
          <t>+61 433 022 991</t>
        </is>
      </c>
      <c r="K14" s="4" t="inlineStr">
        <is>
          <t>https://www.instagram.com/bardonthyme/?hl=en</t>
        </is>
      </c>
      <c r="L14" s="2" t="inlineStr">
        <is>
          <t>no real website (uses www.instagram.com)</t>
        </is>
      </c>
      <c r="M14" s="2" t="inlineStr">
        <is>
          <t>Hi Bardon Thyme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14" s="4" t="inlineStr">
        <is>
          <t>Open map</t>
        </is>
      </c>
      <c r="O14" s="2" t="inlineStr">
        <is>
          <t>Not contacted</t>
        </is>
      </c>
      <c r="P14" s="2" t="inlineStr"/>
      <c r="Q14" s="2" t="inlineStr"/>
      <c r="R14" s="2" t="inlineStr"/>
      <c r="S14" s="2" t="inlineStr"/>
    </row>
    <row r="15">
      <c r="A15" s="2" t="n">
        <v>14</v>
      </c>
      <c r="B15" s="3" t="inlineStr">
        <is>
          <t>HIGH</t>
        </is>
      </c>
      <c r="C15" s="2" t="inlineStr">
        <is>
          <t>No own website</t>
        </is>
      </c>
      <c r="D15" s="2" t="inlineStr">
        <is>
          <t>Canter &amp; Colt</t>
        </is>
      </c>
      <c r="E15" s="2" t="inlineStr">
        <is>
          <t>cafe</t>
        </is>
      </c>
      <c r="F15" s="2" t="inlineStr">
        <is>
          <t>Brisbane</t>
        </is>
      </c>
      <c r="G15" s="2" t="inlineStr">
        <is>
          <t>Facebook</t>
        </is>
      </c>
      <c r="H15" s="2" t="inlineStr"/>
      <c r="I15" s="4" t="inlineStr">
        <is>
          <t>https://www.facebook.com/canterandcolt</t>
        </is>
      </c>
      <c r="J15" s="2" t="inlineStr">
        <is>
          <t>+61 7 3289 1087</t>
        </is>
      </c>
      <c r="K15" s="4" t="inlineStr">
        <is>
          <t>https://www.facebook.com/canterandcolt</t>
        </is>
      </c>
      <c r="L15" s="2" t="inlineStr">
        <is>
          <t>no real website (uses www.facebook.com)</t>
        </is>
      </c>
      <c r="M15" s="2" t="inlineStr">
        <is>
          <t>Hi Canter &amp; Colt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5" s="4" t="inlineStr">
        <is>
          <t>Open map</t>
        </is>
      </c>
      <c r="O15" s="2" t="inlineStr">
        <is>
          <t>Not contacted</t>
        </is>
      </c>
      <c r="P15" s="2" t="inlineStr"/>
      <c r="Q15" s="2" t="inlineStr"/>
      <c r="R15" s="2" t="inlineStr"/>
      <c r="S15" s="2" t="inlineStr"/>
    </row>
    <row r="16">
      <c r="A16" s="2" t="n">
        <v>15</v>
      </c>
      <c r="B16" s="3" t="inlineStr">
        <is>
          <t>HIGH</t>
        </is>
      </c>
      <c r="C16" s="2" t="inlineStr">
        <is>
          <t>No own website</t>
        </is>
      </c>
      <c r="D16" s="2" t="inlineStr">
        <is>
          <t>Coffee Warden</t>
        </is>
      </c>
      <c r="E16" s="2" t="inlineStr">
        <is>
          <t>cafe</t>
        </is>
      </c>
      <c r="F16" s="2" t="inlineStr">
        <is>
          <t>Brisbane</t>
        </is>
      </c>
      <c r="G16" s="2" t="inlineStr">
        <is>
          <t>Facebook</t>
        </is>
      </c>
      <c r="H16" s="2" t="inlineStr"/>
      <c r="I16" s="4" t="inlineStr">
        <is>
          <t>https://www.facebook.com/Coffee-Warden-Sandgate-380818316058328/</t>
        </is>
      </c>
      <c r="J16" s="2" t="inlineStr"/>
      <c r="K16" s="4" t="inlineStr">
        <is>
          <t>https://www.facebook.com/Coffee-Warden-Sandgate-380818316058328/</t>
        </is>
      </c>
      <c r="L16" s="2" t="inlineStr">
        <is>
          <t>no real website (uses www.facebook.com)</t>
        </is>
      </c>
      <c r="M16" s="2" t="inlineStr">
        <is>
          <t>Hi Coffee Warden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6" s="4" t="inlineStr">
        <is>
          <t>Open map</t>
        </is>
      </c>
      <c r="O16" s="2" t="inlineStr">
        <is>
          <t>Not contacted</t>
        </is>
      </c>
      <c r="P16" s="2" t="inlineStr"/>
      <c r="Q16" s="2" t="inlineStr"/>
      <c r="R16" s="2" t="inlineStr"/>
      <c r="S16" s="2" t="inlineStr"/>
    </row>
    <row r="17">
      <c r="A17" s="2" t="n">
        <v>16</v>
      </c>
      <c r="B17" s="3" t="inlineStr">
        <is>
          <t>HIGH</t>
        </is>
      </c>
      <c r="C17" s="2" t="inlineStr">
        <is>
          <t>No own website</t>
        </is>
      </c>
      <c r="D17" s="2" t="inlineStr">
        <is>
          <t>Coffee on the Way</t>
        </is>
      </c>
      <c r="E17" s="2" t="inlineStr">
        <is>
          <t>cafe</t>
        </is>
      </c>
      <c r="F17" s="2" t="inlineStr">
        <is>
          <t>Brisbane</t>
        </is>
      </c>
      <c r="G17" s="2" t="inlineStr">
        <is>
          <t>Facebook</t>
        </is>
      </c>
      <c r="H17" s="2" t="inlineStr"/>
      <c r="I17" s="4" t="inlineStr">
        <is>
          <t>https://www.facebook.com/people/Coffee-on-the-Way/100057414793271/</t>
        </is>
      </c>
      <c r="J17" s="2" t="inlineStr">
        <is>
          <t>+61 407 900 595</t>
        </is>
      </c>
      <c r="K17" s="4" t="inlineStr">
        <is>
          <t>https://www.facebook.com/people/Coffee-on-the-Way/100057414793271/</t>
        </is>
      </c>
      <c r="L17" s="2" t="inlineStr">
        <is>
          <t>no real website (uses www.facebook.com)</t>
        </is>
      </c>
      <c r="M17" s="2" t="inlineStr">
        <is>
          <t>Hi Coffee on the Way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7" s="4" t="inlineStr">
        <is>
          <t>Open map</t>
        </is>
      </c>
      <c r="O17" s="2" t="inlineStr">
        <is>
          <t>Not contacted</t>
        </is>
      </c>
      <c r="P17" s="2" t="inlineStr"/>
      <c r="Q17" s="2" t="inlineStr"/>
      <c r="R17" s="2" t="inlineStr"/>
      <c r="S17" s="2" t="inlineStr"/>
    </row>
    <row r="18">
      <c r="A18" s="2" t="n">
        <v>17</v>
      </c>
      <c r="B18" s="3" t="inlineStr">
        <is>
          <t>HIGH</t>
        </is>
      </c>
      <c r="C18" s="2" t="inlineStr">
        <is>
          <t>No own website</t>
        </is>
      </c>
      <c r="D18" s="2" t="inlineStr">
        <is>
          <t>Dropout Espresso</t>
        </is>
      </c>
      <c r="E18" s="2" t="inlineStr">
        <is>
          <t>cafe</t>
        </is>
      </c>
      <c r="F18" s="2" t="inlineStr">
        <is>
          <t>Brisbane</t>
        </is>
      </c>
      <c r="G18" s="2" t="inlineStr">
        <is>
          <t>Facebook</t>
        </is>
      </c>
      <c r="H18" s="2" t="inlineStr"/>
      <c r="I18" s="4" t="inlineStr">
        <is>
          <t>https://www.facebook.com/Dropout-espresso-110045364260266/</t>
        </is>
      </c>
      <c r="J18" s="2" t="inlineStr">
        <is>
          <t>+61 7 3289 5555</t>
        </is>
      </c>
      <c r="K18" s="4" t="inlineStr">
        <is>
          <t>https://www.facebook.com/Dropout-espresso-110045364260266/</t>
        </is>
      </c>
      <c r="L18" s="2" t="inlineStr">
        <is>
          <t>no real website (uses www.facebook.com)</t>
        </is>
      </c>
      <c r="M18" s="2" t="inlineStr">
        <is>
          <t>Hi Dropout Espresso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18" s="4" t="inlineStr">
        <is>
          <t>Open map</t>
        </is>
      </c>
      <c r="O18" s="2" t="inlineStr">
        <is>
          <t>Not contacted</t>
        </is>
      </c>
      <c r="P18" s="2" t="inlineStr"/>
      <c r="Q18" s="2" t="inlineStr"/>
      <c r="R18" s="2" t="inlineStr"/>
      <c r="S18" s="2" t="inlineStr"/>
    </row>
    <row r="19">
      <c r="A19" s="2" t="n">
        <v>18</v>
      </c>
      <c r="B19" s="3" t="inlineStr">
        <is>
          <t>HIGH</t>
        </is>
      </c>
      <c r="C19" s="2" t="inlineStr">
        <is>
          <t>No own website</t>
        </is>
      </c>
      <c r="D19" s="2" t="inlineStr">
        <is>
          <t>Fraser's Newstead</t>
        </is>
      </c>
      <c r="E19" s="2" t="inlineStr">
        <is>
          <t>cafe</t>
        </is>
      </c>
      <c r="F19" s="2" t="inlineStr">
        <is>
          <t>Brisbane</t>
        </is>
      </c>
      <c r="G19" s="2" t="inlineStr">
        <is>
          <t>Instagram</t>
        </is>
      </c>
      <c r="H19" s="4" t="inlineStr">
        <is>
          <t>https://www.instagram.com/frasersnewstead/</t>
        </is>
      </c>
      <c r="I19" s="2" t="inlineStr"/>
      <c r="J19" s="2" t="inlineStr"/>
      <c r="K19" s="4" t="inlineStr">
        <is>
          <t>https://www.instagram.com/frasersnewstead/</t>
        </is>
      </c>
      <c r="L19" s="2" t="inlineStr">
        <is>
          <t>no real website (uses www.instagram.com)</t>
        </is>
      </c>
      <c r="M19" s="2" t="inlineStr">
        <is>
          <t>Hi Fraser's Newstead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19" s="4" t="inlineStr">
        <is>
          <t>Open map</t>
        </is>
      </c>
      <c r="O19" s="2" t="inlineStr">
        <is>
          <t>Not contacted</t>
        </is>
      </c>
      <c r="P19" s="2" t="inlineStr"/>
      <c r="Q19" s="2" t="inlineStr"/>
      <c r="R19" s="2" t="inlineStr"/>
      <c r="S19" s="2" t="inlineStr"/>
    </row>
    <row r="20">
      <c r="A20" s="2" t="n">
        <v>19</v>
      </c>
      <c r="B20" s="3" t="inlineStr">
        <is>
          <t>HIGH</t>
        </is>
      </c>
      <c r="C20" s="2" t="inlineStr">
        <is>
          <t>No own website</t>
        </is>
      </c>
      <c r="D20" s="2" t="inlineStr">
        <is>
          <t>Graceville Moments Cafe</t>
        </is>
      </c>
      <c r="E20" s="2" t="inlineStr">
        <is>
          <t>cafe</t>
        </is>
      </c>
      <c r="F20" s="2" t="inlineStr">
        <is>
          <t>Brisbane</t>
        </is>
      </c>
      <c r="G20" s="2" t="inlineStr">
        <is>
          <t>Facebook</t>
        </is>
      </c>
      <c r="H20" s="2" t="inlineStr"/>
      <c r="I20" s="4" t="inlineStr">
        <is>
          <t>https://www.facebook.com/gracevillemoments/</t>
        </is>
      </c>
      <c r="J20" s="2" t="inlineStr">
        <is>
          <t>+61 402 680 192</t>
        </is>
      </c>
      <c r="K20" s="4" t="inlineStr">
        <is>
          <t>https://www.facebook.com/gracevillemoments/</t>
        </is>
      </c>
      <c r="L20" s="2" t="inlineStr">
        <is>
          <t>no real website (uses www.facebook.com)</t>
        </is>
      </c>
      <c r="M20" s="2" t="inlineStr">
        <is>
          <t>Hi Graceville Moments Cafe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0" s="4" t="inlineStr">
        <is>
          <t>Open map</t>
        </is>
      </c>
      <c r="O20" s="2" t="inlineStr">
        <is>
          <t>Not contacted</t>
        </is>
      </c>
      <c r="P20" s="2" t="inlineStr"/>
      <c r="Q20" s="2" t="inlineStr"/>
      <c r="R20" s="2" t="inlineStr"/>
      <c r="S20" s="2" t="inlineStr"/>
    </row>
    <row r="21">
      <c r="A21" s="2" t="n">
        <v>20</v>
      </c>
      <c r="B21" s="3" t="inlineStr">
        <is>
          <t>HIGH</t>
        </is>
      </c>
      <c r="C21" s="2" t="inlineStr">
        <is>
          <t>No own website</t>
        </is>
      </c>
      <c r="D21" s="2" t="inlineStr">
        <is>
          <t>Little Red Providore</t>
        </is>
      </c>
      <c r="E21" s="2" t="inlineStr">
        <is>
          <t>cafe</t>
        </is>
      </c>
      <c r="F21" s="2" t="inlineStr">
        <is>
          <t>Brisbane</t>
        </is>
      </c>
      <c r="G21" s="2" t="inlineStr">
        <is>
          <t>Facebook</t>
        </is>
      </c>
      <c r="H21" s="2" t="inlineStr"/>
      <c r="I21" s="4" t="inlineStr">
        <is>
          <t>https://www.facebook.com/littleredprovidore/</t>
        </is>
      </c>
      <c r="J21" s="2" t="inlineStr">
        <is>
          <t>+61 7 3369 4044</t>
        </is>
      </c>
      <c r="K21" s="4" t="inlineStr">
        <is>
          <t>https://www.facebook.com/littleredprovidore/</t>
        </is>
      </c>
      <c r="L21" s="2" t="inlineStr">
        <is>
          <t>no real website (uses www.facebook.com)</t>
        </is>
      </c>
      <c r="M21" s="2" t="inlineStr">
        <is>
          <t>Hi Little Red Providore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1" s="4" t="inlineStr">
        <is>
          <t>Open map</t>
        </is>
      </c>
      <c r="O21" s="2" t="inlineStr">
        <is>
          <t>Not contacted</t>
        </is>
      </c>
      <c r="P21" s="2" t="inlineStr"/>
      <c r="Q21" s="2" t="inlineStr"/>
      <c r="R21" s="2" t="inlineStr"/>
      <c r="S21" s="2" t="inlineStr"/>
    </row>
    <row r="22">
      <c r="A22" s="2" t="n">
        <v>21</v>
      </c>
      <c r="B22" s="3" t="inlineStr">
        <is>
          <t>HIGH</t>
        </is>
      </c>
      <c r="C22" s="2" t="inlineStr">
        <is>
          <t>No own website</t>
        </is>
      </c>
      <c r="D22" s="2" t="inlineStr">
        <is>
          <t>Paper Moon Coffee House and Functions</t>
        </is>
      </c>
      <c r="E22" s="2" t="inlineStr">
        <is>
          <t>cafe</t>
        </is>
      </c>
      <c r="F22" s="2" t="inlineStr">
        <is>
          <t>Brisbane</t>
        </is>
      </c>
      <c r="G22" s="2" t="inlineStr">
        <is>
          <t>Facebook</t>
        </is>
      </c>
      <c r="H22" s="2" t="inlineStr"/>
      <c r="I22" s="4" t="inlineStr">
        <is>
          <t>https://www.facebook.com/profile.php?id=61584852192002</t>
        </is>
      </c>
      <c r="J22" s="2" t="inlineStr">
        <is>
          <t>+61 408 135 812</t>
        </is>
      </c>
      <c r="K22" s="4" t="inlineStr">
        <is>
          <t>https://www.facebook.com/profile.php?id=61584852192002</t>
        </is>
      </c>
      <c r="L22" s="2" t="inlineStr">
        <is>
          <t>no real website (uses www.facebook.com)</t>
        </is>
      </c>
      <c r="M22" s="2" t="inlineStr">
        <is>
          <t>Hi Paper Moon Coffee House and Functions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2" s="4" t="inlineStr">
        <is>
          <t>Open map</t>
        </is>
      </c>
      <c r="O22" s="2" t="inlineStr">
        <is>
          <t>Not contacted</t>
        </is>
      </c>
      <c r="P22" s="2" t="inlineStr"/>
      <c r="Q22" s="2" t="inlineStr"/>
      <c r="R22" s="2" t="inlineStr"/>
      <c r="S22" s="2" t="inlineStr"/>
    </row>
    <row r="23">
      <c r="A23" s="2" t="n">
        <v>22</v>
      </c>
      <c r="B23" s="3" t="inlineStr">
        <is>
          <t>HIGH</t>
        </is>
      </c>
      <c r="C23" s="2" t="inlineStr">
        <is>
          <t>No own website</t>
        </is>
      </c>
      <c r="D23" s="2" t="inlineStr">
        <is>
          <t>Proud To Serve</t>
        </is>
      </c>
      <c r="E23" s="2" t="inlineStr">
        <is>
          <t>cafe</t>
        </is>
      </c>
      <c r="F23" s="2" t="inlineStr">
        <is>
          <t>Brisbane</t>
        </is>
      </c>
      <c r="G23" s="2" t="inlineStr">
        <is>
          <t>Facebook</t>
        </is>
      </c>
      <c r="H23" s="2" t="inlineStr"/>
      <c r="I23" s="4" t="inlineStr">
        <is>
          <t>https://www.facebook.com/people/PROUD-to-SERVE/100083122461252/</t>
        </is>
      </c>
      <c r="J23" s="2" t="inlineStr">
        <is>
          <t>+61 433 790 454</t>
        </is>
      </c>
      <c r="K23" s="4" t="inlineStr">
        <is>
          <t>https://www.facebook.com/people/PROUD-to-SERVE/100083122461252/</t>
        </is>
      </c>
      <c r="L23" s="2" t="inlineStr">
        <is>
          <t>no real website (uses www.facebook.com)</t>
        </is>
      </c>
      <c r="M23" s="2" t="inlineStr">
        <is>
          <t>Hi Proud To Serve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3" s="4" t="inlineStr">
        <is>
          <t>Open map</t>
        </is>
      </c>
      <c r="O23" s="2" t="inlineStr">
        <is>
          <t>Not contacted</t>
        </is>
      </c>
      <c r="P23" s="2" t="inlineStr"/>
      <c r="Q23" s="2" t="inlineStr"/>
      <c r="R23" s="2" t="inlineStr"/>
      <c r="S23" s="2" t="inlineStr"/>
    </row>
    <row r="24">
      <c r="A24" s="2" t="n">
        <v>23</v>
      </c>
      <c r="B24" s="3" t="inlineStr">
        <is>
          <t>HIGH</t>
        </is>
      </c>
      <c r="C24" s="2" t="inlineStr">
        <is>
          <t>No own website</t>
        </is>
      </c>
      <c r="D24" s="2" t="inlineStr">
        <is>
          <t>Remedy Espresso Cafe</t>
        </is>
      </c>
      <c r="E24" s="2" t="inlineStr">
        <is>
          <t>cafe</t>
        </is>
      </c>
      <c r="F24" s="2" t="inlineStr">
        <is>
          <t>Brisbane</t>
        </is>
      </c>
      <c r="G24" s="2" t="inlineStr">
        <is>
          <t>Facebook</t>
        </is>
      </c>
      <c r="H24" s="2" t="inlineStr"/>
      <c r="I24" s="4" t="inlineStr">
        <is>
          <t>https://www.facebook.com/remedyec/</t>
        </is>
      </c>
      <c r="J24" s="2" t="inlineStr">
        <is>
          <t>+61 7 3818 6687</t>
        </is>
      </c>
      <c r="K24" s="4" t="inlineStr">
        <is>
          <t>https://www.facebook.com/remedyec/</t>
        </is>
      </c>
      <c r="L24" s="2" t="inlineStr">
        <is>
          <t>no real website (uses www.facebook.com)</t>
        </is>
      </c>
      <c r="M24" s="2" t="inlineStr">
        <is>
          <t>Hi Remedy Espresso Cafe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4" s="4" t="inlineStr">
        <is>
          <t>Open map</t>
        </is>
      </c>
      <c r="O24" s="2" t="inlineStr">
        <is>
          <t>Not contacted</t>
        </is>
      </c>
      <c r="P24" s="2" t="inlineStr"/>
      <c r="Q24" s="2" t="inlineStr"/>
      <c r="R24" s="2" t="inlineStr"/>
      <c r="S24" s="2" t="inlineStr"/>
    </row>
    <row r="25">
      <c r="A25" s="2" t="n">
        <v>24</v>
      </c>
      <c r="B25" s="3" t="inlineStr">
        <is>
          <t>HIGH</t>
        </is>
      </c>
      <c r="C25" s="2" t="inlineStr">
        <is>
          <t>No own website</t>
        </is>
      </c>
      <c r="D25" s="2" t="inlineStr">
        <is>
          <t>Rooka Acai</t>
        </is>
      </c>
      <c r="E25" s="2" t="inlineStr">
        <is>
          <t>cafe</t>
        </is>
      </c>
      <c r="F25" s="2" t="inlineStr">
        <is>
          <t>Brisbane</t>
        </is>
      </c>
      <c r="G25" s="2" t="inlineStr">
        <is>
          <t>Instagram</t>
        </is>
      </c>
      <c r="H25" s="4" t="inlineStr">
        <is>
          <t>https://www.instagram.com/rookaacai</t>
        </is>
      </c>
      <c r="I25" s="2" t="inlineStr"/>
      <c r="J25" s="2" t="inlineStr">
        <is>
          <t>+61 435 383 803</t>
        </is>
      </c>
      <c r="K25" s="4" t="inlineStr">
        <is>
          <t>https://www.instagram.com/rookaacai</t>
        </is>
      </c>
      <c r="L25" s="2" t="inlineStr">
        <is>
          <t>no real website (uses www.instagram.com)</t>
        </is>
      </c>
      <c r="M25" s="2" t="inlineStr">
        <is>
          <t>Hi Rooka Acai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25" s="4" t="inlineStr">
        <is>
          <t>Open map</t>
        </is>
      </c>
      <c r="O25" s="2" t="inlineStr">
        <is>
          <t>Not contacted</t>
        </is>
      </c>
      <c r="P25" s="2" t="inlineStr"/>
      <c r="Q25" s="2" t="inlineStr"/>
      <c r="R25" s="2" t="inlineStr"/>
      <c r="S25" s="2" t="inlineStr"/>
    </row>
    <row r="26">
      <c r="A26" s="2" t="n">
        <v>25</v>
      </c>
      <c r="B26" s="3" t="inlineStr">
        <is>
          <t>HIGH</t>
        </is>
      </c>
      <c r="C26" s="2" t="inlineStr">
        <is>
          <t>No own website</t>
        </is>
      </c>
      <c r="D26" s="2" t="inlineStr">
        <is>
          <t>Story Behind The Coffee</t>
        </is>
      </c>
      <c r="E26" s="2" t="inlineStr">
        <is>
          <t>cafe</t>
        </is>
      </c>
      <c r="F26" s="2" t="inlineStr">
        <is>
          <t>Brisbane</t>
        </is>
      </c>
      <c r="G26" s="2" t="inlineStr">
        <is>
          <t>Facebook</t>
        </is>
      </c>
      <c r="H26" s="2" t="inlineStr"/>
      <c r="I26" s="4" t="inlineStr">
        <is>
          <t>https://www.facebook.com/storybehindthecoffee/</t>
        </is>
      </c>
      <c r="J26" s="2" t="inlineStr">
        <is>
          <t>+61 475 209 660</t>
        </is>
      </c>
      <c r="K26" s="4" t="inlineStr">
        <is>
          <t>https://www.facebook.com/storybehindthecoffee/</t>
        </is>
      </c>
      <c r="L26" s="2" t="inlineStr">
        <is>
          <t>no real website (uses www.facebook.com)</t>
        </is>
      </c>
      <c r="M26" s="2" t="inlineStr">
        <is>
          <t>Hi Story Behind The Coffee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6" s="4" t="inlineStr">
        <is>
          <t>Open map</t>
        </is>
      </c>
      <c r="O26" s="2" t="inlineStr">
        <is>
          <t>Not contacted</t>
        </is>
      </c>
      <c r="P26" s="2" t="inlineStr"/>
      <c r="Q26" s="2" t="inlineStr"/>
      <c r="R26" s="2" t="inlineStr"/>
      <c r="S26" s="2" t="inlineStr"/>
    </row>
    <row r="27">
      <c r="A27" s="2" t="n">
        <v>26</v>
      </c>
      <c r="B27" s="3" t="inlineStr">
        <is>
          <t>HIGH</t>
        </is>
      </c>
      <c r="C27" s="2" t="inlineStr">
        <is>
          <t>No own website</t>
        </is>
      </c>
      <c r="D27" s="2" t="inlineStr">
        <is>
          <t>Sundays Cafe</t>
        </is>
      </c>
      <c r="E27" s="2" t="inlineStr">
        <is>
          <t>cafe</t>
        </is>
      </c>
      <c r="F27" s="2" t="inlineStr">
        <is>
          <t>Brisbane</t>
        </is>
      </c>
      <c r="G27" s="2" t="inlineStr">
        <is>
          <t>Facebook</t>
        </is>
      </c>
      <c r="H27" s="2" t="inlineStr"/>
      <c r="I27" s="4" t="inlineStr">
        <is>
          <t>https://www.facebook.com/SundaysCoffeeHouseRocklea/</t>
        </is>
      </c>
      <c r="J27" s="2" t="inlineStr">
        <is>
          <t>+61 7 3150 8771</t>
        </is>
      </c>
      <c r="K27" s="4" t="inlineStr">
        <is>
          <t>https://www.facebook.com/SundaysCoffeeHouseRocklea/</t>
        </is>
      </c>
      <c r="L27" s="2" t="inlineStr">
        <is>
          <t>no real website (uses www.facebook.com)</t>
        </is>
      </c>
      <c r="M27" s="2" t="inlineStr">
        <is>
          <t>Hi Sundays Cafe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7" s="4" t="inlineStr">
        <is>
          <t>Open map</t>
        </is>
      </c>
      <c r="O27" s="2" t="inlineStr">
        <is>
          <t>Not contacted</t>
        </is>
      </c>
      <c r="P27" s="2" t="inlineStr"/>
      <c r="Q27" s="2" t="inlineStr"/>
      <c r="R27" s="2" t="inlineStr"/>
      <c r="S27" s="2" t="inlineStr"/>
    </row>
    <row r="28">
      <c r="A28" s="2" t="n">
        <v>27</v>
      </c>
      <c r="B28" s="3" t="inlineStr">
        <is>
          <t>HIGH</t>
        </is>
      </c>
      <c r="C28" s="2" t="inlineStr">
        <is>
          <t>No own website</t>
        </is>
      </c>
      <c r="D28" s="2" t="inlineStr">
        <is>
          <t>The Brass</t>
        </is>
      </c>
      <c r="E28" s="2" t="inlineStr">
        <is>
          <t>cafe</t>
        </is>
      </c>
      <c r="F28" s="2" t="inlineStr">
        <is>
          <t>Brisbane</t>
        </is>
      </c>
      <c r="G28" s="2" t="inlineStr">
        <is>
          <t>Facebook</t>
        </is>
      </c>
      <c r="H28" s="2" t="inlineStr"/>
      <c r="I28" s="4" t="inlineStr">
        <is>
          <t>https://www.facebook.com/profile.php?id=100093799565639</t>
        </is>
      </c>
      <c r="J28" s="2" t="inlineStr">
        <is>
          <t>+61 7 3113 3636</t>
        </is>
      </c>
      <c r="K28" s="4" t="inlineStr">
        <is>
          <t>https://www.facebook.com/profile.php?id=100093799565639</t>
        </is>
      </c>
      <c r="L28" s="2" t="inlineStr">
        <is>
          <t>no real website (uses www.facebook.com)</t>
        </is>
      </c>
      <c r="M28" s="2" t="inlineStr">
        <is>
          <t>Hi The Brass team! [one real detail from their page]. We're AceAds, a web design studio. We noticed that when people in Brisbane search for a cafe on Google, they only find your Facebook, not a website of your own. We'd be happy to make you a free preview of what a website could look like. Want one? No cost, no obligation.</t>
        </is>
      </c>
      <c r="N28" s="4" t="inlineStr">
        <is>
          <t>Open map</t>
        </is>
      </c>
      <c r="O28" s="2" t="inlineStr">
        <is>
          <t>Not contacted</t>
        </is>
      </c>
      <c r="P28" s="2" t="inlineStr"/>
      <c r="Q28" s="2" t="inlineStr"/>
      <c r="R28" s="2" t="inlineStr"/>
      <c r="S28" s="2" t="inlineStr"/>
    </row>
    <row r="29">
      <c r="A29" s="2" t="n">
        <v>28</v>
      </c>
      <c r="B29" s="3" t="inlineStr">
        <is>
          <t>HIGH</t>
        </is>
      </c>
      <c r="C29" s="2" t="inlineStr">
        <is>
          <t>No own website</t>
        </is>
      </c>
      <c r="D29" s="2" t="inlineStr">
        <is>
          <t>The Woolshed.</t>
        </is>
      </c>
      <c r="E29" s="2" t="inlineStr">
        <is>
          <t>cafe</t>
        </is>
      </c>
      <c r="F29" s="2" t="inlineStr">
        <is>
          <t>Brisbane</t>
        </is>
      </c>
      <c r="G29" s="2" t="inlineStr">
        <is>
          <t>Instagram</t>
        </is>
      </c>
      <c r="H29" s="4" t="inlineStr">
        <is>
          <t>https://www.instagram.com/woolshed.bne/</t>
        </is>
      </c>
      <c r="I29" s="2" t="inlineStr"/>
      <c r="J29" s="2" t="inlineStr"/>
      <c r="K29" s="4" t="inlineStr">
        <is>
          <t>https://www.instagram.com/woolshed.bne/</t>
        </is>
      </c>
      <c r="L29" s="2" t="inlineStr">
        <is>
          <t>no real website (uses www.instagram.com)</t>
        </is>
      </c>
      <c r="M29" s="2" t="inlineStr">
        <is>
          <t>Hi The Woolshed.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29" s="4" t="inlineStr">
        <is>
          <t>Open map</t>
        </is>
      </c>
      <c r="O29" s="2" t="inlineStr">
        <is>
          <t>Not contacted</t>
        </is>
      </c>
      <c r="P29" s="2" t="inlineStr"/>
      <c r="Q29" s="2" t="inlineStr"/>
      <c r="R29" s="2" t="inlineStr"/>
      <c r="S29" s="2" t="inlineStr"/>
    </row>
    <row r="30">
      <c r="A30" s="2" t="n">
        <v>29</v>
      </c>
      <c r="B30" s="3" t="inlineStr">
        <is>
          <t>HIGH</t>
        </is>
      </c>
      <c r="C30" s="2" t="inlineStr">
        <is>
          <t>No own website</t>
        </is>
      </c>
      <c r="D30" s="2" t="inlineStr">
        <is>
          <t>Vinty Bean</t>
        </is>
      </c>
      <c r="E30" s="2" t="inlineStr">
        <is>
          <t>cafe</t>
        </is>
      </c>
      <c r="F30" s="2" t="inlineStr">
        <is>
          <t>Brisbane</t>
        </is>
      </c>
      <c r="G30" s="2" t="inlineStr">
        <is>
          <t>Instagram</t>
        </is>
      </c>
      <c r="H30" s="4" t="inlineStr">
        <is>
          <t>https://www.instagram.com/vintybean/</t>
        </is>
      </c>
      <c r="I30" s="2" t="inlineStr"/>
      <c r="J30" s="2" t="inlineStr"/>
      <c r="K30" s="4" t="inlineStr">
        <is>
          <t>https://www.instagram.com/vintybean/</t>
        </is>
      </c>
      <c r="L30" s="2" t="inlineStr">
        <is>
          <t>no real website (uses www.instagram.com)</t>
        </is>
      </c>
      <c r="M30" s="2" t="inlineStr">
        <is>
          <t>Hi Vinty Bean team! [one real detail from their page]. We're AceAds, a web design studio. We noticed that when people in Brisbane search for a cafe on Google, they only find your Instagram, not a website of your own. We'd be happy to make you a free preview of what a website could look like. Want one? No cost, no obligation.</t>
        </is>
      </c>
      <c r="N30" s="4" t="inlineStr">
        <is>
          <t>Open map</t>
        </is>
      </c>
      <c r="O30" s="2" t="inlineStr">
        <is>
          <t>Not contacted</t>
        </is>
      </c>
      <c r="P30" s="2" t="inlineStr"/>
      <c r="Q30" s="2" t="inlineStr"/>
      <c r="R30" s="2" t="inlineStr"/>
      <c r="S30" s="2" t="inlineStr"/>
    </row>
    <row r="31">
      <c r="A31" s="2" t="n">
        <v>30</v>
      </c>
      <c r="B31" s="3" t="inlineStr">
        <is>
          <t>HIGH</t>
        </is>
      </c>
      <c r="C31" s="2" t="inlineStr">
        <is>
          <t>No own website</t>
        </is>
      </c>
      <c r="D31" s="2" t="inlineStr">
        <is>
          <t>Dinmore Fruit Barn</t>
        </is>
      </c>
      <c r="E31" s="2" t="inlineStr">
        <is>
          <t>deli or specialty food</t>
        </is>
      </c>
      <c r="F31" s="2" t="inlineStr">
        <is>
          <t>Brisbane</t>
        </is>
      </c>
      <c r="G31" s="2" t="inlineStr">
        <is>
          <t>Facebook</t>
        </is>
      </c>
      <c r="H31" s="2" t="inlineStr"/>
      <c r="I31" s="4" t="inlineStr">
        <is>
          <t>https://www.facebook.com/pages/Dinmore-Fruit-Barn/190399727707208</t>
        </is>
      </c>
      <c r="J31" s="2" t="inlineStr">
        <is>
          <t>+61 7 3282 4221</t>
        </is>
      </c>
      <c r="K31" s="4" t="inlineStr">
        <is>
          <t>https://www.facebook.com/pages/Dinmore-Fruit-Barn/190399727707208</t>
        </is>
      </c>
      <c r="L31" s="2" t="inlineStr">
        <is>
          <t>no real website (uses www.facebook.com)</t>
        </is>
      </c>
      <c r="M31" s="2" t="inlineStr">
        <is>
          <t>Hi Dinmore Fruit Barn team! [one real detail from their page]. We're AceAds, a web design studio. We noticed that when people in Brisbane search for a local food store on Google, they only find your Facebook, not a website of your own. We'd be happy to make you a free preview of what a website could look like. Want one? No cost, no obligation.</t>
        </is>
      </c>
      <c r="N31" s="4" t="inlineStr">
        <is>
          <t>Open map</t>
        </is>
      </c>
      <c r="O31" s="2" t="inlineStr">
        <is>
          <t>Not contacted</t>
        </is>
      </c>
      <c r="P31" s="2" t="inlineStr"/>
      <c r="Q31" s="2" t="inlineStr"/>
      <c r="R31" s="2" t="inlineStr"/>
      <c r="S31" s="2" t="inlineStr"/>
    </row>
    <row r="32">
      <c r="A32" s="2" t="n">
        <v>31</v>
      </c>
      <c r="B32" s="3" t="inlineStr">
        <is>
          <t>HIGH</t>
        </is>
      </c>
      <c r="C32" s="2" t="inlineStr">
        <is>
          <t>No own website</t>
        </is>
      </c>
      <c r="D32" s="2" t="inlineStr">
        <is>
          <t>Kadison And Lealta</t>
        </is>
      </c>
      <c r="E32" s="2" t="inlineStr">
        <is>
          <t>florist</t>
        </is>
      </c>
      <c r="F32" s="2" t="inlineStr">
        <is>
          <t>Brisbane</t>
        </is>
      </c>
      <c r="G32" s="2" t="inlineStr">
        <is>
          <t>Facebook</t>
        </is>
      </c>
      <c r="H32" s="2" t="inlineStr"/>
      <c r="I32" s="4" t="inlineStr">
        <is>
          <t>https://www.facebook.com/kadisonandlealta/</t>
        </is>
      </c>
      <c r="J32" s="2" t="inlineStr">
        <is>
          <t>+61 431 454 413</t>
        </is>
      </c>
      <c r="K32" s="4" t="inlineStr">
        <is>
          <t>https://www.facebook.com/kadisonandlealta/</t>
        </is>
      </c>
      <c r="L32" s="2" t="inlineStr">
        <is>
          <t>no real website (uses www.facebook.com)</t>
        </is>
      </c>
      <c r="M32" s="2" t="inlineStr">
        <is>
          <t>Hi Kadison And Lealta team! [one real detail from their page]. We're AceAds, a web design studio. We noticed that when people in Brisbane search for a florist on Google, they only find your Facebook, not a website of your own. We'd be happy to make you a free preview of what a website could look like. Want one? No cost, no obligation.</t>
        </is>
      </c>
      <c r="N32" s="4" t="inlineStr">
        <is>
          <t>Open map</t>
        </is>
      </c>
      <c r="O32" s="2" t="inlineStr">
        <is>
          <t>Not contacted</t>
        </is>
      </c>
      <c r="P32" s="2" t="inlineStr"/>
      <c r="Q32" s="2" t="inlineStr"/>
      <c r="R32" s="2" t="inlineStr"/>
      <c r="S32" s="2" t="inlineStr"/>
    </row>
    <row r="33">
      <c r="A33" s="2" t="n">
        <v>32</v>
      </c>
      <c r="B33" s="3" t="inlineStr">
        <is>
          <t>HIGH</t>
        </is>
      </c>
      <c r="C33" s="2" t="inlineStr">
        <is>
          <t>No own website</t>
        </is>
      </c>
      <c r="D33" s="2" t="inlineStr">
        <is>
          <t>Cherished Creations</t>
        </is>
      </c>
      <c r="E33" s="2" t="inlineStr">
        <is>
          <t>gift or homewares</t>
        </is>
      </c>
      <c r="F33" s="2" t="inlineStr">
        <is>
          <t>Brisbane</t>
        </is>
      </c>
      <c r="G33" s="2" t="inlineStr">
        <is>
          <t>Facebook</t>
        </is>
      </c>
      <c r="H33" s="2" t="inlineStr"/>
      <c r="I33" s="4" t="inlineStr">
        <is>
          <t>https://www.facebook.com/cherishedcreationshandmade/</t>
        </is>
      </c>
      <c r="J33" s="2" t="inlineStr">
        <is>
          <t>+61 419 343 235</t>
        </is>
      </c>
      <c r="K33" s="4" t="inlineStr">
        <is>
          <t>https://www.facebook.com/cherishedcreationshandmade/</t>
        </is>
      </c>
      <c r="L33" s="2" t="inlineStr">
        <is>
          <t>no real website (uses www.facebook.com)</t>
        </is>
      </c>
      <c r="M33" s="2" t="inlineStr">
        <is>
          <t>Hi Cherished Creations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3" s="4" t="inlineStr">
        <is>
          <t>Open map</t>
        </is>
      </c>
      <c r="O33" s="2" t="inlineStr">
        <is>
          <t>Not contacted</t>
        </is>
      </c>
      <c r="P33" s="2" t="inlineStr"/>
      <c r="Q33" s="2" t="inlineStr"/>
      <c r="R33" s="2" t="inlineStr"/>
      <c r="S33" s="2" t="inlineStr"/>
    </row>
    <row r="34">
      <c r="A34" s="2" t="n">
        <v>33</v>
      </c>
      <c r="B34" s="3" t="inlineStr">
        <is>
          <t>HIGH</t>
        </is>
      </c>
      <c r="C34" s="2" t="inlineStr">
        <is>
          <t>No own website</t>
        </is>
      </c>
      <c r="D34" s="2" t="inlineStr">
        <is>
          <t>Makers on Main</t>
        </is>
      </c>
      <c r="E34" s="2" t="inlineStr">
        <is>
          <t>gift or homewares</t>
        </is>
      </c>
      <c r="F34" s="2" t="inlineStr">
        <is>
          <t>Brisbane</t>
        </is>
      </c>
      <c r="G34" s="2" t="inlineStr">
        <is>
          <t>Facebook</t>
        </is>
      </c>
      <c r="H34" s="2" t="inlineStr"/>
      <c r="I34" s="4" t="inlineStr">
        <is>
          <t>https://www.facebook.com/Makers-On-Main-281063809243994/</t>
        </is>
      </c>
      <c r="J34" s="2" t="inlineStr">
        <is>
          <t>+61 458 966 151</t>
        </is>
      </c>
      <c r="K34" s="4" t="inlineStr">
        <is>
          <t>https://www.facebook.com/Makers-On-Main-281063809243994/</t>
        </is>
      </c>
      <c r="L34" s="2" t="inlineStr">
        <is>
          <t>no real website (uses www.facebook.com)</t>
        </is>
      </c>
      <c r="M34" s="2" t="inlineStr">
        <is>
          <t>Hi Makers on Main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4" s="4" t="inlineStr">
        <is>
          <t>Open map</t>
        </is>
      </c>
      <c r="O34" s="2" t="inlineStr">
        <is>
          <t>Not contacted</t>
        </is>
      </c>
      <c r="P34" s="2" t="inlineStr"/>
      <c r="Q34" s="2" t="inlineStr"/>
      <c r="R34" s="2" t="inlineStr"/>
      <c r="S34" s="2" t="inlineStr"/>
    </row>
    <row r="35">
      <c r="A35" s="2" t="n">
        <v>34</v>
      </c>
      <c r="B35" s="3" t="inlineStr">
        <is>
          <t>HIGH</t>
        </is>
      </c>
      <c r="C35" s="2" t="inlineStr">
        <is>
          <t>No own website</t>
        </is>
      </c>
      <c r="D35" s="2" t="inlineStr">
        <is>
          <t>Petrie 2nd Hand Furniture</t>
        </is>
      </c>
      <c r="E35" s="2" t="inlineStr">
        <is>
          <t>gift or homewares</t>
        </is>
      </c>
      <c r="F35" s="2" t="inlineStr">
        <is>
          <t>Brisbane</t>
        </is>
      </c>
      <c r="G35" s="2" t="inlineStr">
        <is>
          <t>Facebook</t>
        </is>
      </c>
      <c r="H35" s="2" t="inlineStr"/>
      <c r="I35" s="4" t="inlineStr">
        <is>
          <t>https://www.facebook.com/people/Petrie-secondhand-furniture/100057573274067/</t>
        </is>
      </c>
      <c r="J35" s="2" t="inlineStr">
        <is>
          <t>+61 432 059 374</t>
        </is>
      </c>
      <c r="K35" s="4" t="inlineStr">
        <is>
          <t>https://petrie-secondhand-furniture.business.site/</t>
        </is>
      </c>
      <c r="L35" s="2" t="inlineStr">
        <is>
          <t>no real website (uses petrie-secondhand-furniture.business.site)</t>
        </is>
      </c>
      <c r="M35" s="2" t="inlineStr">
        <is>
          <t>Hi Petrie 2nd Hand Furniture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5" s="4" t="inlineStr">
        <is>
          <t>Open map</t>
        </is>
      </c>
      <c r="O35" s="2" t="inlineStr">
        <is>
          <t>Not contacted</t>
        </is>
      </c>
      <c r="P35" s="2" t="inlineStr"/>
      <c r="Q35" s="2" t="inlineStr"/>
      <c r="R35" s="2" t="inlineStr"/>
      <c r="S35" s="2" t="inlineStr"/>
    </row>
    <row r="36">
      <c r="A36" s="2" t="n">
        <v>35</v>
      </c>
      <c r="B36" s="3" t="inlineStr">
        <is>
          <t>HIGH</t>
        </is>
      </c>
      <c r="C36" s="2" t="inlineStr">
        <is>
          <t>No own website</t>
        </is>
      </c>
      <c r="D36" s="2" t="inlineStr">
        <is>
          <t>Shady Dayz Gifts &amp; Homewares</t>
        </is>
      </c>
      <c r="E36" s="2" t="inlineStr">
        <is>
          <t>gift or homewares</t>
        </is>
      </c>
      <c r="F36" s="2" t="inlineStr">
        <is>
          <t>Brisbane</t>
        </is>
      </c>
      <c r="G36" s="2" t="inlineStr">
        <is>
          <t>Facebook</t>
        </is>
      </c>
      <c r="H36" s="2" t="inlineStr"/>
      <c r="I36" s="4" t="inlineStr">
        <is>
          <t>https://www.facebook.com/shadydayzgifts/</t>
        </is>
      </c>
      <c r="J36" s="2" t="inlineStr">
        <is>
          <t>+61 7 3289 1833</t>
        </is>
      </c>
      <c r="K36" s="4" t="inlineStr">
        <is>
          <t>https://www.facebook.com/shadydayzgifts/</t>
        </is>
      </c>
      <c r="L36" s="2" t="inlineStr">
        <is>
          <t>no real website (uses www.facebook.com)</t>
        </is>
      </c>
      <c r="M36" s="2" t="inlineStr">
        <is>
          <t>Hi Shady Dayz Gifts &amp; Homewares team! [one real detail from their page]. We're AceAds, a web design studio. We noticed that when people in Brisbane search for a gift shop on Google, they only find your Facebook, not a website of your own. We'd be happy to make you a free preview of what a website could look like. Want one? No cost, no obligation.</t>
        </is>
      </c>
      <c r="N36" s="4" t="inlineStr">
        <is>
          <t>Open map</t>
        </is>
      </c>
      <c r="O36" s="2" t="inlineStr">
        <is>
          <t>Not contacted</t>
        </is>
      </c>
      <c r="P36" s="2" t="inlineStr"/>
      <c r="Q36" s="2" t="inlineStr"/>
      <c r="R36" s="2" t="inlineStr"/>
      <c r="S36" s="2" t="inlineStr"/>
    </row>
    <row r="37">
      <c r="A37" s="2" t="n">
        <v>36</v>
      </c>
      <c r="B37" s="3" t="inlineStr">
        <is>
          <t>HIGH</t>
        </is>
      </c>
      <c r="C37" s="2" t="inlineStr">
        <is>
          <t>No own website</t>
        </is>
      </c>
      <c r="D37" s="2" t="inlineStr">
        <is>
          <t>Ascot Automotive</t>
        </is>
      </c>
      <c r="E37" s="2" t="inlineStr">
        <is>
          <t>mechanic</t>
        </is>
      </c>
      <c r="F37" s="2" t="inlineStr">
        <is>
          <t>Brisbane</t>
        </is>
      </c>
      <c r="G37" s="2" t="inlineStr">
        <is>
          <t>Facebook</t>
        </is>
      </c>
      <c r="H37" s="2" t="inlineStr"/>
      <c r="I37" s="4" t="inlineStr">
        <is>
          <t>https://www.facebook.com/ascotautomotive4007/</t>
        </is>
      </c>
      <c r="J37" s="2" t="inlineStr">
        <is>
          <t>+61 7 3262 2433</t>
        </is>
      </c>
      <c r="K37" s="4" t="inlineStr">
        <is>
          <t>https://www.facebook.com/ascotautomotive4007/</t>
        </is>
      </c>
      <c r="L37" s="2" t="inlineStr">
        <is>
          <t>no real website (uses www.facebook.com)</t>
        </is>
      </c>
      <c r="M37" s="2" t="inlineStr">
        <is>
          <t>Hi Ascot Automotive team! [one real detail from their page]. We're AceAds, a web design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N37" s="4" t="inlineStr">
        <is>
          <t>Open map</t>
        </is>
      </c>
      <c r="O37" s="2" t="inlineStr">
        <is>
          <t>Not contacted</t>
        </is>
      </c>
      <c r="P37" s="2" t="inlineStr"/>
      <c r="Q37" s="2" t="inlineStr"/>
      <c r="R37" s="2" t="inlineStr"/>
      <c r="S37" s="2" t="inlineStr"/>
    </row>
    <row r="38">
      <c r="A38" s="2" t="n">
        <v>37</v>
      </c>
      <c r="B38" s="3" t="inlineStr">
        <is>
          <t>HIGH</t>
        </is>
      </c>
      <c r="C38" s="2" t="inlineStr">
        <is>
          <t>No own website</t>
        </is>
      </c>
      <c r="D38" s="2" t="inlineStr">
        <is>
          <t>Next Up Performance &amp; Dyno Tuning</t>
        </is>
      </c>
      <c r="E38" s="2" t="inlineStr">
        <is>
          <t>mechanic</t>
        </is>
      </c>
      <c r="F38" s="2" t="inlineStr">
        <is>
          <t>Brisbane</t>
        </is>
      </c>
      <c r="G38" s="2" t="inlineStr">
        <is>
          <t>Facebook</t>
        </is>
      </c>
      <c r="H38" s="2" t="inlineStr"/>
      <c r="I38" s="4" t="inlineStr">
        <is>
          <t>https://www.facebook.com/next.up.5/</t>
        </is>
      </c>
      <c r="J38" s="2" t="inlineStr"/>
      <c r="K38" s="4" t="inlineStr">
        <is>
          <t>https://www.facebook.com/next.up.5/</t>
        </is>
      </c>
      <c r="L38" s="2" t="inlineStr">
        <is>
          <t>no real website (uses www.facebook.com)</t>
        </is>
      </c>
      <c r="M38" s="2" t="inlineStr">
        <is>
          <t>Hi Next Up Performance &amp; Dyno Tuning team! [one real detail from their page]. We're AceAds, a web design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N38" s="4" t="inlineStr">
        <is>
          <t>Open map</t>
        </is>
      </c>
      <c r="O38" s="2" t="inlineStr">
        <is>
          <t>Not contacted</t>
        </is>
      </c>
      <c r="P38" s="2" t="inlineStr"/>
      <c r="Q38" s="2" t="inlineStr"/>
      <c r="R38" s="2" t="inlineStr"/>
      <c r="S38" s="2" t="inlineStr"/>
    </row>
    <row r="39">
      <c r="A39" s="2" t="n">
        <v>38</v>
      </c>
      <c r="B39" s="3" t="inlineStr">
        <is>
          <t>HIGH</t>
        </is>
      </c>
      <c r="C39" s="2" t="inlineStr">
        <is>
          <t>No own website</t>
        </is>
      </c>
      <c r="D39" s="2" t="inlineStr">
        <is>
          <t>Prince Auto &amp; Tyre Service</t>
        </is>
      </c>
      <c r="E39" s="2" t="inlineStr">
        <is>
          <t>mechanic</t>
        </is>
      </c>
      <c r="F39" s="2" t="inlineStr">
        <is>
          <t>Brisbane</t>
        </is>
      </c>
      <c r="G39" s="2" t="inlineStr">
        <is>
          <t>Facebook</t>
        </is>
      </c>
      <c r="H39" s="2" t="inlineStr"/>
      <c r="I39" s="4" t="inlineStr">
        <is>
          <t>https://www.facebook.com/princeauto111/</t>
        </is>
      </c>
      <c r="J39" s="2" t="inlineStr">
        <is>
          <t>+61 402 779 568</t>
        </is>
      </c>
      <c r="K39" s="4" t="inlineStr">
        <is>
          <t>https://www.facebook.com/princeauto111/</t>
        </is>
      </c>
      <c r="L39" s="2" t="inlineStr">
        <is>
          <t>no real website (uses www.facebook.com)</t>
        </is>
      </c>
      <c r="M39" s="2" t="inlineStr">
        <is>
          <t>Hi Prince Auto &amp; Tyre Service team! [one real detail from their page]. We're AceAds, a web design studio. We noticed that when people in Brisbane search for a mechanic on Google, they only find your Facebook, not a website of your own. We'd be happy to make you a free preview of what a website could look like. Want one? No cost, no obligation.</t>
        </is>
      </c>
      <c r="N39" s="4" t="inlineStr">
        <is>
          <t>Open map</t>
        </is>
      </c>
      <c r="O39" s="2" t="inlineStr">
        <is>
          <t>Not contacted</t>
        </is>
      </c>
      <c r="P39" s="2" t="inlineStr"/>
      <c r="Q39" s="2" t="inlineStr"/>
      <c r="R39" s="2" t="inlineStr"/>
      <c r="S39" s="2" t="inlineStr"/>
    </row>
    <row r="40">
      <c r="A40" s="2" t="n">
        <v>39</v>
      </c>
      <c r="B40" s="3" t="inlineStr">
        <is>
          <t>HIGH</t>
        </is>
      </c>
      <c r="C40" s="2" t="inlineStr">
        <is>
          <t>No own website</t>
        </is>
      </c>
      <c r="D40" s="2" t="inlineStr">
        <is>
          <t>Shear Designz</t>
        </is>
      </c>
      <c r="E40" s="2" t="inlineStr">
        <is>
          <t>pet business</t>
        </is>
      </c>
      <c r="F40" s="2" t="inlineStr">
        <is>
          <t>Brisbane</t>
        </is>
      </c>
      <c r="G40" s="2" t="inlineStr">
        <is>
          <t>Facebook</t>
        </is>
      </c>
      <c r="H40" s="2" t="inlineStr"/>
      <c r="I40" s="4" t="inlineStr">
        <is>
          <t>https://www.facebook.com/caninestylist.com.au/</t>
        </is>
      </c>
      <c r="J40" s="2" t="inlineStr">
        <is>
          <t>+61 7 3889 0333</t>
        </is>
      </c>
      <c r="K40" s="4" t="inlineStr">
        <is>
          <t>https://www.facebook.com/caninestylist.com.au/</t>
        </is>
      </c>
      <c r="L40" s="2" t="inlineStr">
        <is>
          <t>no real website (uses www.facebook.com)</t>
        </is>
      </c>
      <c r="M40" s="2" t="inlineStr">
        <is>
          <t>Hi Shear Designz team! [one real detail from their page]. We're AceAds, a web design studio. We noticed that when people in Brisbane search for a pet shop on Google, they only find your Facebook, not a website of your own. We'd be happy to make you a free preview of what a website could look like. Want one? No cost, no obligation.</t>
        </is>
      </c>
      <c r="N40" s="4" t="inlineStr">
        <is>
          <t>Open map</t>
        </is>
      </c>
      <c r="O40" s="2" t="inlineStr">
        <is>
          <t>Not contacted</t>
        </is>
      </c>
      <c r="P40" s="2" t="inlineStr"/>
      <c r="Q40" s="2" t="inlineStr"/>
      <c r="R40" s="2" t="inlineStr"/>
      <c r="S40" s="2" t="inlineStr"/>
    </row>
    <row r="41">
      <c r="A41" s="2" t="n">
        <v>40</v>
      </c>
      <c r="B41" s="3" t="inlineStr">
        <is>
          <t>HIGH</t>
        </is>
      </c>
      <c r="C41" s="2" t="inlineStr">
        <is>
          <t>No own website</t>
        </is>
      </c>
      <c r="D41" s="2" t="inlineStr">
        <is>
          <t>Block House Coffe</t>
        </is>
      </c>
      <c r="E41" s="2" t="inlineStr">
        <is>
          <t>restaurant</t>
        </is>
      </c>
      <c r="F41" s="2" t="inlineStr">
        <is>
          <t>Brisbane</t>
        </is>
      </c>
      <c r="G41" s="2" t="inlineStr">
        <is>
          <t>Facebook</t>
        </is>
      </c>
      <c r="H41" s="2" t="inlineStr"/>
      <c r="I41" s="4" t="inlineStr">
        <is>
          <t>https://www.facebook.com/Blockhouseeatdrink/</t>
        </is>
      </c>
      <c r="J41" s="2" t="inlineStr">
        <is>
          <t>+61 7 3172 6869</t>
        </is>
      </c>
      <c r="K41" s="4" t="inlineStr">
        <is>
          <t>https://www.facebook.com/Blockhouseeatdrink/</t>
        </is>
      </c>
      <c r="L41" s="2" t="inlineStr">
        <is>
          <t>no real website (uses www.facebook.com)</t>
        </is>
      </c>
      <c r="M41" s="2" t="inlineStr">
        <is>
          <t>Hi Block House Coffe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1" s="4" t="inlineStr">
        <is>
          <t>Open map</t>
        </is>
      </c>
      <c r="O41" s="2" t="inlineStr">
        <is>
          <t>Not contacted</t>
        </is>
      </c>
      <c r="P41" s="2" t="inlineStr"/>
      <c r="Q41" s="2" t="inlineStr"/>
      <c r="R41" s="2" t="inlineStr"/>
      <c r="S41" s="2" t="inlineStr"/>
    </row>
    <row r="42">
      <c r="A42" s="2" t="n">
        <v>41</v>
      </c>
      <c r="B42" s="3" t="inlineStr">
        <is>
          <t>HIGH</t>
        </is>
      </c>
      <c r="C42" s="2" t="inlineStr">
        <is>
          <t>No own website</t>
        </is>
      </c>
      <c r="D42" s="2" t="inlineStr">
        <is>
          <t>Caxton Street Brewing Co</t>
        </is>
      </c>
      <c r="E42" s="2" t="inlineStr">
        <is>
          <t>restaurant</t>
        </is>
      </c>
      <c r="F42" s="2" t="inlineStr">
        <is>
          <t>Brisbane</t>
        </is>
      </c>
      <c r="G42" s="2" t="inlineStr">
        <is>
          <t>Instagram</t>
        </is>
      </c>
      <c r="H42" s="4" t="inlineStr">
        <is>
          <t>https://www.instagram.com/caxtonstreetbrewing/?hl=en</t>
        </is>
      </c>
      <c r="I42" s="2" t="inlineStr"/>
      <c r="J42" s="2" t="inlineStr"/>
      <c r="K42" s="4" t="inlineStr">
        <is>
          <t>https://www.instagram.com/caxtonstreetbrewing/?hl=en</t>
        </is>
      </c>
      <c r="L42" s="2" t="inlineStr">
        <is>
          <t>no real website (uses www.instagram.com)</t>
        </is>
      </c>
      <c r="M42" s="2" t="inlineStr">
        <is>
          <t>Hi Caxton Street Brewing Co team! [one real detail from their page]. We're AceAds, a web design studio. We noticed that when people in Brisbane search for a restaurant on Google, they only find your Instagram, not a website of your own. We'd be happy to make you a free preview of what a website could look like. Want one? No cost, no obligation.</t>
        </is>
      </c>
      <c r="N42" s="4" t="inlineStr">
        <is>
          <t>Open map</t>
        </is>
      </c>
      <c r="O42" s="2" t="inlineStr">
        <is>
          <t>Not contacted</t>
        </is>
      </c>
      <c r="P42" s="2" t="inlineStr"/>
      <c r="Q42" s="2" t="inlineStr"/>
      <c r="R42" s="2" t="inlineStr"/>
      <c r="S42" s="2" t="inlineStr"/>
    </row>
    <row r="43">
      <c r="A43" s="2" t="n">
        <v>42</v>
      </c>
      <c r="B43" s="3" t="inlineStr">
        <is>
          <t>HIGH</t>
        </is>
      </c>
      <c r="C43" s="2" t="inlineStr">
        <is>
          <t>No own website</t>
        </is>
      </c>
      <c r="D43" s="2" t="inlineStr">
        <is>
          <t>Graceville Pizza</t>
        </is>
      </c>
      <c r="E43" s="2" t="inlineStr">
        <is>
          <t>restaurant</t>
        </is>
      </c>
      <c r="F43" s="2" t="inlineStr">
        <is>
          <t>Brisbane</t>
        </is>
      </c>
      <c r="G43" s="2" t="inlineStr">
        <is>
          <t>Facebook</t>
        </is>
      </c>
      <c r="H43" s="2" t="inlineStr"/>
      <c r="I43" s="4" t="inlineStr">
        <is>
          <t>https://www.facebook.com/GracevillePizza/</t>
        </is>
      </c>
      <c r="J43" s="2" t="inlineStr">
        <is>
          <t>+61 7 3568 6888</t>
        </is>
      </c>
      <c r="K43" s="4" t="inlineStr">
        <is>
          <t>https://www.facebook.com/GracevillePizza/</t>
        </is>
      </c>
      <c r="L43" s="2" t="inlineStr">
        <is>
          <t>no real website (uses www.facebook.com)</t>
        </is>
      </c>
      <c r="M43" s="2" t="inlineStr">
        <is>
          <t>Hi Graceville Pizza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3" s="4" t="inlineStr">
        <is>
          <t>Open map</t>
        </is>
      </c>
      <c r="O43" s="2" t="inlineStr">
        <is>
          <t>Not contacted</t>
        </is>
      </c>
      <c r="P43" s="2" t="inlineStr"/>
      <c r="Q43" s="2" t="inlineStr"/>
      <c r="R43" s="2" t="inlineStr"/>
      <c r="S43" s="2" t="inlineStr"/>
    </row>
    <row r="44">
      <c r="A44" s="2" t="n">
        <v>43</v>
      </c>
      <c r="B44" s="3" t="inlineStr">
        <is>
          <t>HIGH</t>
        </is>
      </c>
      <c r="C44" s="2" t="inlineStr">
        <is>
          <t>No own website</t>
        </is>
      </c>
      <c r="D44" s="2" t="inlineStr">
        <is>
          <t>Momiji</t>
        </is>
      </c>
      <c r="E44" s="2" t="inlineStr">
        <is>
          <t>restaurant</t>
        </is>
      </c>
      <c r="F44" s="2" t="inlineStr">
        <is>
          <t>Brisbane</t>
        </is>
      </c>
      <c r="G44" s="2" t="inlineStr">
        <is>
          <t>Facebook</t>
        </is>
      </c>
      <c r="H44" s="2" t="inlineStr"/>
      <c r="I44" s="4" t="inlineStr">
        <is>
          <t>https://www.facebook.com/MomijiJapaneseRestaurant/</t>
        </is>
      </c>
      <c r="J44" s="2" t="inlineStr">
        <is>
          <t>+61 425 620 360</t>
        </is>
      </c>
      <c r="K44" s="4" t="inlineStr">
        <is>
          <t>https://www.facebook.com/MomijiJapaneseRestaurant/</t>
        </is>
      </c>
      <c r="L44" s="2" t="inlineStr">
        <is>
          <t>no real website (uses www.facebook.com)</t>
        </is>
      </c>
      <c r="M44" s="2" t="inlineStr">
        <is>
          <t>Hi Momiji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4" s="4" t="inlineStr">
        <is>
          <t>Open map</t>
        </is>
      </c>
      <c r="O44" s="2" t="inlineStr">
        <is>
          <t>Not contacted</t>
        </is>
      </c>
      <c r="P44" s="2" t="inlineStr"/>
      <c r="Q44" s="2" t="inlineStr"/>
      <c r="R44" s="2" t="inlineStr"/>
      <c r="S44" s="2" t="inlineStr"/>
    </row>
    <row r="45">
      <c r="A45" s="2" t="n">
        <v>44</v>
      </c>
      <c r="B45" s="3" t="inlineStr">
        <is>
          <t>HIGH</t>
        </is>
      </c>
      <c r="C45" s="2" t="inlineStr">
        <is>
          <t>No own website</t>
        </is>
      </c>
      <c r="D45" s="2" t="inlineStr">
        <is>
          <t>Pimnipa Thai Kitchen</t>
        </is>
      </c>
      <c r="E45" s="2" t="inlineStr">
        <is>
          <t>restaurant</t>
        </is>
      </c>
      <c r="F45" s="2" t="inlineStr">
        <is>
          <t>Brisbane</t>
        </is>
      </c>
      <c r="G45" s="2" t="inlineStr">
        <is>
          <t>Facebook</t>
        </is>
      </c>
      <c r="H45" s="2" t="inlineStr"/>
      <c r="I45" s="4" t="inlineStr">
        <is>
          <t>https://m.facebook.com/61579010138892/</t>
        </is>
      </c>
      <c r="J45" s="2" t="inlineStr">
        <is>
          <t>+61 422 906 464</t>
        </is>
      </c>
      <c r="K45" s="4" t="inlineStr">
        <is>
          <t>https://m.facebook.com/61579010138892/</t>
        </is>
      </c>
      <c r="L45" s="2" t="inlineStr">
        <is>
          <t>no real website (uses m.facebook.com)</t>
        </is>
      </c>
      <c r="M45" s="2" t="inlineStr">
        <is>
          <t>Hi Pimnipa Thai Kitchen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5" s="4" t="inlineStr">
        <is>
          <t>Open map</t>
        </is>
      </c>
      <c r="O45" s="2" t="inlineStr">
        <is>
          <t>Not contacted</t>
        </is>
      </c>
      <c r="P45" s="2" t="inlineStr"/>
      <c r="Q45" s="2" t="inlineStr"/>
      <c r="R45" s="2" t="inlineStr"/>
      <c r="S45" s="2" t="inlineStr"/>
    </row>
    <row r="46">
      <c r="A46" s="2" t="n">
        <v>45</v>
      </c>
      <c r="B46" s="3" t="inlineStr">
        <is>
          <t>HIGH</t>
        </is>
      </c>
      <c r="C46" s="2" t="inlineStr">
        <is>
          <t>No own website</t>
        </is>
      </c>
      <c r="D46" s="2" t="inlineStr">
        <is>
          <t>Sushi Gruhi</t>
        </is>
      </c>
      <c r="E46" s="2" t="inlineStr">
        <is>
          <t>restaurant</t>
        </is>
      </c>
      <c r="F46" s="2" t="inlineStr">
        <is>
          <t>Brisbane</t>
        </is>
      </c>
      <c r="G46" s="2" t="inlineStr">
        <is>
          <t>Facebook</t>
        </is>
      </c>
      <c r="H46" s="2" t="inlineStr"/>
      <c r="I46" s="4" t="inlineStr">
        <is>
          <t>https://www.facebook.com/sushiaruhi/</t>
        </is>
      </c>
      <c r="J46" s="2" t="inlineStr"/>
      <c r="K46" s="4" t="inlineStr">
        <is>
          <t>https://www.facebook.com/sushiaruhi/</t>
        </is>
      </c>
      <c r="L46" s="2" t="inlineStr">
        <is>
          <t>no real website (uses www.facebook.com)</t>
        </is>
      </c>
      <c r="M46" s="2" t="inlineStr">
        <is>
          <t>Hi Sushi Gruhi team! [one real detail from their page]. We're AceAds, a web design studio. We noticed that when people in Brisbane search for a restaurant on Google, they only find your Facebook, not a website of your own. We'd be happy to make you a free preview of what a website could look like. Want one? No cost, no obligation.</t>
        </is>
      </c>
      <c r="N46" s="4" t="inlineStr">
        <is>
          <t>Open map</t>
        </is>
      </c>
      <c r="O46" s="2" t="inlineStr">
        <is>
          <t>Not contacted</t>
        </is>
      </c>
      <c r="P46" s="2" t="inlineStr"/>
      <c r="Q46" s="2" t="inlineStr"/>
      <c r="R46" s="2" t="inlineStr"/>
      <c r="S46" s="2" t="inlineStr"/>
    </row>
    <row r="47">
      <c r="A47" s="2" t="n">
        <v>46</v>
      </c>
      <c r="B47" s="3" t="inlineStr">
        <is>
          <t>HIGH</t>
        </is>
      </c>
      <c r="C47" s="2" t="inlineStr">
        <is>
          <t>No own website</t>
        </is>
      </c>
      <c r="D47" s="2" t="inlineStr">
        <is>
          <t>G-Free Donuts</t>
        </is>
      </c>
      <c r="E47" s="2" t="inlineStr">
        <is>
          <t>takeaway</t>
        </is>
      </c>
      <c r="F47" s="2" t="inlineStr">
        <is>
          <t>Brisbane</t>
        </is>
      </c>
      <c r="G47" s="2" t="inlineStr">
        <is>
          <t>Instagram</t>
        </is>
      </c>
      <c r="H47" s="4" t="inlineStr">
        <is>
          <t>https://www.instagram.com/gfreedonuts.uq</t>
        </is>
      </c>
      <c r="I47" s="2" t="inlineStr"/>
      <c r="J47" s="2" t="inlineStr">
        <is>
          <t>+61 404 599 213</t>
        </is>
      </c>
      <c r="K47" s="4" t="inlineStr">
        <is>
          <t>https://www.instagram.com/gfreedonuts.uq</t>
        </is>
      </c>
      <c r="L47" s="2" t="inlineStr">
        <is>
          <t>no real website (uses www.instagram.com)</t>
        </is>
      </c>
      <c r="M47" s="2" t="inlineStr">
        <is>
          <t>Hi G-Free Donuts team! [one real detail from their page]. We're AceAds, a web design studio. We noticed that when people in Brisbane search for a takeaway on Google, they only find your Instagram, not a website of your own. We'd be happy to make you a free preview of what a website could look like. Want one? No cost, no obligation.</t>
        </is>
      </c>
      <c r="N47" s="4" t="inlineStr">
        <is>
          <t>Open map</t>
        </is>
      </c>
      <c r="O47" s="2" t="inlineStr">
        <is>
          <t>Not contacted</t>
        </is>
      </c>
      <c r="P47" s="2" t="inlineStr"/>
      <c r="Q47" s="2" t="inlineStr"/>
      <c r="R47" s="2" t="inlineStr"/>
      <c r="S47" s="2" t="inlineStr"/>
    </row>
    <row r="48">
      <c r="A48" s="2" t="n">
        <v>47</v>
      </c>
      <c r="B48" s="3" t="inlineStr">
        <is>
          <t>HIGH</t>
        </is>
      </c>
      <c r="C48" s="2" t="inlineStr">
        <is>
          <t>No own website</t>
        </is>
      </c>
      <c r="D48" s="2" t="inlineStr">
        <is>
          <t>Kebab &amp; Charcoal Place</t>
        </is>
      </c>
      <c r="E48" s="2" t="inlineStr">
        <is>
          <t>takeaway</t>
        </is>
      </c>
      <c r="F48" s="2" t="inlineStr">
        <is>
          <t>Brisbane</t>
        </is>
      </c>
      <c r="G48" s="2" t="inlineStr">
        <is>
          <t>Facebook</t>
        </is>
      </c>
      <c r="H48" s="2" t="inlineStr"/>
      <c r="I48" s="4" t="inlineStr">
        <is>
          <t>https://www.facebook.com/kebabncharcoalplace</t>
        </is>
      </c>
      <c r="J48" s="2" t="inlineStr">
        <is>
          <t>+61 7 3607 1058</t>
        </is>
      </c>
      <c r="K48" s="4" t="inlineStr">
        <is>
          <t>https://www.facebook.com/kebabncharcoalplace</t>
        </is>
      </c>
      <c r="L48" s="2" t="inlineStr">
        <is>
          <t>no real website (uses www.facebook.com)</t>
        </is>
      </c>
      <c r="M48" s="2" t="inlineStr">
        <is>
          <t>Hi Kebab &amp; Charcoal Place team! [one real detail from their page]. We're AceAds, a web design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N48" s="4" t="inlineStr">
        <is>
          <t>Open map</t>
        </is>
      </c>
      <c r="O48" s="2" t="inlineStr">
        <is>
          <t>Not contacted</t>
        </is>
      </c>
      <c r="P48" s="2" t="inlineStr"/>
      <c r="Q48" s="2" t="inlineStr"/>
      <c r="R48" s="2" t="inlineStr"/>
      <c r="S48" s="2" t="inlineStr"/>
    </row>
    <row r="49">
      <c r="A49" s="2" t="n">
        <v>48</v>
      </c>
      <c r="B49" s="3" t="inlineStr">
        <is>
          <t>HIGH</t>
        </is>
      </c>
      <c r="C49" s="2" t="inlineStr">
        <is>
          <t>No own website</t>
        </is>
      </c>
      <c r="D49" s="2" t="inlineStr">
        <is>
          <t>Red Dolphin Seafoods</t>
        </is>
      </c>
      <c r="E49" s="2" t="inlineStr">
        <is>
          <t>takeaway</t>
        </is>
      </c>
      <c r="F49" s="2" t="inlineStr">
        <is>
          <t>Brisbane</t>
        </is>
      </c>
      <c r="G49" s="2" t="inlineStr">
        <is>
          <t>Facebook</t>
        </is>
      </c>
      <c r="H49" s="2" t="inlineStr"/>
      <c r="I49" s="4" t="inlineStr">
        <is>
          <t>https://www.facebook.com/profile.php?id=100071592963125</t>
        </is>
      </c>
      <c r="J49" s="2" t="inlineStr">
        <is>
          <t>+61 7 3284 8703</t>
        </is>
      </c>
      <c r="K49" s="4" t="inlineStr">
        <is>
          <t>https://www.facebook.com/profile.php?id=100071592963125</t>
        </is>
      </c>
      <c r="L49" s="2" t="inlineStr">
        <is>
          <t>no real website (uses www.facebook.com)</t>
        </is>
      </c>
      <c r="M49" s="2" t="inlineStr">
        <is>
          <t>Hi Red Dolphin Seafoods team! [one real detail from their page]. We're AceAds, a web design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N49" s="4" t="inlineStr">
        <is>
          <t>Open map</t>
        </is>
      </c>
      <c r="O49" s="2" t="inlineStr">
        <is>
          <t>Not contacted</t>
        </is>
      </c>
      <c r="P49" s="2" t="inlineStr"/>
      <c r="Q49" s="2" t="inlineStr"/>
      <c r="R49" s="2" t="inlineStr"/>
      <c r="S49" s="2" t="inlineStr"/>
    </row>
    <row r="50">
      <c r="A50" s="2" t="n">
        <v>49</v>
      </c>
      <c r="B50" s="3" t="inlineStr">
        <is>
          <t>HIGH</t>
        </is>
      </c>
      <c r="C50" s="2" t="inlineStr">
        <is>
          <t>No own website</t>
        </is>
      </c>
      <c r="D50" s="2" t="inlineStr">
        <is>
          <t>Yabby Road</t>
        </is>
      </c>
      <c r="E50" s="2" t="inlineStr">
        <is>
          <t>takeaway</t>
        </is>
      </c>
      <c r="F50" s="2" t="inlineStr">
        <is>
          <t>Brisbane</t>
        </is>
      </c>
      <c r="G50" s="2" t="inlineStr">
        <is>
          <t>Facebook</t>
        </is>
      </c>
      <c r="H50" s="2" t="inlineStr"/>
      <c r="I50" s="4" t="inlineStr">
        <is>
          <t>https://www.facebook.com/yabbeyroad/</t>
        </is>
      </c>
      <c r="J50" s="2" t="inlineStr">
        <is>
          <t>+61 499 922 239</t>
        </is>
      </c>
      <c r="K50" s="4" t="inlineStr">
        <is>
          <t>https://www.facebook.com/yabbeyroad/</t>
        </is>
      </c>
      <c r="L50" s="2" t="inlineStr">
        <is>
          <t>no real website (uses www.facebook.com)</t>
        </is>
      </c>
      <c r="M50" s="2" t="inlineStr">
        <is>
          <t>Hi Yabby Road team! [one real detail from their page]. We're AceAds, a web design studio. We noticed that when people in Brisbane search for a takeaway on Google, they only find your Facebook, not a website of your own. We'd be happy to make you a free preview of what a website could look like. Want one? No cost, no obligation.</t>
        </is>
      </c>
      <c r="N50" s="4" t="inlineStr">
        <is>
          <t>Open map</t>
        </is>
      </c>
      <c r="O50" s="2" t="inlineStr">
        <is>
          <t>Not contacted</t>
        </is>
      </c>
      <c r="P50" s="2" t="inlineStr"/>
      <c r="Q50" s="2" t="inlineStr"/>
      <c r="R50" s="2" t="inlineStr"/>
      <c r="S50" s="2" t="inlineStr"/>
    </row>
    <row r="51">
      <c r="A51" s="2" t="n">
        <v>50</v>
      </c>
      <c r="B51" s="3" t="inlineStr">
        <is>
          <t>HIGH</t>
        </is>
      </c>
      <c r="C51" s="2" t="inlineStr">
        <is>
          <t>No own website</t>
        </is>
      </c>
      <c r="D51" s="2" t="inlineStr">
        <is>
          <t>Mister Cuts Barber Shop</t>
        </is>
      </c>
      <c r="E51" s="2" t="inlineStr">
        <is>
          <t>barber or hairdresser</t>
        </is>
      </c>
      <c r="F51" s="2" t="inlineStr">
        <is>
          <t>Cairns</t>
        </is>
      </c>
      <c r="G51" s="2" t="inlineStr">
        <is>
          <t>Facebook</t>
        </is>
      </c>
      <c r="H51" s="2" t="inlineStr"/>
      <c r="I51" s="4" t="inlineStr">
        <is>
          <t>https://www.facebook.com/mistercutsbarbershopcairns</t>
        </is>
      </c>
      <c r="J51" s="2" t="inlineStr"/>
      <c r="K51" s="4" t="inlineStr">
        <is>
          <t>https://www.facebook.com/mistercutsbarbershopcairns</t>
        </is>
      </c>
      <c r="L51" s="2" t="inlineStr">
        <is>
          <t>no real website (uses www.facebook.com)</t>
        </is>
      </c>
      <c r="M51" s="2" t="inlineStr">
        <is>
          <t>Hi Mister Cuts Barber Shop team! [one real detail from their page]. We're AceAds, a web design studio. We noticed that when people in Cairns search for a hairdresser on Google, they only find your Facebook, not a website of your own. We'd be happy to make you a free preview of what a website could look like. Want one? No cost, no obligation.</t>
        </is>
      </c>
      <c r="N51" s="4" t="inlineStr">
        <is>
          <t>Open map</t>
        </is>
      </c>
      <c r="O51" s="2" t="inlineStr">
        <is>
          <t>Not contacted</t>
        </is>
      </c>
      <c r="P51" s="2" t="inlineStr"/>
      <c r="Q51" s="2" t="inlineStr"/>
      <c r="R51" s="2" t="inlineStr"/>
      <c r="S51" s="2" t="inlineStr"/>
    </row>
    <row r="52">
      <c r="A52" s="2" t="n">
        <v>51</v>
      </c>
      <c r="B52" s="3" t="inlineStr">
        <is>
          <t>HIGH</t>
        </is>
      </c>
      <c r="C52" s="2" t="inlineStr">
        <is>
          <t>No own website</t>
        </is>
      </c>
      <c r="D52" s="2" t="inlineStr">
        <is>
          <t>Mrs Delicious</t>
        </is>
      </c>
      <c r="E52" s="2" t="inlineStr">
        <is>
          <t>cafe</t>
        </is>
      </c>
      <c r="F52" s="2" t="inlineStr">
        <is>
          <t>Cairns</t>
        </is>
      </c>
      <c r="G52" s="2" t="inlineStr">
        <is>
          <t>Facebook</t>
        </is>
      </c>
      <c r="H52" s="2" t="inlineStr"/>
      <c r="I52" s="4" t="inlineStr">
        <is>
          <t>https://www.facebook.com/photo/?fbid=122113102580862715&amp;set=a.122095944620862715</t>
        </is>
      </c>
      <c r="J52" s="2" t="inlineStr"/>
      <c r="K52" s="4" t="inlineStr">
        <is>
          <t>https://www.facebook.com/photo/?fbid=122113102580862715&amp;set=a.122095944620862715</t>
        </is>
      </c>
      <c r="L52" s="2" t="inlineStr">
        <is>
          <t>no real website (uses www.facebook.com)</t>
        </is>
      </c>
      <c r="M52" s="2" t="inlineStr">
        <is>
          <t>Hi Mrs Delicious team! [one real detail from their page]. We're AceAds, a web design studio. We noticed that when people in Cairns search for a cafe on Google, they only find your Facebook, not a website of your own. We'd be happy to make you a free preview of what a website could look like. Want one? No cost, no obligation.</t>
        </is>
      </c>
      <c r="N52" s="4" t="inlineStr">
        <is>
          <t>Open map</t>
        </is>
      </c>
      <c r="O52" s="2" t="inlineStr">
        <is>
          <t>Not contacted</t>
        </is>
      </c>
      <c r="P52" s="2" t="inlineStr"/>
      <c r="Q52" s="2" t="inlineStr"/>
      <c r="R52" s="2" t="inlineStr"/>
      <c r="S52" s="2" t="inlineStr"/>
    </row>
    <row r="53">
      <c r="A53" s="2" t="n">
        <v>52</v>
      </c>
      <c r="B53" s="3" t="inlineStr">
        <is>
          <t>HIGH</t>
        </is>
      </c>
      <c r="C53" s="2" t="inlineStr">
        <is>
          <t>No own website</t>
        </is>
      </c>
      <c r="D53" s="2" t="inlineStr">
        <is>
          <t>BBQ Brothers</t>
        </is>
      </c>
      <c r="E53" s="2" t="inlineStr">
        <is>
          <t>restaurant</t>
        </is>
      </c>
      <c r="F53" s="2" t="inlineStr">
        <is>
          <t>Cairns</t>
        </is>
      </c>
      <c r="G53" s="2" t="inlineStr">
        <is>
          <t>Facebook</t>
        </is>
      </c>
      <c r="H53" s="2" t="inlineStr"/>
      <c r="I53" s="4" t="inlineStr">
        <is>
          <t>https://www.facebook.com/bbqbrothersaustralia</t>
        </is>
      </c>
      <c r="J53" s="2" t="inlineStr"/>
      <c r="K53" s="4" t="inlineStr">
        <is>
          <t>https://www.facebook.com/bbqbrothersaustralia</t>
        </is>
      </c>
      <c r="L53" s="2" t="inlineStr">
        <is>
          <t>no real website (uses www.facebook.com)</t>
        </is>
      </c>
      <c r="M53" s="2" t="inlineStr">
        <is>
          <t>Hi BBQ Brothers team! [one real detail from their page]. We're AceAds, a web design studio. We noticed that when people in Cairns search for a restaurant on Google, they only find your Facebook, not a website of your own. We'd be happy to make you a free preview of what a website could look like. Want one? No cost, no obligation.</t>
        </is>
      </c>
      <c r="N53" s="4" t="inlineStr">
        <is>
          <t>Open map</t>
        </is>
      </c>
      <c r="O53" s="2" t="inlineStr">
        <is>
          <t>Not contacted</t>
        </is>
      </c>
      <c r="P53" s="2" t="inlineStr"/>
      <c r="Q53" s="2" t="inlineStr"/>
      <c r="R53" s="2" t="inlineStr"/>
      <c r="S53" s="2" t="inlineStr"/>
    </row>
    <row r="54">
      <c r="A54" s="2" t="n">
        <v>53</v>
      </c>
      <c r="B54" s="3" t="inlineStr">
        <is>
          <t>HIGH</t>
        </is>
      </c>
      <c r="C54" s="2" t="inlineStr">
        <is>
          <t>No own website</t>
        </is>
      </c>
      <c r="D54" s="2" t="inlineStr">
        <is>
          <t>Ganbaranba</t>
        </is>
      </c>
      <c r="E54" s="2" t="inlineStr">
        <is>
          <t>restaurant</t>
        </is>
      </c>
      <c r="F54" s="2" t="inlineStr">
        <is>
          <t>Cairns</t>
        </is>
      </c>
      <c r="G54" s="2" t="inlineStr">
        <is>
          <t>Instagram</t>
        </is>
      </c>
      <c r="H54" s="4" t="inlineStr">
        <is>
          <t>https://www.instagram.com/cool_ganba</t>
        </is>
      </c>
      <c r="I54" s="2" t="inlineStr"/>
      <c r="J54" s="2" t="inlineStr"/>
      <c r="K54" s="4" t="inlineStr">
        <is>
          <t>https://www.instagram.com/cool_ganba/</t>
        </is>
      </c>
      <c r="L54" s="2" t="inlineStr">
        <is>
          <t>no real website (uses www.instagram.com)</t>
        </is>
      </c>
      <c r="M54" s="2" t="inlineStr">
        <is>
          <t>Hi Ganbaranba team! [one real detail from their page]. We're AceAds, a web design studio. We noticed that when people in Cairns search for a restaurant on Google, they only find your Instagram, not a website of your own. We'd be happy to make you a free preview of what a website could look like. Want one? No cost, no obligation.</t>
        </is>
      </c>
      <c r="N54" s="4" t="inlineStr">
        <is>
          <t>Open map</t>
        </is>
      </c>
      <c r="O54" s="2" t="inlineStr">
        <is>
          <t>Not contacted</t>
        </is>
      </c>
      <c r="P54" s="2" t="inlineStr"/>
      <c r="Q54" s="2" t="inlineStr"/>
      <c r="R54" s="2" t="inlineStr"/>
      <c r="S54" s="2" t="inlineStr"/>
    </row>
    <row r="55">
      <c r="A55" s="2" t="n">
        <v>54</v>
      </c>
      <c r="B55" s="3" t="inlineStr">
        <is>
          <t>HIGH</t>
        </is>
      </c>
      <c r="C55" s="2" t="inlineStr">
        <is>
          <t>No own website</t>
        </is>
      </c>
      <c r="D55" s="2" t="inlineStr">
        <is>
          <t>Sushi Roll King</t>
        </is>
      </c>
      <c r="E55" s="2" t="inlineStr">
        <is>
          <t>restaurant</t>
        </is>
      </c>
      <c r="F55" s="2" t="inlineStr">
        <is>
          <t>Cairns</t>
        </is>
      </c>
      <c r="G55" s="2" t="inlineStr">
        <is>
          <t>Facebook</t>
        </is>
      </c>
      <c r="H55" s="2" t="inlineStr"/>
      <c r="I55" s="4" t="inlineStr">
        <is>
          <t>https://www.facebook.com/Sushi-Rollking-Sheridan-869079169913894/?notify_field=hours&amp;modal=profile_completion</t>
        </is>
      </c>
      <c r="J55" s="2" t="inlineStr">
        <is>
          <t>+61 490 251 556</t>
        </is>
      </c>
      <c r="K55" s="4" t="inlineStr">
        <is>
          <t>https://www.facebook.com/Sushi-Rollking-Sheridan-869079169913894/?notify_field=hours&amp;modal=profile_completion</t>
        </is>
      </c>
      <c r="L55" s="2" t="inlineStr">
        <is>
          <t>no real website (uses www.facebook.com)</t>
        </is>
      </c>
      <c r="M55" s="2" t="inlineStr">
        <is>
          <t>Hi Sushi Roll King team! [one real detail from their page]. We're AceAds, a web design studio. We noticed that when people in Cairns search for a restaurant on Google, they only find your Facebook, not a website of your own. We'd be happy to make you a free preview of what a website could look like. Want one? No cost, no obligation.</t>
        </is>
      </c>
      <c r="N55" s="4" t="inlineStr">
        <is>
          <t>Open map</t>
        </is>
      </c>
      <c r="O55" s="2" t="inlineStr">
        <is>
          <t>Not contacted</t>
        </is>
      </c>
      <c r="P55" s="2" t="inlineStr"/>
      <c r="Q55" s="2" t="inlineStr"/>
      <c r="R55" s="2" t="inlineStr"/>
      <c r="S55" s="2" t="inlineStr"/>
    </row>
    <row r="56">
      <c r="A56" s="2" t="n">
        <v>55</v>
      </c>
      <c r="B56" s="3" t="inlineStr">
        <is>
          <t>HIGH</t>
        </is>
      </c>
      <c r="C56" s="2" t="inlineStr">
        <is>
          <t>No own website</t>
        </is>
      </c>
      <c r="D56" s="2" t="inlineStr">
        <is>
          <t>Art Taste Cafe</t>
        </is>
      </c>
      <c r="E56" s="2" t="inlineStr">
        <is>
          <t>bakery</t>
        </is>
      </c>
      <c r="F56" s="2" t="inlineStr">
        <is>
          <t>Gold Coast</t>
        </is>
      </c>
      <c r="G56" s="2" t="inlineStr">
        <is>
          <t>Facebook</t>
        </is>
      </c>
      <c r="H56" s="2" t="inlineStr"/>
      <c r="I56" s="4" t="inlineStr">
        <is>
          <t>https://www.facebook.com/Arttastecaferobina/</t>
        </is>
      </c>
      <c r="J56" s="2" t="inlineStr">
        <is>
          <t>+61 7 5580 8609</t>
        </is>
      </c>
      <c r="K56" s="4" t="inlineStr">
        <is>
          <t>https://www.facebook.com/Arttastecaferobina/</t>
        </is>
      </c>
      <c r="L56" s="2" t="inlineStr">
        <is>
          <t>no real website (uses www.facebook.com)</t>
        </is>
      </c>
      <c r="M56" s="2" t="inlineStr">
        <is>
          <t>Hi Art Taste Cafe team! [one real detail from their page]. We're AceAds, a web design studio. We noticed that when people in Gold Coast search for a bakery on Google, they only find your Facebook, not a website of your own. We'd be happy to make you a free preview of what a website could look like. Want one? No cost, no obligation.</t>
        </is>
      </c>
      <c r="N56" s="4" t="inlineStr">
        <is>
          <t>Open map</t>
        </is>
      </c>
      <c r="O56" s="2" t="inlineStr">
        <is>
          <t>Not contacted</t>
        </is>
      </c>
      <c r="P56" s="2" t="inlineStr"/>
      <c r="Q56" s="2" t="inlineStr"/>
      <c r="R56" s="2" t="inlineStr"/>
      <c r="S56" s="2" t="inlineStr"/>
    </row>
    <row r="57">
      <c r="A57" s="2" t="n">
        <v>56</v>
      </c>
      <c r="B57" s="3" t="inlineStr">
        <is>
          <t>HIGH</t>
        </is>
      </c>
      <c r="C57" s="2" t="inlineStr">
        <is>
          <t>No own website</t>
        </is>
      </c>
      <c r="D57" s="2" t="inlineStr">
        <is>
          <t>Kirra Beach Bakery</t>
        </is>
      </c>
      <c r="E57" s="2" t="inlineStr">
        <is>
          <t>bakery</t>
        </is>
      </c>
      <c r="F57" s="2" t="inlineStr">
        <is>
          <t>Gold Coast</t>
        </is>
      </c>
      <c r="G57" s="2" t="inlineStr">
        <is>
          <t>Facebook</t>
        </is>
      </c>
      <c r="H57" s="2" t="inlineStr"/>
      <c r="I57" s="4" t="inlineStr">
        <is>
          <t>https://www.facebook.com/kirrabeachbakery/</t>
        </is>
      </c>
      <c r="J57" s="2" t="inlineStr">
        <is>
          <t>+61 7 5536 5358</t>
        </is>
      </c>
      <c r="K57" s="4" t="inlineStr">
        <is>
          <t>https://www.facebook.com/kirrabeachbakery/</t>
        </is>
      </c>
      <c r="L57" s="2" t="inlineStr">
        <is>
          <t>no real website (uses www.facebook.com)</t>
        </is>
      </c>
      <c r="M57" s="2" t="inlineStr">
        <is>
          <t>Hi Kirra Beach Bakery team! [one real detail from their page]. We're AceAds, a web design studio. We noticed that when people in Gold Coast search for a bakery on Google, they only find your Facebook, not a website of your own. We'd be happy to make you a free preview of what a website could look like. Want one? No cost, no obligation.</t>
        </is>
      </c>
      <c r="N57" s="4" t="inlineStr">
        <is>
          <t>Open map</t>
        </is>
      </c>
      <c r="O57" s="2" t="inlineStr">
        <is>
          <t>Not contacted</t>
        </is>
      </c>
      <c r="P57" s="2" t="inlineStr"/>
      <c r="Q57" s="2" t="inlineStr"/>
      <c r="R57" s="2" t="inlineStr"/>
      <c r="S57" s="2" t="inlineStr"/>
    </row>
    <row r="58">
      <c r="A58" s="2" t="n">
        <v>57</v>
      </c>
      <c r="B58" s="3" t="inlineStr">
        <is>
          <t>HIGH</t>
        </is>
      </c>
      <c r="C58" s="2" t="inlineStr">
        <is>
          <t>No own website</t>
        </is>
      </c>
      <c r="D58" s="2" t="inlineStr">
        <is>
          <t>Pie Pie</t>
        </is>
      </c>
      <c r="E58" s="2" t="inlineStr">
        <is>
          <t>bakery</t>
        </is>
      </c>
      <c r="F58" s="2" t="inlineStr">
        <is>
          <t>Gold Coast</t>
        </is>
      </c>
      <c r="G58" s="2" t="inlineStr">
        <is>
          <t>Facebook</t>
        </is>
      </c>
      <c r="H58" s="2" t="inlineStr"/>
      <c r="I58" s="4" t="inlineStr">
        <is>
          <t>https://www.facebook.com/piepieburleigh</t>
        </is>
      </c>
      <c r="J58" s="2" t="inlineStr">
        <is>
          <t>+61 7 3103 3503</t>
        </is>
      </c>
      <c r="K58" s="4" t="inlineStr">
        <is>
          <t>https://www.facebook.com/piepieburleigh</t>
        </is>
      </c>
      <c r="L58" s="2" t="inlineStr">
        <is>
          <t>no real website (uses www.facebook.com)</t>
        </is>
      </c>
      <c r="M58" s="2" t="inlineStr">
        <is>
          <t>Hi Pie Pie team! [one real detail from their page]. We're AceAds, a web design studio. We noticed that when people in Gold Coast search for a bakery on Google, they only find your Facebook, not a website of your own. We'd be happy to make you a free preview of what a website could look like. Want one? No cost, no obligation.</t>
        </is>
      </c>
      <c r="N58" s="4" t="inlineStr">
        <is>
          <t>Open map</t>
        </is>
      </c>
      <c r="O58" s="2" t="inlineStr">
        <is>
          <t>Not contacted</t>
        </is>
      </c>
      <c r="P58" s="2" t="inlineStr"/>
      <c r="Q58" s="2" t="inlineStr"/>
      <c r="R58" s="2" t="inlineStr"/>
      <c r="S58" s="2" t="inlineStr"/>
    </row>
    <row r="59">
      <c r="A59" s="2" t="n">
        <v>58</v>
      </c>
      <c r="B59" s="3" t="inlineStr">
        <is>
          <t>HIGH</t>
        </is>
      </c>
      <c r="C59" s="2" t="inlineStr">
        <is>
          <t>No own website</t>
        </is>
      </c>
      <c r="D59" s="2" t="inlineStr">
        <is>
          <t>BarberLife</t>
        </is>
      </c>
      <c r="E59" s="2" t="inlineStr">
        <is>
          <t>barber or hairdresser</t>
        </is>
      </c>
      <c r="F59" s="2" t="inlineStr">
        <is>
          <t>Gold Coast</t>
        </is>
      </c>
      <c r="G59" s="2" t="inlineStr">
        <is>
          <t>Facebook</t>
        </is>
      </c>
      <c r="H59" s="2" t="inlineStr"/>
      <c r="I59" s="4" t="inlineStr">
        <is>
          <t>https://www.facebook.com/varsity4227/</t>
        </is>
      </c>
      <c r="J59" s="2" t="inlineStr">
        <is>
          <t>+61 423 663 425</t>
        </is>
      </c>
      <c r="K59" s="4" t="inlineStr">
        <is>
          <t>https://www.facebook.com/varsity4227/</t>
        </is>
      </c>
      <c r="L59" s="2" t="inlineStr">
        <is>
          <t>no real website (uses www.facebook.com)</t>
        </is>
      </c>
      <c r="M59" s="2" t="inlineStr">
        <is>
          <t>Hi BarberLife team! [one real detail from their page]. We're AceAds, a web design studio. We noticed that when people in Gold Coast search for a hairdresser on Google, they only find your Facebook, not a website of your own. We'd be happy to make you a free preview of what a website could look like. Want one? No cost, no obligation.</t>
        </is>
      </c>
      <c r="N59" s="4" t="inlineStr">
        <is>
          <t>Open map</t>
        </is>
      </c>
      <c r="O59" s="2" t="inlineStr">
        <is>
          <t>Not contacted</t>
        </is>
      </c>
      <c r="P59" s="2" t="inlineStr"/>
      <c r="Q59" s="2" t="inlineStr"/>
      <c r="R59" s="2" t="inlineStr"/>
      <c r="S59" s="2" t="inlineStr"/>
    </row>
    <row r="60">
      <c r="A60" s="2" t="n">
        <v>59</v>
      </c>
      <c r="B60" s="3" t="inlineStr">
        <is>
          <t>HIGH</t>
        </is>
      </c>
      <c r="C60" s="2" t="inlineStr">
        <is>
          <t>No own website</t>
        </is>
      </c>
      <c r="D60" s="2" t="inlineStr">
        <is>
          <t>DMH Palm Beach</t>
        </is>
      </c>
      <c r="E60" s="2" t="inlineStr">
        <is>
          <t>barber or hairdresser</t>
        </is>
      </c>
      <c r="F60" s="2" t="inlineStr">
        <is>
          <t>Gold Coast</t>
        </is>
      </c>
      <c r="G60" s="2" t="inlineStr">
        <is>
          <t>Facebook</t>
        </is>
      </c>
      <c r="H60" s="2" t="inlineStr"/>
      <c r="I60" s="4" t="inlineStr">
        <is>
          <t>https://www.facebook.com/DMHPalmBeach/</t>
        </is>
      </c>
      <c r="J60" s="2" t="inlineStr">
        <is>
          <t>+61 405 801 224</t>
        </is>
      </c>
      <c r="K60" s="4" t="inlineStr">
        <is>
          <t>https://www.facebook.com/DMHPalmBeach/</t>
        </is>
      </c>
      <c r="L60" s="2" t="inlineStr">
        <is>
          <t>no real website (uses www.facebook.com)</t>
        </is>
      </c>
      <c r="M60" s="2" t="inlineStr">
        <is>
          <t>Hi DMH Palm Beach team! [one real detail from their page]. We're AceAds, a web design studio. We noticed that when people in Gold Coast search for a hairdresser on Google, they only find your Facebook, not a website of your own. We'd be happy to make you a free preview of what a website could look like. Want one? No cost, no obligation.</t>
        </is>
      </c>
      <c r="N60" s="4" t="inlineStr">
        <is>
          <t>Open map</t>
        </is>
      </c>
      <c r="O60" s="2" t="inlineStr">
        <is>
          <t>Not contacted</t>
        </is>
      </c>
      <c r="P60" s="2" t="inlineStr"/>
      <c r="Q60" s="2" t="inlineStr"/>
      <c r="R60" s="2" t="inlineStr"/>
      <c r="S60" s="2" t="inlineStr"/>
    </row>
    <row r="61">
      <c r="A61" s="2" t="n">
        <v>60</v>
      </c>
      <c r="B61" s="3" t="inlineStr">
        <is>
          <t>HIGH</t>
        </is>
      </c>
      <c r="C61" s="2" t="inlineStr">
        <is>
          <t>No own website</t>
        </is>
      </c>
      <c r="D61" s="2" t="inlineStr">
        <is>
          <t>First Wave Hair</t>
        </is>
      </c>
      <c r="E61" s="2" t="inlineStr">
        <is>
          <t>barber or hairdresser</t>
        </is>
      </c>
      <c r="F61" s="2" t="inlineStr">
        <is>
          <t>Gold Coast</t>
        </is>
      </c>
      <c r="G61" s="2" t="inlineStr">
        <is>
          <t>Facebook</t>
        </is>
      </c>
      <c r="H61" s="2" t="inlineStr"/>
      <c r="I61" s="4" t="inlineStr">
        <is>
          <t>https://www.facebook.com/Firstwave-Hair-Salon-Tugun-1473721922922601/</t>
        </is>
      </c>
      <c r="J61" s="2" t="inlineStr">
        <is>
          <t>+61 7 5534 3036</t>
        </is>
      </c>
      <c r="K61" s="4" t="inlineStr">
        <is>
          <t>https://www.facebook.com/Firstwave-Hair-Salon-Tugun-1473721922922601/</t>
        </is>
      </c>
      <c r="L61" s="2" t="inlineStr">
        <is>
          <t>no real website (uses www.facebook.com)</t>
        </is>
      </c>
      <c r="M61" s="2" t="inlineStr">
        <is>
          <t>Hi First Wave Hair team! [one real detail from their page]. We're AceAds, a web design studio. We noticed that when people in Gold Coast search for a hairdresser on Google, they only find your Facebook, not a website of your own. We'd be happy to make you a free preview of what a website could look like. Want one? No cost, no obligation.</t>
        </is>
      </c>
      <c r="N61" s="4" t="inlineStr">
        <is>
          <t>Open map</t>
        </is>
      </c>
      <c r="O61" s="2" t="inlineStr">
        <is>
          <t>Not contacted</t>
        </is>
      </c>
      <c r="P61" s="2" t="inlineStr"/>
      <c r="Q61" s="2" t="inlineStr"/>
      <c r="R61" s="2" t="inlineStr"/>
      <c r="S61" s="2" t="inlineStr"/>
    </row>
    <row r="62">
      <c r="A62" s="2" t="n">
        <v>61</v>
      </c>
      <c r="B62" s="3" t="inlineStr">
        <is>
          <t>HIGH</t>
        </is>
      </c>
      <c r="C62" s="2" t="inlineStr">
        <is>
          <t>No own website</t>
        </is>
      </c>
      <c r="D62" s="2" t="inlineStr">
        <is>
          <t>Vanity Beauty Services</t>
        </is>
      </c>
      <c r="E62" s="2" t="inlineStr">
        <is>
          <t>beauty salon</t>
        </is>
      </c>
      <c r="F62" s="2" t="inlineStr">
        <is>
          <t>Gold Coast</t>
        </is>
      </c>
      <c r="G62" s="2" t="inlineStr">
        <is>
          <t>Facebook</t>
        </is>
      </c>
      <c r="H62" s="2" t="inlineStr"/>
      <c r="I62" s="4" t="inlineStr">
        <is>
          <t>https://www.facebook.com/vanitybeautyservices/</t>
        </is>
      </c>
      <c r="J62" s="2" t="inlineStr">
        <is>
          <t>+61 422 226 410</t>
        </is>
      </c>
      <c r="K62" s="4" t="inlineStr">
        <is>
          <t>https://www.facebook.com/vanitybeautyservices/</t>
        </is>
      </c>
      <c r="L62" s="2" t="inlineStr">
        <is>
          <t>no real website (uses www.facebook.com)</t>
        </is>
      </c>
      <c r="M62" s="2" t="inlineStr">
        <is>
          <t>Hi Vanity Beauty Services team! [one real detail from their page]. We're AceAds, a web design studio. We noticed that when people in Gold Coast search for a beauty salon on Google, they only find your Facebook, not a website of your own. We'd be happy to make you a free preview of what a website could look like. Want one? No cost, no obligation.</t>
        </is>
      </c>
      <c r="N62" s="4" t="inlineStr">
        <is>
          <t>Open map</t>
        </is>
      </c>
      <c r="O62" s="2" t="inlineStr">
        <is>
          <t>Not contacted</t>
        </is>
      </c>
      <c r="P62" s="2" t="inlineStr"/>
      <c r="Q62" s="2" t="inlineStr"/>
      <c r="R62" s="2" t="inlineStr"/>
      <c r="S62" s="2" t="inlineStr"/>
    </row>
    <row r="63">
      <c r="A63" s="2" t="n">
        <v>62</v>
      </c>
      <c r="B63" s="3" t="inlineStr">
        <is>
          <t>HIGH</t>
        </is>
      </c>
      <c r="C63" s="2" t="inlineStr">
        <is>
          <t>No own website</t>
        </is>
      </c>
      <c r="D63" s="2" t="inlineStr">
        <is>
          <t>Sea Wish</t>
        </is>
      </c>
      <c r="E63" s="2" t="inlineStr">
        <is>
          <t>boutique</t>
        </is>
      </c>
      <c r="F63" s="2" t="inlineStr">
        <is>
          <t>Gold Coast</t>
        </is>
      </c>
      <c r="G63" s="2" t="inlineStr">
        <is>
          <t>Facebook</t>
        </is>
      </c>
      <c r="H63" s="2" t="inlineStr"/>
      <c r="I63" s="4" t="inlineStr">
        <is>
          <t>https://m.facebook.com/SeaWishShop/</t>
        </is>
      </c>
      <c r="J63" s="2" t="inlineStr">
        <is>
          <t>+61 7 5536 3888</t>
        </is>
      </c>
      <c r="K63" s="4" t="inlineStr">
        <is>
          <t>https://m.facebook.com/SeaWishShop/</t>
        </is>
      </c>
      <c r="L63" s="2" t="inlineStr">
        <is>
          <t>no real website (uses m.facebook.com)</t>
        </is>
      </c>
      <c r="M63" s="2" t="inlineStr">
        <is>
          <t>Hi Sea Wish team! [one real detail from their page]. We're AceAds, a web design studio. We noticed that when people in Gold Coast search for a boutique on Google, they only find your Facebook, not a website of your own. We'd be happy to make you a free preview of what a website could look like. Want one? No cost, no obligation.</t>
        </is>
      </c>
      <c r="N63" s="4" t="inlineStr">
        <is>
          <t>Open map</t>
        </is>
      </c>
      <c r="O63" s="2" t="inlineStr">
        <is>
          <t>Not contacted</t>
        </is>
      </c>
      <c r="P63" s="2" t="inlineStr"/>
      <c r="Q63" s="2" t="inlineStr"/>
      <c r="R63" s="2" t="inlineStr"/>
      <c r="S63" s="2" t="inlineStr"/>
    </row>
    <row r="64">
      <c r="A64" s="2" t="n">
        <v>63</v>
      </c>
      <c r="B64" s="3" t="inlineStr">
        <is>
          <t>HIGH</t>
        </is>
      </c>
      <c r="C64" s="2" t="inlineStr">
        <is>
          <t>No own website</t>
        </is>
      </c>
      <c r="D64" s="2" t="inlineStr">
        <is>
          <t>Aperitivo Cafe</t>
        </is>
      </c>
      <c r="E64" s="2" t="inlineStr">
        <is>
          <t>cafe</t>
        </is>
      </c>
      <c r="F64" s="2" t="inlineStr">
        <is>
          <t>Gold Coast</t>
        </is>
      </c>
      <c r="G64" s="2" t="inlineStr">
        <is>
          <t>Instagram</t>
        </is>
      </c>
      <c r="H64" s="4" t="inlineStr">
        <is>
          <t>https://www.instagram.com/aperitivo.cafe/</t>
        </is>
      </c>
      <c r="I64" s="2" t="inlineStr"/>
      <c r="J64" s="2" t="inlineStr">
        <is>
          <t>+61 490 811 563</t>
        </is>
      </c>
      <c r="K64" s="4" t="inlineStr">
        <is>
          <t>https://www.instagram.com/aperitivo.cafe/</t>
        </is>
      </c>
      <c r="L64" s="2" t="inlineStr">
        <is>
          <t>no real website (uses www.instagram.com)</t>
        </is>
      </c>
      <c r="M64" s="2" t="inlineStr">
        <is>
          <t>Hi Aperitivo Cafe team! [one real detail from their page]. We're AceAds, a web design studio. We noticed that when people in Gold Coast search for a cafe on Google, they only find your Instagram, not a website of your own. We'd be happy to make you a free preview of what a website could look like. Want one? No cost, no obligation.</t>
        </is>
      </c>
      <c r="N64" s="4" t="inlineStr">
        <is>
          <t>Open map</t>
        </is>
      </c>
      <c r="O64" s="2" t="inlineStr">
        <is>
          <t>Not contacted</t>
        </is>
      </c>
      <c r="P64" s="2" t="inlineStr"/>
      <c r="Q64" s="2" t="inlineStr"/>
      <c r="R64" s="2" t="inlineStr"/>
      <c r="S64" s="2" t="inlineStr"/>
    </row>
    <row r="65">
      <c r="A65" s="2" t="n">
        <v>64</v>
      </c>
      <c r="B65" s="3" t="inlineStr">
        <is>
          <t>HIGH</t>
        </is>
      </c>
      <c r="C65" s="2" t="inlineStr">
        <is>
          <t>No own website</t>
        </is>
      </c>
      <c r="D65" s="2" t="inlineStr">
        <is>
          <t>Burleigh Beach Kiosk</t>
        </is>
      </c>
      <c r="E65" s="2" t="inlineStr">
        <is>
          <t>cafe</t>
        </is>
      </c>
      <c r="F65" s="2" t="inlineStr">
        <is>
          <t>Gold Coast</t>
        </is>
      </c>
      <c r="G65" s="2" t="inlineStr">
        <is>
          <t>Facebook</t>
        </is>
      </c>
      <c r="H65" s="2" t="inlineStr"/>
      <c r="I65" s="4" t="inlineStr">
        <is>
          <t>https://www.facebook.com/burleighbeachkiosk</t>
        </is>
      </c>
      <c r="J65" s="2" t="inlineStr">
        <is>
          <t>+61 7 5520 2972</t>
        </is>
      </c>
      <c r="K65" s="4" t="inlineStr">
        <is>
          <t>https://www.facebook.com/burleighbeachkiosk</t>
        </is>
      </c>
      <c r="L65" s="2" t="inlineStr">
        <is>
          <t>no real website (uses www.facebook.com)</t>
        </is>
      </c>
      <c r="M65" s="2" t="inlineStr">
        <is>
          <t>Hi Burleigh Beach Kiosk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5" s="4" t="inlineStr">
        <is>
          <t>Open map</t>
        </is>
      </c>
      <c r="O65" s="2" t="inlineStr">
        <is>
          <t>Not contacted</t>
        </is>
      </c>
      <c r="P65" s="2" t="inlineStr"/>
      <c r="Q65" s="2" t="inlineStr"/>
      <c r="R65" s="2" t="inlineStr"/>
      <c r="S65" s="2" t="inlineStr"/>
    </row>
    <row r="66">
      <c r="A66" s="2" t="n">
        <v>65</v>
      </c>
      <c r="B66" s="3" t="inlineStr">
        <is>
          <t>HIGH</t>
        </is>
      </c>
      <c r="C66" s="2" t="inlineStr">
        <is>
          <t>No own website</t>
        </is>
      </c>
      <c r="D66" s="2" t="inlineStr">
        <is>
          <t>Cafe 1291</t>
        </is>
      </c>
      <c r="E66" s="2" t="inlineStr">
        <is>
          <t>cafe</t>
        </is>
      </c>
      <c r="F66" s="2" t="inlineStr">
        <is>
          <t>Gold Coast</t>
        </is>
      </c>
      <c r="G66" s="2" t="inlineStr">
        <is>
          <t>Facebook</t>
        </is>
      </c>
      <c r="H66" s="2" t="inlineStr"/>
      <c r="I66" s="4" t="inlineStr">
        <is>
          <t>https://www.facebook.com/Cafetwelve91/</t>
        </is>
      </c>
      <c r="J66" s="2" t="inlineStr">
        <is>
          <t>+61 427 883 742</t>
        </is>
      </c>
      <c r="K66" s="4" t="inlineStr">
        <is>
          <t>https://www.facebook.com/Cafetwelve91/</t>
        </is>
      </c>
      <c r="L66" s="2" t="inlineStr">
        <is>
          <t>no real website (uses www.facebook.com)</t>
        </is>
      </c>
      <c r="M66" s="2" t="inlineStr">
        <is>
          <t>Hi Cafe 1291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6" s="4" t="inlineStr">
        <is>
          <t>Open map</t>
        </is>
      </c>
      <c r="O66" s="2" t="inlineStr">
        <is>
          <t>Not contacted</t>
        </is>
      </c>
      <c r="P66" s="2" t="inlineStr"/>
      <c r="Q66" s="2" t="inlineStr"/>
      <c r="R66" s="2" t="inlineStr"/>
      <c r="S66" s="2" t="inlineStr"/>
    </row>
    <row r="67">
      <c r="A67" s="2" t="n">
        <v>66</v>
      </c>
      <c r="B67" s="3" t="inlineStr">
        <is>
          <t>HIGH</t>
        </is>
      </c>
      <c r="C67" s="2" t="inlineStr">
        <is>
          <t>No own website</t>
        </is>
      </c>
      <c r="D67" s="2" t="inlineStr">
        <is>
          <t>Cafe Kirra</t>
        </is>
      </c>
      <c r="E67" s="2" t="inlineStr">
        <is>
          <t>cafe</t>
        </is>
      </c>
      <c r="F67" s="2" t="inlineStr">
        <is>
          <t>Gold Coast</t>
        </is>
      </c>
      <c r="G67" s="2" t="inlineStr">
        <is>
          <t>Facebook</t>
        </is>
      </c>
      <c r="H67" s="2" t="inlineStr"/>
      <c r="I67" s="4" t="inlineStr">
        <is>
          <t>https://www.facebook.com/cafekirra/</t>
        </is>
      </c>
      <c r="J67" s="2" t="inlineStr">
        <is>
          <t>+61 7 5536 2614</t>
        </is>
      </c>
      <c r="K67" s="4" t="inlineStr">
        <is>
          <t>https://www.facebook.com/cafekirra/</t>
        </is>
      </c>
      <c r="L67" s="2" t="inlineStr">
        <is>
          <t>no real website (uses www.facebook.com)</t>
        </is>
      </c>
      <c r="M67" s="2" t="inlineStr">
        <is>
          <t>Hi Cafe Kirra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7" s="4" t="inlineStr">
        <is>
          <t>Open map</t>
        </is>
      </c>
      <c r="O67" s="2" t="inlineStr">
        <is>
          <t>Not contacted</t>
        </is>
      </c>
      <c r="P67" s="2" t="inlineStr"/>
      <c r="Q67" s="2" t="inlineStr"/>
      <c r="R67" s="2" t="inlineStr"/>
      <c r="S67" s="2" t="inlineStr"/>
    </row>
    <row r="68">
      <c r="A68" s="2" t="n">
        <v>67</v>
      </c>
      <c r="B68" s="3" t="inlineStr">
        <is>
          <t>HIGH</t>
        </is>
      </c>
      <c r="C68" s="2" t="inlineStr">
        <is>
          <t>No own website</t>
        </is>
      </c>
      <c r="D68" s="2" t="inlineStr">
        <is>
          <t>Elephant Grounds Cafe</t>
        </is>
      </c>
      <c r="E68" s="2" t="inlineStr">
        <is>
          <t>cafe</t>
        </is>
      </c>
      <c r="F68" s="2" t="inlineStr">
        <is>
          <t>Gold Coast</t>
        </is>
      </c>
      <c r="G68" s="2" t="inlineStr">
        <is>
          <t>Facebook</t>
        </is>
      </c>
      <c r="H68" s="2" t="inlineStr"/>
      <c r="I68" s="4" t="inlineStr">
        <is>
          <t>https://www.facebook.com/Elephant-Grounds-552246915107742/</t>
        </is>
      </c>
      <c r="J68" s="2" t="inlineStr">
        <is>
          <t>+61 419 782 640</t>
        </is>
      </c>
      <c r="K68" s="4" t="inlineStr">
        <is>
          <t>https://www.facebook.com/Elephant-Grounds-552246915107742/</t>
        </is>
      </c>
      <c r="L68" s="2" t="inlineStr">
        <is>
          <t>no real website (uses www.facebook.com)</t>
        </is>
      </c>
      <c r="M68" s="2" t="inlineStr">
        <is>
          <t>Hi Elephant Grounds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68" s="4" t="inlineStr">
        <is>
          <t>Open map</t>
        </is>
      </c>
      <c r="O68" s="2" t="inlineStr">
        <is>
          <t>Not contacted</t>
        </is>
      </c>
      <c r="P68" s="2" t="inlineStr"/>
      <c r="Q68" s="2" t="inlineStr"/>
      <c r="R68" s="2" t="inlineStr"/>
      <c r="S68" s="2" t="inlineStr"/>
    </row>
    <row r="69">
      <c r="A69" s="2" t="n">
        <v>68</v>
      </c>
      <c r="B69" s="3" t="inlineStr">
        <is>
          <t>HIGH</t>
        </is>
      </c>
      <c r="C69" s="2" t="inlineStr">
        <is>
          <t>No own website</t>
        </is>
      </c>
      <c r="D69" s="2" t="inlineStr">
        <is>
          <t>Good Day Coffee</t>
        </is>
      </c>
      <c r="E69" s="2" t="inlineStr">
        <is>
          <t>cafe</t>
        </is>
      </c>
      <c r="F69" s="2" t="inlineStr">
        <is>
          <t>Gold Coast</t>
        </is>
      </c>
      <c r="G69" s="2" t="inlineStr">
        <is>
          <t>Instagram</t>
        </is>
      </c>
      <c r="H69" s="4" t="inlineStr">
        <is>
          <t>https://www.instagram.com/gooddaycoffee/?hl=en</t>
        </is>
      </c>
      <c r="I69" s="2" t="inlineStr"/>
      <c r="J69" s="2" t="inlineStr"/>
      <c r="K69" s="4" t="inlineStr">
        <is>
          <t>https://www.instagram.com/gooddaycoffee/?hl=en</t>
        </is>
      </c>
      <c r="L69" s="2" t="inlineStr">
        <is>
          <t>no real website (uses www.instagram.com)</t>
        </is>
      </c>
      <c r="M69" s="2" t="inlineStr">
        <is>
          <t>Hi Good Day Coffee team! [one real detail from their page]. We're AceAds, a web design studio. We noticed that when people in Gold Coast search for a cafe on Google, they only find your Instagram, not a website of your own. We'd be happy to make you a free preview of what a website could look like. Want one? No cost, no obligation.</t>
        </is>
      </c>
      <c r="N69" s="4" t="inlineStr">
        <is>
          <t>Open map</t>
        </is>
      </c>
      <c r="O69" s="2" t="inlineStr">
        <is>
          <t>Not contacted</t>
        </is>
      </c>
      <c r="P69" s="2" t="inlineStr"/>
      <c r="Q69" s="2" t="inlineStr"/>
      <c r="R69" s="2" t="inlineStr"/>
      <c r="S69" s="2" t="inlineStr"/>
    </row>
    <row r="70">
      <c r="A70" s="2" t="n">
        <v>69</v>
      </c>
      <c r="B70" s="3" t="inlineStr">
        <is>
          <t>HIGH</t>
        </is>
      </c>
      <c r="C70" s="2" t="inlineStr">
        <is>
          <t>No own website</t>
        </is>
      </c>
      <c r="D70" s="2" t="inlineStr">
        <is>
          <t>Los Vegos</t>
        </is>
      </c>
      <c r="E70" s="2" t="inlineStr">
        <is>
          <t>cafe</t>
        </is>
      </c>
      <c r="F70" s="2" t="inlineStr">
        <is>
          <t>Gold Coast</t>
        </is>
      </c>
      <c r="G70" s="2" t="inlineStr">
        <is>
          <t>Facebook</t>
        </is>
      </c>
      <c r="H70" s="2" t="inlineStr"/>
      <c r="I70" s="4" t="inlineStr">
        <is>
          <t>https://www.facebook.com/Los-Vegos-Coolangatta-853780404959832/</t>
        </is>
      </c>
      <c r="J70" s="2" t="inlineStr">
        <is>
          <t>+61 7 5599 3560</t>
        </is>
      </c>
      <c r="K70" s="4" t="inlineStr">
        <is>
          <t>https://www.facebook.com/Los-Vegos-Coolangatta-853780404959832/</t>
        </is>
      </c>
      <c r="L70" s="2" t="inlineStr">
        <is>
          <t>no real website (uses www.facebook.com)</t>
        </is>
      </c>
      <c r="M70" s="2" t="inlineStr">
        <is>
          <t>Hi Los Vegos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0" s="4" t="inlineStr">
        <is>
          <t>Open map</t>
        </is>
      </c>
      <c r="O70" s="2" t="inlineStr">
        <is>
          <t>Not contacted</t>
        </is>
      </c>
      <c r="P70" s="2" t="inlineStr"/>
      <c r="Q70" s="2" t="inlineStr"/>
      <c r="R70" s="2" t="inlineStr"/>
      <c r="S70" s="2" t="inlineStr"/>
    </row>
    <row r="71">
      <c r="A71" s="2" t="n">
        <v>70</v>
      </c>
      <c r="B71" s="3" t="inlineStr">
        <is>
          <t>HIGH</t>
        </is>
      </c>
      <c r="C71" s="2" t="inlineStr">
        <is>
          <t>No own website</t>
        </is>
      </c>
      <c r="D71" s="2" t="inlineStr">
        <is>
          <t>Mokacino's Cafe</t>
        </is>
      </c>
      <c r="E71" s="2" t="inlineStr">
        <is>
          <t>cafe</t>
        </is>
      </c>
      <c r="F71" s="2" t="inlineStr">
        <is>
          <t>Gold Coast</t>
        </is>
      </c>
      <c r="G71" s="2" t="inlineStr">
        <is>
          <t>Facebook</t>
        </is>
      </c>
      <c r="H71" s="2" t="inlineStr"/>
      <c r="I71" s="4" t="inlineStr">
        <is>
          <t>https://www.facebook.com/Mokacinos/</t>
        </is>
      </c>
      <c r="J71" s="2" t="inlineStr">
        <is>
          <t>+61 401 993 633</t>
        </is>
      </c>
      <c r="K71" s="4" t="inlineStr">
        <is>
          <t>https://www.facebook.com/Mokacinos/</t>
        </is>
      </c>
      <c r="L71" s="2" t="inlineStr">
        <is>
          <t>no real website (uses www.facebook.com)</t>
        </is>
      </c>
      <c r="M71" s="2" t="inlineStr">
        <is>
          <t>Hi Mokacino's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1" s="4" t="inlineStr">
        <is>
          <t>Open map</t>
        </is>
      </c>
      <c r="O71" s="2" t="inlineStr">
        <is>
          <t>Not contacted</t>
        </is>
      </c>
      <c r="P71" s="2" t="inlineStr"/>
      <c r="Q71" s="2" t="inlineStr"/>
      <c r="R71" s="2" t="inlineStr"/>
      <c r="S71" s="2" t="inlineStr"/>
    </row>
    <row r="72">
      <c r="A72" s="2" t="n">
        <v>71</v>
      </c>
      <c r="B72" s="3" t="inlineStr">
        <is>
          <t>HIGH</t>
        </is>
      </c>
      <c r="C72" s="2" t="inlineStr">
        <is>
          <t>No own website</t>
        </is>
      </c>
      <c r="D72" s="2" t="inlineStr">
        <is>
          <t>Old Paris Cafe</t>
        </is>
      </c>
      <c r="E72" s="2" t="inlineStr">
        <is>
          <t>cafe</t>
        </is>
      </c>
      <c r="F72" s="2" t="inlineStr">
        <is>
          <t>Gold Coast</t>
        </is>
      </c>
      <c r="G72" s="2" t="inlineStr">
        <is>
          <t>Facebook</t>
        </is>
      </c>
      <c r="H72" s="2" t="inlineStr"/>
      <c r="I72" s="4" t="inlineStr">
        <is>
          <t>https://www.facebook.com/oldparisvarsity/</t>
        </is>
      </c>
      <c r="J72" s="2" t="inlineStr">
        <is>
          <t>+61 7 5636 7477</t>
        </is>
      </c>
      <c r="K72" s="4" t="inlineStr">
        <is>
          <t>https://www.facebook.com/oldparisvarsity/</t>
        </is>
      </c>
      <c r="L72" s="2" t="inlineStr">
        <is>
          <t>no real website (uses www.facebook.com)</t>
        </is>
      </c>
      <c r="M72" s="2" t="inlineStr">
        <is>
          <t>Hi Old Paris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2" s="4" t="inlineStr">
        <is>
          <t>Open map</t>
        </is>
      </c>
      <c r="O72" s="2" t="inlineStr">
        <is>
          <t>Not contacted</t>
        </is>
      </c>
      <c r="P72" s="2" t="inlineStr"/>
      <c r="Q72" s="2" t="inlineStr"/>
      <c r="R72" s="2" t="inlineStr"/>
      <c r="S72" s="2" t="inlineStr"/>
    </row>
    <row r="73">
      <c r="A73" s="2" t="n">
        <v>72</v>
      </c>
      <c r="B73" s="3" t="inlineStr">
        <is>
          <t>HIGH</t>
        </is>
      </c>
      <c r="C73" s="2" t="inlineStr">
        <is>
          <t>No own website</t>
        </is>
      </c>
      <c r="D73" s="2" t="inlineStr">
        <is>
          <t>Seaway Kiosk</t>
        </is>
      </c>
      <c r="E73" s="2" t="inlineStr">
        <is>
          <t>cafe</t>
        </is>
      </c>
      <c r="F73" s="2" t="inlineStr">
        <is>
          <t>Gold Coast</t>
        </is>
      </c>
      <c r="G73" s="2" t="inlineStr">
        <is>
          <t>Facebook</t>
        </is>
      </c>
      <c r="H73" s="2" t="inlineStr"/>
      <c r="I73" s="4" t="inlineStr">
        <is>
          <t>https://www.facebook.com/seawaykioskandjetty/</t>
        </is>
      </c>
      <c r="J73" s="2" t="inlineStr">
        <is>
          <t>+61 7 5591 6970</t>
        </is>
      </c>
      <c r="K73" s="4" t="inlineStr">
        <is>
          <t>https://www.facebook.com/seawaykioskandjetty/</t>
        </is>
      </c>
      <c r="L73" s="2" t="inlineStr">
        <is>
          <t>no real website (uses www.facebook.com)</t>
        </is>
      </c>
      <c r="M73" s="2" t="inlineStr">
        <is>
          <t>Hi Seaway Kiosk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3" s="4" t="inlineStr">
        <is>
          <t>Open map</t>
        </is>
      </c>
      <c r="O73" s="2" t="inlineStr">
        <is>
          <t>Not contacted</t>
        </is>
      </c>
      <c r="P73" s="2" t="inlineStr"/>
      <c r="Q73" s="2" t="inlineStr"/>
      <c r="R73" s="2" t="inlineStr"/>
      <c r="S73" s="2" t="inlineStr"/>
    </row>
    <row r="74">
      <c r="A74" s="2" t="n">
        <v>73</v>
      </c>
      <c r="B74" s="3" t="inlineStr">
        <is>
          <t>HIGH</t>
        </is>
      </c>
      <c r="C74" s="2" t="inlineStr">
        <is>
          <t>No own website</t>
        </is>
      </c>
      <c r="D74" s="2" t="inlineStr">
        <is>
          <t>The Lott Cafe</t>
        </is>
      </c>
      <c r="E74" s="2" t="inlineStr">
        <is>
          <t>cafe</t>
        </is>
      </c>
      <c r="F74" s="2" t="inlineStr">
        <is>
          <t>Gold Coast</t>
        </is>
      </c>
      <c r="G74" s="2" t="inlineStr">
        <is>
          <t>Facebook</t>
        </is>
      </c>
      <c r="H74" s="2" t="inlineStr"/>
      <c r="I74" s="4" t="inlineStr">
        <is>
          <t>https://www.facebook.com/The-Lott-Cafe-Robina-1803600919948866/</t>
        </is>
      </c>
      <c r="J74" s="2" t="inlineStr">
        <is>
          <t>+61 7 5593 0388</t>
        </is>
      </c>
      <c r="K74" s="4" t="inlineStr">
        <is>
          <t>https://www.facebook.com/The-Lott-Cafe-Robina-1803600919948866/</t>
        </is>
      </c>
      <c r="L74" s="2" t="inlineStr">
        <is>
          <t>no real website (uses www.facebook.com)</t>
        </is>
      </c>
      <c r="M74" s="2" t="inlineStr">
        <is>
          <t>Hi The Lott Cafe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4" s="4" t="inlineStr">
        <is>
          <t>Open map</t>
        </is>
      </c>
      <c r="O74" s="2" t="inlineStr">
        <is>
          <t>Not contacted</t>
        </is>
      </c>
      <c r="P74" s="2" t="inlineStr"/>
      <c r="Q74" s="2" t="inlineStr"/>
      <c r="R74" s="2" t="inlineStr"/>
      <c r="S74" s="2" t="inlineStr"/>
    </row>
    <row r="75">
      <c r="A75" s="2" t="n">
        <v>74</v>
      </c>
      <c r="B75" s="3" t="inlineStr">
        <is>
          <t>HIGH</t>
        </is>
      </c>
      <c r="C75" s="2" t="inlineStr">
        <is>
          <t>No own website</t>
        </is>
      </c>
      <c r="D75" s="2" t="inlineStr">
        <is>
          <t>West Brew Coffee</t>
        </is>
      </c>
      <c r="E75" s="2" t="inlineStr">
        <is>
          <t>cafe</t>
        </is>
      </c>
      <c r="F75" s="2" t="inlineStr">
        <is>
          <t>Gold Coast</t>
        </is>
      </c>
      <c r="G75" s="2" t="inlineStr">
        <is>
          <t>Facebook</t>
        </is>
      </c>
      <c r="H75" s="2" t="inlineStr"/>
      <c r="I75" s="4" t="inlineStr">
        <is>
          <t>https://www.facebook.com/West-Brew-Coffee-106717397834618/</t>
        </is>
      </c>
      <c r="J75" s="2" t="inlineStr">
        <is>
          <t>+61 437 541 888</t>
        </is>
      </c>
      <c r="K75" s="4" t="inlineStr">
        <is>
          <t>https://www.facebook.com/West-Brew-Coffee-106717397834618/</t>
        </is>
      </c>
      <c r="L75" s="2" t="inlineStr">
        <is>
          <t>no real website (uses www.facebook.com)</t>
        </is>
      </c>
      <c r="M75" s="2" t="inlineStr">
        <is>
          <t>Hi West Brew Coffee team! [one real detail from their page]. We're AceAds, a web design studio. We noticed that when people in Gold Coast search for a cafe on Google, they only find your Facebook, not a website of your own. We'd be happy to make you a free preview of what a website could look like. Want one? No cost, no obligation.</t>
        </is>
      </c>
      <c r="N75" s="4" t="inlineStr">
        <is>
          <t>Open map</t>
        </is>
      </c>
      <c r="O75" s="2" t="inlineStr">
        <is>
          <t>Not contacted</t>
        </is>
      </c>
      <c r="P75" s="2" t="inlineStr"/>
      <c r="Q75" s="2" t="inlineStr"/>
      <c r="R75" s="2" t="inlineStr"/>
      <c r="S75" s="2" t="inlineStr"/>
    </row>
    <row r="76">
      <c r="A76" s="2" t="n">
        <v>75</v>
      </c>
      <c r="B76" s="3" t="inlineStr">
        <is>
          <t>HIGH</t>
        </is>
      </c>
      <c r="C76" s="2" t="inlineStr">
        <is>
          <t>No own website</t>
        </is>
      </c>
      <c r="D76" s="2" t="inlineStr">
        <is>
          <t>Tugun Veterinary Surgery</t>
        </is>
      </c>
      <c r="E76" s="2" t="inlineStr">
        <is>
          <t>pet business</t>
        </is>
      </c>
      <c r="F76" s="2" t="inlineStr">
        <is>
          <t>Gold Coast</t>
        </is>
      </c>
      <c r="G76" s="2" t="inlineStr">
        <is>
          <t>Facebook</t>
        </is>
      </c>
      <c r="H76" s="2" t="inlineStr"/>
      <c r="I76" s="4" t="inlineStr">
        <is>
          <t>https://www.facebook.com/TugunVets/</t>
        </is>
      </c>
      <c r="J76" s="2" t="inlineStr">
        <is>
          <t>+61 7 5534 1928</t>
        </is>
      </c>
      <c r="K76" s="4" t="inlineStr">
        <is>
          <t>https://www.facebook.com/TugunVets/</t>
        </is>
      </c>
      <c r="L76" s="2" t="inlineStr">
        <is>
          <t>no real website (uses www.facebook.com)</t>
        </is>
      </c>
      <c r="M76" s="2" t="inlineStr">
        <is>
          <t>Hi Tugun Veterinary Surgery team! [one real detail from their page]. We're AceAds, a web design studio. We noticed that when people in Gold Coast search for a pet shop on Google, they only find your Facebook, not a website of your own. We'd be happy to make you a free preview of what a website could look like. Want one? No cost, no obligation.</t>
        </is>
      </c>
      <c r="N76" s="4" t="inlineStr">
        <is>
          <t>Open map</t>
        </is>
      </c>
      <c r="O76" s="2" t="inlineStr">
        <is>
          <t>Not contacted</t>
        </is>
      </c>
      <c r="P76" s="2" t="inlineStr"/>
      <c r="Q76" s="2" t="inlineStr"/>
      <c r="R76" s="2" t="inlineStr"/>
      <c r="S76" s="2" t="inlineStr"/>
    </row>
    <row r="77">
      <c r="A77" s="2" t="n">
        <v>76</v>
      </c>
      <c r="B77" s="3" t="inlineStr">
        <is>
          <t>HIGH</t>
        </is>
      </c>
      <c r="C77" s="2" t="inlineStr">
        <is>
          <t>No own website</t>
        </is>
      </c>
      <c r="D77" s="2" t="inlineStr">
        <is>
          <t>Cara Cara</t>
        </is>
      </c>
      <c r="E77" s="2" t="inlineStr">
        <is>
          <t>restaurant</t>
        </is>
      </c>
      <c r="F77" s="2" t="inlineStr">
        <is>
          <t>Gold Coast</t>
        </is>
      </c>
      <c r="G77" s="2" t="inlineStr">
        <is>
          <t>Facebook</t>
        </is>
      </c>
      <c r="H77" s="2" t="inlineStr"/>
      <c r="I77" s="4" t="inlineStr">
        <is>
          <t>https://www.facebook.com/caracaramexican/</t>
        </is>
      </c>
      <c r="J77" s="2" t="inlineStr">
        <is>
          <t>+61 422 416 889</t>
        </is>
      </c>
      <c r="K77" s="4" t="inlineStr">
        <is>
          <t>https://www.facebook.com/caracaramexican/</t>
        </is>
      </c>
      <c r="L77" s="2" t="inlineStr">
        <is>
          <t>no real website (uses www.facebook.com)</t>
        </is>
      </c>
      <c r="M77" s="2" t="inlineStr">
        <is>
          <t>Hi Cara Cara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77" s="4" t="inlineStr">
        <is>
          <t>Open map</t>
        </is>
      </c>
      <c r="O77" s="2" t="inlineStr">
        <is>
          <t>Not contacted</t>
        </is>
      </c>
      <c r="P77" s="2" t="inlineStr"/>
      <c r="Q77" s="2" t="inlineStr"/>
      <c r="R77" s="2" t="inlineStr"/>
      <c r="S77" s="2" t="inlineStr"/>
    </row>
    <row r="78">
      <c r="A78" s="2" t="n">
        <v>77</v>
      </c>
      <c r="B78" s="3" t="inlineStr">
        <is>
          <t>HIGH</t>
        </is>
      </c>
      <c r="C78" s="2" t="inlineStr">
        <is>
          <t>No own website</t>
        </is>
      </c>
      <c r="D78" s="2" t="inlineStr">
        <is>
          <t>Lucky Mama Malaysian Restaurant</t>
        </is>
      </c>
      <c r="E78" s="2" t="inlineStr">
        <is>
          <t>restaurant</t>
        </is>
      </c>
      <c r="F78" s="2" t="inlineStr">
        <is>
          <t>Gold Coast</t>
        </is>
      </c>
      <c r="G78" s="2" t="inlineStr">
        <is>
          <t>Facebook</t>
        </is>
      </c>
      <c r="H78" s="2" t="inlineStr"/>
      <c r="I78" s="4" t="inlineStr">
        <is>
          <t>https://www.facebook.com/Lucky-Mama-Restaurant-662520431028606/</t>
        </is>
      </c>
      <c r="J78" s="2" t="inlineStr">
        <is>
          <t>+61 7 5598 2680</t>
        </is>
      </c>
      <c r="K78" s="4" t="inlineStr">
        <is>
          <t>https://www.facebook.com/Lucky-Mama-Restaurant-662520431028606/</t>
        </is>
      </c>
      <c r="L78" s="2" t="inlineStr">
        <is>
          <t>no real website (uses www.facebook.com)</t>
        </is>
      </c>
      <c r="M78" s="2" t="inlineStr">
        <is>
          <t>Hi Lucky Mama Malaysian Restaurant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78" s="4" t="inlineStr">
        <is>
          <t>Open map</t>
        </is>
      </c>
      <c r="O78" s="2" t="inlineStr">
        <is>
          <t>Not contacted</t>
        </is>
      </c>
      <c r="P78" s="2" t="inlineStr"/>
      <c r="Q78" s="2" t="inlineStr"/>
      <c r="R78" s="2" t="inlineStr"/>
      <c r="S78" s="2" t="inlineStr"/>
    </row>
    <row r="79">
      <c r="A79" s="2" t="n">
        <v>78</v>
      </c>
      <c r="B79" s="3" t="inlineStr">
        <is>
          <t>HIGH</t>
        </is>
      </c>
      <c r="C79" s="2" t="inlineStr">
        <is>
          <t>No own website</t>
        </is>
      </c>
      <c r="D79" s="2" t="inlineStr">
        <is>
          <t>Mandi Corner Gold Coast</t>
        </is>
      </c>
      <c r="E79" s="2" t="inlineStr">
        <is>
          <t>restaurant</t>
        </is>
      </c>
      <c r="F79" s="2" t="inlineStr">
        <is>
          <t>Gold Coast</t>
        </is>
      </c>
      <c r="G79" s="2" t="inlineStr">
        <is>
          <t>Facebook</t>
        </is>
      </c>
      <c r="H79" s="2" t="inlineStr"/>
      <c r="I79" s="4" t="inlineStr">
        <is>
          <t>https://www.facebook.com/mandialarabiagoldcoast</t>
        </is>
      </c>
      <c r="J79" s="2" t="inlineStr">
        <is>
          <t>+61 7 5517 4177</t>
        </is>
      </c>
      <c r="K79" s="4" t="inlineStr">
        <is>
          <t>https://www.facebook.com/mandialarabiagoldcoast</t>
        </is>
      </c>
      <c r="L79" s="2" t="inlineStr">
        <is>
          <t>no real website (uses www.facebook.com)</t>
        </is>
      </c>
      <c r="M79" s="2" t="inlineStr">
        <is>
          <t>Hi Mandi Corner Gold Coast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79" s="4" t="inlineStr">
        <is>
          <t>Open map</t>
        </is>
      </c>
      <c r="O79" s="2" t="inlineStr">
        <is>
          <t>Not contacted</t>
        </is>
      </c>
      <c r="P79" s="2" t="inlineStr"/>
      <c r="Q79" s="2" t="inlineStr"/>
      <c r="R79" s="2" t="inlineStr"/>
      <c r="S79" s="2" t="inlineStr"/>
    </row>
    <row r="80">
      <c r="A80" s="2" t="n">
        <v>79</v>
      </c>
      <c r="B80" s="3" t="inlineStr">
        <is>
          <t>HIGH</t>
        </is>
      </c>
      <c r="C80" s="2" t="inlineStr">
        <is>
          <t>No own website</t>
        </is>
      </c>
      <c r="D80" s="2" t="inlineStr">
        <is>
          <t>Mr Itoshin</t>
        </is>
      </c>
      <c r="E80" s="2" t="inlineStr">
        <is>
          <t>restaurant</t>
        </is>
      </c>
      <c r="F80" s="2" t="inlineStr">
        <is>
          <t>Gold Coast</t>
        </is>
      </c>
      <c r="G80" s="2" t="inlineStr">
        <is>
          <t>Facebook</t>
        </is>
      </c>
      <c r="H80" s="2" t="inlineStr"/>
      <c r="I80" s="4" t="inlineStr">
        <is>
          <t>https://www.facebook.com/itoshinnabe/</t>
        </is>
      </c>
      <c r="J80" s="2" t="inlineStr">
        <is>
          <t>+61 411 130 747</t>
        </is>
      </c>
      <c r="K80" s="4" t="inlineStr">
        <is>
          <t>https://www.facebook.com/itoshinnabe/</t>
        </is>
      </c>
      <c r="L80" s="2" t="inlineStr">
        <is>
          <t>no real website (uses www.facebook.com)</t>
        </is>
      </c>
      <c r="M80" s="2" t="inlineStr">
        <is>
          <t>Hi Mr Itoshin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0" s="4" t="inlineStr">
        <is>
          <t>Open map</t>
        </is>
      </c>
      <c r="O80" s="2" t="inlineStr">
        <is>
          <t>Not contacted</t>
        </is>
      </c>
      <c r="P80" s="2" t="inlineStr"/>
      <c r="Q80" s="2" t="inlineStr"/>
      <c r="R80" s="2" t="inlineStr"/>
      <c r="S80" s="2" t="inlineStr"/>
    </row>
    <row r="81">
      <c r="A81" s="2" t="n">
        <v>80</v>
      </c>
      <c r="B81" s="3" t="inlineStr">
        <is>
          <t>HIGH</t>
        </is>
      </c>
      <c r="C81" s="2" t="inlineStr">
        <is>
          <t>No own website</t>
        </is>
      </c>
      <c r="D81" s="2" t="inlineStr">
        <is>
          <t>Palm Garden Chinese Restaurant</t>
        </is>
      </c>
      <c r="E81" s="2" t="inlineStr">
        <is>
          <t>restaurant</t>
        </is>
      </c>
      <c r="F81" s="2" t="inlineStr">
        <is>
          <t>Gold Coast</t>
        </is>
      </c>
      <c r="G81" s="2" t="inlineStr">
        <is>
          <t>Facebook</t>
        </is>
      </c>
      <c r="H81" s="2" t="inlineStr"/>
      <c r="I81" s="4" t="inlineStr">
        <is>
          <t>https://www.facebook.com/PalmGardenChinese</t>
        </is>
      </c>
      <c r="J81" s="2" t="inlineStr">
        <is>
          <t>+61 7 5534 3222</t>
        </is>
      </c>
      <c r="K81" s="4" t="inlineStr">
        <is>
          <t>https://www.facebook.com/PalmGardenChinese</t>
        </is>
      </c>
      <c r="L81" s="2" t="inlineStr">
        <is>
          <t>no real website (uses www.facebook.com)</t>
        </is>
      </c>
      <c r="M81" s="2" t="inlineStr">
        <is>
          <t>Hi Palm Garden Chinese Restaurant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1" s="4" t="inlineStr">
        <is>
          <t>Open map</t>
        </is>
      </c>
      <c r="O81" s="2" t="inlineStr">
        <is>
          <t>Not contacted</t>
        </is>
      </c>
      <c r="P81" s="2" t="inlineStr"/>
      <c r="Q81" s="2" t="inlineStr"/>
      <c r="R81" s="2" t="inlineStr"/>
      <c r="S81" s="2" t="inlineStr"/>
    </row>
    <row r="82">
      <c r="A82" s="2" t="n">
        <v>81</v>
      </c>
      <c r="B82" s="3" t="inlineStr">
        <is>
          <t>HIGH</t>
        </is>
      </c>
      <c r="C82" s="2" t="inlineStr">
        <is>
          <t>No own website</t>
        </is>
      </c>
      <c r="D82" s="2" t="inlineStr">
        <is>
          <t>Pinto Thai</t>
        </is>
      </c>
      <c r="E82" s="2" t="inlineStr">
        <is>
          <t>restaurant</t>
        </is>
      </c>
      <c r="F82" s="2" t="inlineStr">
        <is>
          <t>Gold Coast</t>
        </is>
      </c>
      <c r="G82" s="2" t="inlineStr">
        <is>
          <t>Facebook</t>
        </is>
      </c>
      <c r="H82" s="2" t="inlineStr"/>
      <c r="I82" s="4" t="inlineStr">
        <is>
          <t>https://www.facebook.com/pintothaicoolangatta/</t>
        </is>
      </c>
      <c r="J82" s="2" t="inlineStr">
        <is>
          <t>+61 7 5536 1165</t>
        </is>
      </c>
      <c r="K82" s="4" t="inlineStr">
        <is>
          <t>https://www.facebook.com/pintothaicoolangatta/</t>
        </is>
      </c>
      <c r="L82" s="2" t="inlineStr">
        <is>
          <t>no real website (uses www.facebook.com)</t>
        </is>
      </c>
      <c r="M82" s="2" t="inlineStr">
        <is>
          <t>Hi Pinto Thai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2" s="4" t="inlineStr">
        <is>
          <t>Open map</t>
        </is>
      </c>
      <c r="O82" s="2" t="inlineStr">
        <is>
          <t>Not contacted</t>
        </is>
      </c>
      <c r="P82" s="2" t="inlineStr"/>
      <c r="Q82" s="2" t="inlineStr"/>
      <c r="R82" s="2" t="inlineStr"/>
      <c r="S82" s="2" t="inlineStr"/>
    </row>
    <row r="83">
      <c r="A83" s="2" t="n">
        <v>82</v>
      </c>
      <c r="B83" s="3" t="inlineStr">
        <is>
          <t>HIGH</t>
        </is>
      </c>
      <c r="C83" s="2" t="inlineStr">
        <is>
          <t>No own website</t>
        </is>
      </c>
      <c r="D83" s="2" t="inlineStr">
        <is>
          <t>Pollys Country Kitchen</t>
        </is>
      </c>
      <c r="E83" s="2" t="inlineStr">
        <is>
          <t>restaurant</t>
        </is>
      </c>
      <c r="F83" s="2" t="inlineStr">
        <is>
          <t>Gold Coast</t>
        </is>
      </c>
      <c r="G83" s="2" t="inlineStr">
        <is>
          <t>Facebook</t>
        </is>
      </c>
      <c r="H83" s="2" t="inlineStr"/>
      <c r="I83" s="4" t="inlineStr">
        <is>
          <t>https://www.facebook.com/PollysCountryKitchen/</t>
        </is>
      </c>
      <c r="J83" s="2" t="inlineStr">
        <is>
          <t>+61 7 5530 3400</t>
        </is>
      </c>
      <c r="K83" s="4" t="inlineStr">
        <is>
          <t>https://www.facebook.com/PollysCountryKitchen/</t>
        </is>
      </c>
      <c r="L83" s="2" t="inlineStr">
        <is>
          <t>no real website (uses www.facebook.com)</t>
        </is>
      </c>
      <c r="M83" s="2" t="inlineStr">
        <is>
          <t>Hi Pollys Country Kitchen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3" s="4" t="inlineStr">
        <is>
          <t>Open map</t>
        </is>
      </c>
      <c r="O83" s="2" t="inlineStr">
        <is>
          <t>Not contacted</t>
        </is>
      </c>
      <c r="P83" s="2" t="inlineStr"/>
      <c r="Q83" s="2" t="inlineStr"/>
      <c r="R83" s="2" t="inlineStr"/>
      <c r="S83" s="2" t="inlineStr"/>
    </row>
    <row r="84">
      <c r="A84" s="2" t="n">
        <v>83</v>
      </c>
      <c r="B84" s="3" t="inlineStr">
        <is>
          <t>HIGH</t>
        </is>
      </c>
      <c r="C84" s="2" t="inlineStr">
        <is>
          <t>No own website</t>
        </is>
      </c>
      <c r="D84" s="2" t="inlineStr">
        <is>
          <t>Sushi &amp; Tempura</t>
        </is>
      </c>
      <c r="E84" s="2" t="inlineStr">
        <is>
          <t>restaurant</t>
        </is>
      </c>
      <c r="F84" s="2" t="inlineStr">
        <is>
          <t>Gold Coast</t>
        </is>
      </c>
      <c r="G84" s="2" t="inlineStr">
        <is>
          <t>Facebook</t>
        </is>
      </c>
      <c r="H84" s="2" t="inlineStr"/>
      <c r="I84" s="4" t="inlineStr">
        <is>
          <t>https://www.facebook.com/Cherryblossomvarsity/</t>
        </is>
      </c>
      <c r="J84" s="2" t="inlineStr">
        <is>
          <t>+61 7 5575 9506</t>
        </is>
      </c>
      <c r="K84" s="4" t="inlineStr">
        <is>
          <t>https://www.facebook.com/Cherryblossomvarsity/</t>
        </is>
      </c>
      <c r="L84" s="2" t="inlineStr">
        <is>
          <t>no real website (uses www.facebook.com)</t>
        </is>
      </c>
      <c r="M84" s="2" t="inlineStr">
        <is>
          <t>Hi Sushi &amp; Tempura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4" s="4" t="inlineStr">
        <is>
          <t>Open map</t>
        </is>
      </c>
      <c r="O84" s="2" t="inlineStr">
        <is>
          <t>Not contacted</t>
        </is>
      </c>
      <c r="P84" s="2" t="inlineStr"/>
      <c r="Q84" s="2" t="inlineStr"/>
      <c r="R84" s="2" t="inlineStr"/>
      <c r="S84" s="2" t="inlineStr"/>
    </row>
    <row r="85">
      <c r="A85" s="2" t="n">
        <v>84</v>
      </c>
      <c r="B85" s="3" t="inlineStr">
        <is>
          <t>HIGH</t>
        </is>
      </c>
      <c r="C85" s="2" t="inlineStr">
        <is>
          <t>No own website</t>
        </is>
      </c>
      <c r="D85" s="2" t="inlineStr">
        <is>
          <t>Sushi Honba</t>
        </is>
      </c>
      <c r="E85" s="2" t="inlineStr">
        <is>
          <t>restaurant</t>
        </is>
      </c>
      <c r="F85" s="2" t="inlineStr">
        <is>
          <t>Gold Coast</t>
        </is>
      </c>
      <c r="G85" s="2" t="inlineStr">
        <is>
          <t>Instagram</t>
        </is>
      </c>
      <c r="H85" s="4" t="inlineStr">
        <is>
          <t>https://www.instagram.com/sushihonba/</t>
        </is>
      </c>
      <c r="I85" s="2" t="inlineStr"/>
      <c r="J85" s="2" t="inlineStr">
        <is>
          <t>+61 455 609 642</t>
        </is>
      </c>
      <c r="K85" s="4" t="inlineStr">
        <is>
          <t>https://www.instagram.com/sushihonba/</t>
        </is>
      </c>
      <c r="L85" s="2" t="inlineStr">
        <is>
          <t>no real website (uses www.instagram.com)</t>
        </is>
      </c>
      <c r="M85" s="2" t="inlineStr">
        <is>
          <t>Hi Sushi Honba team! [one real detail from their page]. We're AceAds, a web design studio. We noticed that when people in Gold Coast search for a restaurant on Google, they only find your Instagram, not a website of your own. We'd be happy to make you a free preview of what a website could look like. Want one? No cost, no obligation.</t>
        </is>
      </c>
      <c r="N85" s="4" t="inlineStr">
        <is>
          <t>Open map</t>
        </is>
      </c>
      <c r="O85" s="2" t="inlineStr">
        <is>
          <t>Not contacted</t>
        </is>
      </c>
      <c r="P85" s="2" t="inlineStr"/>
      <c r="Q85" s="2" t="inlineStr"/>
      <c r="R85" s="2" t="inlineStr"/>
      <c r="S85" s="2" t="inlineStr"/>
    </row>
    <row r="86">
      <c r="A86" s="2" t="n">
        <v>85</v>
      </c>
      <c r="B86" s="3" t="inlineStr">
        <is>
          <t>HIGH</t>
        </is>
      </c>
      <c r="C86" s="2" t="inlineStr">
        <is>
          <t>No own website</t>
        </is>
      </c>
      <c r="D86" s="2" t="inlineStr">
        <is>
          <t>The Lake Brewhouse</t>
        </is>
      </c>
      <c r="E86" s="2" t="inlineStr">
        <is>
          <t>restaurant</t>
        </is>
      </c>
      <c r="F86" s="2" t="inlineStr">
        <is>
          <t>Gold Coast</t>
        </is>
      </c>
      <c r="G86" s="2" t="inlineStr">
        <is>
          <t>Facebook</t>
        </is>
      </c>
      <c r="H86" s="2" t="inlineStr"/>
      <c r="I86" s="4" t="inlineStr">
        <is>
          <t>https://www.facebook.com/thelakebrewhouse</t>
        </is>
      </c>
      <c r="J86" s="2" t="inlineStr">
        <is>
          <t>+61 7 5593 3045</t>
        </is>
      </c>
      <c r="K86" s="4" t="inlineStr">
        <is>
          <t>https://www.facebook.com/thelakebrewhouse</t>
        </is>
      </c>
      <c r="L86" s="2" t="inlineStr">
        <is>
          <t>no real website (uses www.facebook.com)</t>
        </is>
      </c>
      <c r="M86" s="2" t="inlineStr">
        <is>
          <t>Hi The Lake Brewhouse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6" s="4" t="inlineStr">
        <is>
          <t>Open map</t>
        </is>
      </c>
      <c r="O86" s="2" t="inlineStr">
        <is>
          <t>Not contacted</t>
        </is>
      </c>
      <c r="P86" s="2" t="inlineStr"/>
      <c r="Q86" s="2" t="inlineStr"/>
      <c r="R86" s="2" t="inlineStr"/>
      <c r="S86" s="2" t="inlineStr"/>
    </row>
    <row r="87">
      <c r="A87" s="2" t="n">
        <v>86</v>
      </c>
      <c r="B87" s="3" t="inlineStr">
        <is>
          <t>HIGH</t>
        </is>
      </c>
      <c r="C87" s="2" t="inlineStr">
        <is>
          <t>No own website</t>
        </is>
      </c>
      <c r="D87" s="2" t="inlineStr">
        <is>
          <t>Wildernis Cafe and Bar</t>
        </is>
      </c>
      <c r="E87" s="2" t="inlineStr">
        <is>
          <t>restaurant</t>
        </is>
      </c>
      <c r="F87" s="2" t="inlineStr">
        <is>
          <t>Gold Coast</t>
        </is>
      </c>
      <c r="G87" s="2" t="inlineStr">
        <is>
          <t>Facebook</t>
        </is>
      </c>
      <c r="H87" s="2" t="inlineStr"/>
      <c r="I87" s="4" t="inlineStr">
        <is>
          <t>https://www.facebook.com/wilderniscafeandbar/</t>
        </is>
      </c>
      <c r="J87" s="2" t="inlineStr">
        <is>
          <t>+61 7 5534 5428</t>
        </is>
      </c>
      <c r="K87" s="4" t="inlineStr">
        <is>
          <t>https://www.facebook.com/wilderniscafeandbar/</t>
        </is>
      </c>
      <c r="L87" s="2" t="inlineStr">
        <is>
          <t>no real website (uses www.facebook.com)</t>
        </is>
      </c>
      <c r="M87" s="2" t="inlineStr">
        <is>
          <t>Hi Wildernis Cafe and Bar team! [one real detail from their page]. We're AceAds, a web design studio. We noticed that when people in Gold Coast search for a restaurant on Google, they only find your Facebook, not a website of your own. We'd be happy to make you a free preview of what a website could look like. Want one? No cost, no obligation.</t>
        </is>
      </c>
      <c r="N87" s="4" t="inlineStr">
        <is>
          <t>Open map</t>
        </is>
      </c>
      <c r="O87" s="2" t="inlineStr">
        <is>
          <t>Not contacted</t>
        </is>
      </c>
      <c r="P87" s="2" t="inlineStr"/>
      <c r="Q87" s="2" t="inlineStr"/>
      <c r="R87" s="2" t="inlineStr"/>
      <c r="S87" s="2" t="inlineStr"/>
    </row>
    <row r="88">
      <c r="A88" s="2" t="n">
        <v>87</v>
      </c>
      <c r="B88" s="3" t="inlineStr">
        <is>
          <t>HIGH</t>
        </is>
      </c>
      <c r="C88" s="2" t="inlineStr">
        <is>
          <t>No own website</t>
        </is>
      </c>
      <c r="D88" s="2" t="inlineStr">
        <is>
          <t>Big Chief</t>
        </is>
      </c>
      <c r="E88" s="2" t="inlineStr">
        <is>
          <t>takeaway</t>
        </is>
      </c>
      <c r="F88" s="2" t="inlineStr">
        <is>
          <t>Gold Coast</t>
        </is>
      </c>
      <c r="G88" s="2" t="inlineStr">
        <is>
          <t>Facebook</t>
        </is>
      </c>
      <c r="H88" s="2" t="inlineStr"/>
      <c r="I88" s="4" t="inlineStr">
        <is>
          <t>https://www.facebook.com/Big-Chief-Burgers-Coolangatta-182275748504697/</t>
        </is>
      </c>
      <c r="J88" s="2" t="inlineStr">
        <is>
          <t>+61 7 5536 1088</t>
        </is>
      </c>
      <c r="K88" s="4" t="inlineStr">
        <is>
          <t>https://www.facebook.com/Big-Chief-Burgers-Coolangatta-182275748504697/</t>
        </is>
      </c>
      <c r="L88" s="2" t="inlineStr">
        <is>
          <t>no real website (uses www.facebook.com)</t>
        </is>
      </c>
      <c r="M88" s="2" t="inlineStr">
        <is>
          <t>Hi Big Chief team! [one real detail from their page]. We're AceAds, a web design studio. We noticed that when people in Gold Coast search for a takeaway on Google, they only find your Facebook, not a website of your own. We'd be happy to make you a free preview of what a website could look like. Want one? No cost, no obligation.</t>
        </is>
      </c>
      <c r="N88" s="4" t="inlineStr">
        <is>
          <t>Open map</t>
        </is>
      </c>
      <c r="O88" s="2" t="inlineStr">
        <is>
          <t>Not contacted</t>
        </is>
      </c>
      <c r="P88" s="2" t="inlineStr"/>
      <c r="Q88" s="2" t="inlineStr"/>
      <c r="R88" s="2" t="inlineStr"/>
      <c r="S88" s="2" t="inlineStr"/>
    </row>
    <row r="89">
      <c r="A89" s="2" t="n">
        <v>88</v>
      </c>
      <c r="B89" s="3" t="inlineStr">
        <is>
          <t>HIGH</t>
        </is>
      </c>
      <c r="C89" s="2" t="inlineStr">
        <is>
          <t>No own website</t>
        </is>
      </c>
      <c r="D89" s="2" t="inlineStr">
        <is>
          <t>Flying Chicken</t>
        </is>
      </c>
      <c r="E89" s="2" t="inlineStr">
        <is>
          <t>takeaway</t>
        </is>
      </c>
      <c r="F89" s="2" t="inlineStr">
        <is>
          <t>Gold Coast</t>
        </is>
      </c>
      <c r="G89" s="2" t="inlineStr">
        <is>
          <t>Facebook</t>
        </is>
      </c>
      <c r="H89" s="2" t="inlineStr"/>
      <c r="I89" s="4" t="inlineStr">
        <is>
          <t>https://www.facebook.com/pages/Flying-Chicken/2115204535392038</t>
        </is>
      </c>
      <c r="J89" s="2" t="inlineStr">
        <is>
          <t>+61 7 5661 0848</t>
        </is>
      </c>
      <c r="K89" s="4" t="inlineStr">
        <is>
          <t>https://www.facebook.com/pages/Flying-Chicken/2115204535392038</t>
        </is>
      </c>
      <c r="L89" s="2" t="inlineStr">
        <is>
          <t>no real website (uses www.facebook.com)</t>
        </is>
      </c>
      <c r="M89" s="2" t="inlineStr">
        <is>
          <t>Hi Flying Chicken team! [one real detail from their page]. We're AceAds, a web design studio. We noticed that when people in Gold Coast search for a takeaway on Google, they only find your Facebook, not a website of your own. We'd be happy to make you a free preview of what a website could look like. Want one? No cost, no obligation.</t>
        </is>
      </c>
      <c r="N89" s="4" t="inlineStr">
        <is>
          <t>Open map</t>
        </is>
      </c>
      <c r="O89" s="2" t="inlineStr">
        <is>
          <t>Not contacted</t>
        </is>
      </c>
      <c r="P89" s="2" t="inlineStr"/>
      <c r="Q89" s="2" t="inlineStr"/>
      <c r="R89" s="2" t="inlineStr"/>
      <c r="S89" s="2" t="inlineStr"/>
    </row>
    <row r="90">
      <c r="A90" s="2" t="n">
        <v>89</v>
      </c>
      <c r="B90" s="3" t="inlineStr">
        <is>
          <t>HIGH</t>
        </is>
      </c>
      <c r="C90" s="2" t="inlineStr">
        <is>
          <t>No own website</t>
        </is>
      </c>
      <c r="D90" s="2" t="inlineStr">
        <is>
          <t>JJ's on Golden Four</t>
        </is>
      </c>
      <c r="E90" s="2" t="inlineStr">
        <is>
          <t>takeaway</t>
        </is>
      </c>
      <c r="F90" s="2" t="inlineStr">
        <is>
          <t>Gold Coast</t>
        </is>
      </c>
      <c r="G90" s="2" t="inlineStr">
        <is>
          <t>Facebook</t>
        </is>
      </c>
      <c r="H90" s="2" t="inlineStr"/>
      <c r="I90" s="4" t="inlineStr">
        <is>
          <t>https://www.facebook.com/jjsongoldenfour/</t>
        </is>
      </c>
      <c r="J90" s="2" t="inlineStr">
        <is>
          <t>+61 7 5534 1007</t>
        </is>
      </c>
      <c r="K90" s="4" t="inlineStr">
        <is>
          <t>https://www.facebook.com/jjsongoldenfour/</t>
        </is>
      </c>
      <c r="L90" s="2" t="inlineStr">
        <is>
          <t>no real website (uses www.facebook.com)</t>
        </is>
      </c>
      <c r="M90" s="2" t="inlineStr">
        <is>
          <t>Hi JJ's on Golden Four team! [one real detail from their page]. We're AceAds, a web design studio. We noticed that when people in Gold Coast search for a takeaway on Google, they only find your Facebook, not a website of your own. We'd be happy to make you a free preview of what a website could look like. Want one? No cost, no obligation.</t>
        </is>
      </c>
      <c r="N90" s="4" t="inlineStr">
        <is>
          <t>Open map</t>
        </is>
      </c>
      <c r="O90" s="2" t="inlineStr">
        <is>
          <t>Not contacted</t>
        </is>
      </c>
      <c r="P90" s="2" t="inlineStr"/>
      <c r="Q90" s="2" t="inlineStr"/>
      <c r="R90" s="2" t="inlineStr"/>
      <c r="S90" s="2" t="inlineStr"/>
    </row>
    <row r="91">
      <c r="A91" s="2" t="n">
        <v>90</v>
      </c>
      <c r="B91" s="3" t="inlineStr">
        <is>
          <t>HIGH</t>
        </is>
      </c>
      <c r="C91" s="2" t="inlineStr">
        <is>
          <t>No own website</t>
        </is>
      </c>
      <c r="D91" s="2" t="inlineStr">
        <is>
          <t>Bottletree Hotel Glamorgan Vale</t>
        </is>
      </c>
      <c r="E91" s="2" t="inlineStr">
        <is>
          <t>bar or pub</t>
        </is>
      </c>
      <c r="F91" s="2" t="inlineStr">
        <is>
          <t>Ipswich</t>
        </is>
      </c>
      <c r="G91" s="2" t="inlineStr">
        <is>
          <t>Facebook</t>
        </is>
      </c>
      <c r="H91" s="2" t="inlineStr"/>
      <c r="I91" s="4" t="inlineStr">
        <is>
          <t>https://www.facebook.com/bottletreepub/</t>
        </is>
      </c>
      <c r="J91" s="2" t="inlineStr"/>
      <c r="K91" s="4" t="inlineStr">
        <is>
          <t>https://www.facebook.com/bottletreepub/</t>
        </is>
      </c>
      <c r="L91" s="2" t="inlineStr">
        <is>
          <t>no real website (uses www.facebook.com)</t>
        </is>
      </c>
      <c r="M91" s="2" t="inlineStr">
        <is>
          <t>Hi Bottletree Hotel Glamorgan Vale team! [one real detail from their page]. We're AceAds, a web design studio. We noticed that when people in Ipswich search for a bar on Google, they only find your Facebook, not a website of your own. We'd be happy to make you a free preview of what a website could look like. Want one? No cost, no obligation.</t>
        </is>
      </c>
      <c r="N91" s="4" t="inlineStr">
        <is>
          <t>Open map</t>
        </is>
      </c>
      <c r="O91" s="2" t="inlineStr">
        <is>
          <t>Not contacted</t>
        </is>
      </c>
      <c r="P91" s="2" t="inlineStr"/>
      <c r="Q91" s="2" t="inlineStr"/>
      <c r="R91" s="2" t="inlineStr"/>
      <c r="S91" s="2" t="inlineStr"/>
    </row>
    <row r="92">
      <c r="A92" s="2" t="n">
        <v>91</v>
      </c>
      <c r="B92" s="3" t="inlineStr">
        <is>
          <t>HIGH</t>
        </is>
      </c>
      <c r="C92" s="2" t="inlineStr">
        <is>
          <t>No own website</t>
        </is>
      </c>
      <c r="D92" s="2" t="inlineStr">
        <is>
          <t>Loui's Fruit Market</t>
        </is>
      </c>
      <c r="E92" s="2" t="inlineStr">
        <is>
          <t>deli or specialty food</t>
        </is>
      </c>
      <c r="F92" s="2" t="inlineStr">
        <is>
          <t>Ipswich</t>
        </is>
      </c>
      <c r="G92" s="2" t="inlineStr">
        <is>
          <t>Facebook</t>
        </is>
      </c>
      <c r="H92" s="2" t="inlineStr"/>
      <c r="I92" s="4" t="inlineStr">
        <is>
          <t>https://www.facebook.com/louisboovalfruitmarket/</t>
        </is>
      </c>
      <c r="J92" s="2" t="inlineStr">
        <is>
          <t>+61 7 3202 1544</t>
        </is>
      </c>
      <c r="K92" s="4" t="inlineStr">
        <is>
          <t>https://www.facebook.com/louisboovalfruitmarket/</t>
        </is>
      </c>
      <c r="L92" s="2" t="inlineStr">
        <is>
          <t>no real website (uses www.facebook.com)</t>
        </is>
      </c>
      <c r="M92" s="2" t="inlineStr">
        <is>
          <t>Hi Loui's Fruit Market team! [one real detail from their page]. We're AceAds, a web design studio. We noticed that when people in Ipswich search for a local food store on Google, they only find your Facebook, not a website of your own. We'd be happy to make you a free preview of what a website could look like. Want one? No cost, no obligation.</t>
        </is>
      </c>
      <c r="N92" s="4" t="inlineStr">
        <is>
          <t>Open map</t>
        </is>
      </c>
      <c r="O92" s="2" t="inlineStr">
        <is>
          <t>Not contacted</t>
        </is>
      </c>
      <c r="P92" s="2" t="inlineStr"/>
      <c r="Q92" s="2" t="inlineStr"/>
      <c r="R92" s="2" t="inlineStr"/>
      <c r="S92" s="2" t="inlineStr"/>
    </row>
    <row r="93">
      <c r="A93" s="2" t="n">
        <v>92</v>
      </c>
      <c r="B93" s="3" t="inlineStr">
        <is>
          <t>HIGH</t>
        </is>
      </c>
      <c r="C93" s="2" t="inlineStr">
        <is>
          <t>No own website</t>
        </is>
      </c>
      <c r="D93" s="2" t="inlineStr">
        <is>
          <t>Booval Seafood</t>
        </is>
      </c>
      <c r="E93" s="2" t="inlineStr">
        <is>
          <t>takeaway</t>
        </is>
      </c>
      <c r="F93" s="2" t="inlineStr">
        <is>
          <t>Ipswich</t>
        </is>
      </c>
      <c r="G93" s="2" t="inlineStr">
        <is>
          <t>Facebook</t>
        </is>
      </c>
      <c r="H93" s="2" t="inlineStr"/>
      <c r="I93" s="4" t="inlineStr">
        <is>
          <t>https://www.facebook.com/boovalseafood/</t>
        </is>
      </c>
      <c r="J93" s="2" t="inlineStr">
        <is>
          <t>+61 7 3812 2888</t>
        </is>
      </c>
      <c r="K93" s="4" t="inlineStr">
        <is>
          <t>https://www.facebook.com/boovalseafood/</t>
        </is>
      </c>
      <c r="L93" s="2" t="inlineStr">
        <is>
          <t>no real website (uses www.facebook.com)</t>
        </is>
      </c>
      <c r="M93" s="2" t="inlineStr">
        <is>
          <t>Hi Booval Seafood team! [one real detail from their page]. We're AceAds, a web design studio. We noticed that when people in Ipswich search for a takeaway on Google, they only find your Facebook, not a website of your own. We'd be happy to make you a free preview of what a website could look like. Want one? No cost, no obligation.</t>
        </is>
      </c>
      <c r="N93" s="4" t="inlineStr">
        <is>
          <t>Open map</t>
        </is>
      </c>
      <c r="O93" s="2" t="inlineStr">
        <is>
          <t>Not contacted</t>
        </is>
      </c>
      <c r="P93" s="2" t="inlineStr"/>
      <c r="Q93" s="2" t="inlineStr"/>
      <c r="R93" s="2" t="inlineStr"/>
      <c r="S93" s="2" t="inlineStr"/>
    </row>
    <row r="94">
      <c r="A94" s="2" t="n">
        <v>93</v>
      </c>
      <c r="B94" s="3" t="inlineStr">
        <is>
          <t>HIGH</t>
        </is>
      </c>
      <c r="C94" s="2" t="inlineStr">
        <is>
          <t>No own website</t>
        </is>
      </c>
      <c r="D94" s="2" t="inlineStr">
        <is>
          <t>Flagstone Bakery</t>
        </is>
      </c>
      <c r="E94" s="2" t="inlineStr">
        <is>
          <t>bakery</t>
        </is>
      </c>
      <c r="F94" s="2" t="inlineStr">
        <is>
          <t>Logan</t>
        </is>
      </c>
      <c r="G94" s="2" t="inlineStr">
        <is>
          <t>Facebook</t>
        </is>
      </c>
      <c r="H94" s="2" t="inlineStr"/>
      <c r="I94" s="4" t="inlineStr">
        <is>
          <t>https://www.facebook.com/FlagstoneBakery/</t>
        </is>
      </c>
      <c r="J94" s="2" t="inlineStr">
        <is>
          <t>+61 7 5546 9959</t>
        </is>
      </c>
      <c r="K94" s="4" t="inlineStr">
        <is>
          <t>https://www.facebook.com/FlagstoneBakery/</t>
        </is>
      </c>
      <c r="L94" s="2" t="inlineStr">
        <is>
          <t>no real website (uses www.facebook.com)</t>
        </is>
      </c>
      <c r="M94" s="2" t="inlineStr">
        <is>
          <t>Hi Flagstone Bakery team! [one real detail from their page]. We're AceAds, a web design studio. We noticed that when people in Logan search for a bakery on Google, they only find your Facebook, not a website of your own. We'd be happy to make you a free preview of what a website could look like. Want one? No cost, no obligation.</t>
        </is>
      </c>
      <c r="N94" s="4" t="inlineStr">
        <is>
          <t>Open map</t>
        </is>
      </c>
      <c r="O94" s="2" t="inlineStr">
        <is>
          <t>Not contacted</t>
        </is>
      </c>
      <c r="P94" s="2" t="inlineStr"/>
      <c r="Q94" s="2" t="inlineStr"/>
      <c r="R94" s="2" t="inlineStr"/>
      <c r="S94" s="2" t="inlineStr"/>
    </row>
    <row r="95">
      <c r="A95" s="2" t="n">
        <v>94</v>
      </c>
      <c r="B95" s="3" t="inlineStr">
        <is>
          <t>HIGH</t>
        </is>
      </c>
      <c r="C95" s="2" t="inlineStr">
        <is>
          <t>No own website</t>
        </is>
      </c>
      <c r="D95" s="2" t="inlineStr">
        <is>
          <t>All Aussie Automotive</t>
        </is>
      </c>
      <c r="E95" s="2" t="inlineStr">
        <is>
          <t>mechanic</t>
        </is>
      </c>
      <c r="F95" s="2" t="inlineStr">
        <is>
          <t>Logan</t>
        </is>
      </c>
      <c r="G95" s="2" t="inlineStr">
        <is>
          <t>Facebook</t>
        </is>
      </c>
      <c r="H95" s="2" t="inlineStr"/>
      <c r="I95" s="4" t="inlineStr">
        <is>
          <t>https://www.facebook.com/allaussieautomotive</t>
        </is>
      </c>
      <c r="J95" s="2" t="inlineStr">
        <is>
          <t>+61 401 442 629</t>
        </is>
      </c>
      <c r="K95" s="4" t="inlineStr">
        <is>
          <t>https://www.facebook.com/allaussieautomotive</t>
        </is>
      </c>
      <c r="L95" s="2" t="inlineStr">
        <is>
          <t>no real website (uses www.facebook.com)</t>
        </is>
      </c>
      <c r="M95" s="2" t="inlineStr">
        <is>
          <t>Hi All Aussie Automotive team! [one real detail from their page]. We're AceAds, a web design studio. We noticed that when people in Logan search for a mechanic on Google, they only find your Facebook, not a website of your own. We'd be happy to make you a free preview of what a website could look like. Want one? No cost, no obligation.</t>
        </is>
      </c>
      <c r="N95" s="4" t="inlineStr">
        <is>
          <t>Open map</t>
        </is>
      </c>
      <c r="O95" s="2" t="inlineStr">
        <is>
          <t>Not contacted</t>
        </is>
      </c>
      <c r="P95" s="2" t="inlineStr"/>
      <c r="Q95" s="2" t="inlineStr"/>
      <c r="R95" s="2" t="inlineStr"/>
      <c r="S95" s="2" t="inlineStr"/>
    </row>
    <row r="96">
      <c r="A96" s="2" t="n">
        <v>95</v>
      </c>
      <c r="B96" s="3" t="inlineStr">
        <is>
          <t>HIGH</t>
        </is>
      </c>
      <c r="C96" s="2" t="inlineStr">
        <is>
          <t>No own website</t>
        </is>
      </c>
      <c r="D96" s="2" t="inlineStr">
        <is>
          <t>The Grazing Goat Cafe</t>
        </is>
      </c>
      <c r="E96" s="2" t="inlineStr">
        <is>
          <t>cafe</t>
        </is>
      </c>
      <c r="F96" s="2" t="inlineStr">
        <is>
          <t>Mackay</t>
        </is>
      </c>
      <c r="G96" s="2" t="inlineStr">
        <is>
          <t>Facebook</t>
        </is>
      </c>
      <c r="H96" s="2" t="inlineStr"/>
      <c r="I96" s="4" t="inlineStr">
        <is>
          <t>https://www.facebook.com/GrazingGoatCafe/</t>
        </is>
      </c>
      <c r="J96" s="2" t="inlineStr">
        <is>
          <t>+61 7 4953 2623</t>
        </is>
      </c>
      <c r="K96" s="4" t="inlineStr">
        <is>
          <t>https://www.facebook.com/GrazingGoatCafe/</t>
        </is>
      </c>
      <c r="L96" s="2" t="inlineStr">
        <is>
          <t>no real website (uses www.facebook.com)</t>
        </is>
      </c>
      <c r="M96" s="2" t="inlineStr">
        <is>
          <t>Hi The Grazing Goat Cafe team! [one real detail from their page]. We're AceAds, a web design studio. We noticed that when people in Mackay search for a cafe on Google, they only find your Facebook, not a website of your own. We'd be happy to make you a free preview of what a website could look like. Want one? No cost, no obligation.</t>
        </is>
      </c>
      <c r="N96" s="4" t="inlineStr">
        <is>
          <t>Open map</t>
        </is>
      </c>
      <c r="O96" s="2" t="inlineStr">
        <is>
          <t>Not contacted</t>
        </is>
      </c>
      <c r="P96" s="2" t="inlineStr"/>
      <c r="Q96" s="2" t="inlineStr"/>
      <c r="R96" s="2" t="inlineStr"/>
      <c r="S96" s="2" t="inlineStr"/>
    </row>
    <row r="97">
      <c r="A97" s="2" t="n">
        <v>96</v>
      </c>
      <c r="B97" s="3" t="inlineStr">
        <is>
          <t>HIGH</t>
        </is>
      </c>
      <c r="C97" s="2" t="inlineStr">
        <is>
          <t>No own website</t>
        </is>
      </c>
      <c r="D97" s="2" t="inlineStr">
        <is>
          <t>RARE Bar &amp; Grill</t>
        </is>
      </c>
      <c r="E97" s="2" t="inlineStr">
        <is>
          <t>restaurant</t>
        </is>
      </c>
      <c r="F97" s="2" t="inlineStr">
        <is>
          <t>Mackay</t>
        </is>
      </c>
      <c r="G97" s="2" t="inlineStr">
        <is>
          <t>Facebook</t>
        </is>
      </c>
      <c r="H97" s="2" t="inlineStr"/>
      <c r="I97" s="4" t="inlineStr">
        <is>
          <t>https://www.facebook.com/rarebarandgrillmackay</t>
        </is>
      </c>
      <c r="J97" s="2" t="inlineStr">
        <is>
          <t>+61 437 176 863</t>
        </is>
      </c>
      <c r="K97" s="4" t="inlineStr">
        <is>
          <t>https://www.facebook.com/rarebarandgrillmackay</t>
        </is>
      </c>
      <c r="L97" s="2" t="inlineStr">
        <is>
          <t>no real website (uses www.facebook.com)</t>
        </is>
      </c>
      <c r="M97" s="2" t="inlineStr">
        <is>
          <t>Hi RARE Bar &amp; Grill team! [one real detail from their page]. We're AceAds, a web design studio. We noticed that when people in Mackay search for a restaurant on Google, they only find your Facebook, not a website of your own. We'd be happy to make you a free preview of what a website could look like. Want one? No cost, no obligation.</t>
        </is>
      </c>
      <c r="N97" s="4" t="inlineStr">
        <is>
          <t>Open map</t>
        </is>
      </c>
      <c r="O97" s="2" t="inlineStr">
        <is>
          <t>Not contacted</t>
        </is>
      </c>
      <c r="P97" s="2" t="inlineStr"/>
      <c r="Q97" s="2" t="inlineStr"/>
      <c r="R97" s="2" t="inlineStr"/>
      <c r="S97" s="2" t="inlineStr"/>
    </row>
    <row r="98">
      <c r="A98" s="2" t="n">
        <v>97</v>
      </c>
      <c r="B98" s="3" t="inlineStr">
        <is>
          <t>HIGH</t>
        </is>
      </c>
      <c r="C98" s="2" t="inlineStr">
        <is>
          <t>No own website</t>
        </is>
      </c>
      <c r="D98" s="2" t="inlineStr">
        <is>
          <t>Jalla's Cafe</t>
        </is>
      </c>
      <c r="E98" s="2" t="inlineStr">
        <is>
          <t>cafe</t>
        </is>
      </c>
      <c r="F98" s="2" t="inlineStr">
        <is>
          <t>Moreton Bay</t>
        </is>
      </c>
      <c r="G98" s="2" t="inlineStr">
        <is>
          <t>Facebook</t>
        </is>
      </c>
      <c r="H98" s="2" t="inlineStr"/>
      <c r="I98" s="4" t="inlineStr">
        <is>
          <t>https://www.facebook.com/jallascafe/</t>
        </is>
      </c>
      <c r="J98" s="2" t="inlineStr">
        <is>
          <t>+61 7 5496 1866</t>
        </is>
      </c>
      <c r="K98" s="4" t="inlineStr">
        <is>
          <t>https://www.facebook.com/jallascafe/</t>
        </is>
      </c>
      <c r="L98" s="2" t="inlineStr">
        <is>
          <t>no real website (uses www.facebook.com)</t>
        </is>
      </c>
      <c r="M98" s="2" t="inlineStr">
        <is>
          <t>Hi Jalla's Cafe team! [one real detail from their page]. We're AceAds, a web design studio. We noticed that when people in Moreton Bay search for a cafe on Google, they only find your Facebook, not a website of your own. We'd be happy to make you a free preview of what a website could look like. Want one? No cost, no obligation.</t>
        </is>
      </c>
      <c r="N98" s="4" t="inlineStr">
        <is>
          <t>Open map</t>
        </is>
      </c>
      <c r="O98" s="2" t="inlineStr">
        <is>
          <t>Not contacted</t>
        </is>
      </c>
      <c r="P98" s="2" t="inlineStr"/>
      <c r="Q98" s="2" t="inlineStr"/>
      <c r="R98" s="2" t="inlineStr"/>
      <c r="S98" s="2" t="inlineStr"/>
    </row>
    <row r="99">
      <c r="A99" s="2" t="n">
        <v>98</v>
      </c>
      <c r="B99" s="3" t="inlineStr">
        <is>
          <t>HIGH</t>
        </is>
      </c>
      <c r="C99" s="2" t="inlineStr">
        <is>
          <t>No own website</t>
        </is>
      </c>
      <c r="D99" s="2" t="inlineStr">
        <is>
          <t>U Rok Hair &amp; Beauty</t>
        </is>
      </c>
      <c r="E99" s="2" t="inlineStr">
        <is>
          <t>barber or hairdresser</t>
        </is>
      </c>
      <c r="F99" s="2" t="inlineStr">
        <is>
          <t>Rockhampton</t>
        </is>
      </c>
      <c r="G99" s="2" t="inlineStr">
        <is>
          <t>Facebook</t>
        </is>
      </c>
      <c r="H99" s="2" t="inlineStr"/>
      <c r="I99" s="4" t="inlineStr">
        <is>
          <t>https://www.facebook.com/URokHairMakeupDesign/</t>
        </is>
      </c>
      <c r="J99" s="2" t="inlineStr">
        <is>
          <t>+61 419 727 326</t>
        </is>
      </c>
      <c r="K99" s="4" t="inlineStr">
        <is>
          <t>https://www.facebook.com/URokHairMakeupDesign/</t>
        </is>
      </c>
      <c r="L99" s="2" t="inlineStr">
        <is>
          <t>no real website (uses www.facebook.com)</t>
        </is>
      </c>
      <c r="M99" s="2" t="inlineStr">
        <is>
          <t>Hi U Rok Hair &amp; Beauty team! [one real detail from their page]. We're AceAds, a web design studio. We noticed that when people in Rockhampton search for a hairdresser on Google, they only find your Facebook, not a website of your own. We'd be happy to make you a free preview of what a website could look like. Want one? No cost, no obligation.</t>
        </is>
      </c>
      <c r="N99" s="4" t="inlineStr">
        <is>
          <t>Open map</t>
        </is>
      </c>
      <c r="O99" s="2" t="inlineStr">
        <is>
          <t>Not contacted</t>
        </is>
      </c>
      <c r="P99" s="2" t="inlineStr"/>
      <c r="Q99" s="2" t="inlineStr"/>
      <c r="R99" s="2" t="inlineStr"/>
      <c r="S99" s="2" t="inlineStr"/>
    </row>
    <row r="100">
      <c r="A100" s="2" t="n">
        <v>99</v>
      </c>
      <c r="B100" s="3" t="inlineStr">
        <is>
          <t>HIGH</t>
        </is>
      </c>
      <c r="C100" s="2" t="inlineStr">
        <is>
          <t>No own website</t>
        </is>
      </c>
      <c r="D100" s="2" t="inlineStr">
        <is>
          <t>Coffee Society</t>
        </is>
      </c>
      <c r="E100" s="2" t="inlineStr">
        <is>
          <t>cafe</t>
        </is>
      </c>
      <c r="F100" s="2" t="inlineStr">
        <is>
          <t>Rockhampton</t>
        </is>
      </c>
      <c r="G100" s="2" t="inlineStr">
        <is>
          <t>Facebook</t>
        </is>
      </c>
      <c r="H100" s="2" t="inlineStr"/>
      <c r="I100" s="4" t="inlineStr">
        <is>
          <t>https://www.facebook.com/coffeesocietyrockhampton/</t>
        </is>
      </c>
      <c r="J100" s="2" t="inlineStr">
        <is>
          <t>+61 408 335 908</t>
        </is>
      </c>
      <c r="K100" s="4" t="inlineStr">
        <is>
          <t>https://www.facebook.com/coffeesocietyrockhampton/</t>
        </is>
      </c>
      <c r="L100" s="2" t="inlineStr">
        <is>
          <t>no real website (uses www.facebook.com)</t>
        </is>
      </c>
      <c r="M100" s="2" t="inlineStr">
        <is>
          <t>Hi Coffee Society team! [one real detail from their page]. We're AceAds, a web design studio. We noticed that when people in Rockhampton search for a cafe on Google, they only find your Facebook, not a website of your own. We'd be happy to make you a free preview of what a website could look like. Want one? No cost, no obligation.</t>
        </is>
      </c>
      <c r="N100" s="4" t="inlineStr">
        <is>
          <t>Open map</t>
        </is>
      </c>
      <c r="O100" s="2" t="inlineStr">
        <is>
          <t>Not contacted</t>
        </is>
      </c>
      <c r="P100" s="2" t="inlineStr"/>
      <c r="Q100" s="2" t="inlineStr"/>
      <c r="R100" s="2" t="inlineStr"/>
      <c r="S100" s="2" t="inlineStr"/>
    </row>
    <row r="101">
      <c r="A101" s="2" t="n">
        <v>100</v>
      </c>
      <c r="B101" s="3" t="inlineStr">
        <is>
          <t>HIGH</t>
        </is>
      </c>
      <c r="C101" s="2" t="inlineStr">
        <is>
          <t>No own website</t>
        </is>
      </c>
      <c r="D101" s="2" t="inlineStr">
        <is>
          <t>Rockhampton Fitness Centre</t>
        </is>
      </c>
      <c r="E101" s="2" t="inlineStr">
        <is>
          <t>gym or studio</t>
        </is>
      </c>
      <c r="F101" s="2" t="inlineStr">
        <is>
          <t>Rockhampton</t>
        </is>
      </c>
      <c r="G101" s="2" t="inlineStr">
        <is>
          <t>Facebook</t>
        </is>
      </c>
      <c r="H101" s="2" t="inlineStr"/>
      <c r="I101" s="4" t="inlineStr">
        <is>
          <t>https://www.facebook.com/rockhamptonfitness.centre/</t>
        </is>
      </c>
      <c r="J101" s="2" t="inlineStr">
        <is>
          <t>+61 7 4927 8880</t>
        </is>
      </c>
      <c r="K101" s="4" t="inlineStr">
        <is>
          <t>https://www.facebook.com/rockhamptonfitness.centre/</t>
        </is>
      </c>
      <c r="L101" s="2" t="inlineStr">
        <is>
          <t>no real website (uses www.facebook.com)</t>
        </is>
      </c>
      <c r="M101" s="2" t="inlineStr">
        <is>
          <t>Hi Rockhampton Fitness Centre team! [one real detail from their page]. We're AceAds, a web design studio. We noticed that when people in Rockhampton search for a gym on Google, they only find your Facebook, not a website of your own. We'd be happy to make you a free preview of what a website could look like. Want one? No cost, no obligation.</t>
        </is>
      </c>
      <c r="N101" s="4" t="inlineStr">
        <is>
          <t>Open map</t>
        </is>
      </c>
      <c r="O101" s="2" t="inlineStr">
        <is>
          <t>Not contacted</t>
        </is>
      </c>
      <c r="P101" s="2" t="inlineStr"/>
      <c r="Q101" s="2" t="inlineStr"/>
      <c r="R101" s="2" t="inlineStr"/>
      <c r="S101" s="2" t="inlineStr"/>
    </row>
    <row r="102">
      <c r="A102" s="2" t="n">
        <v>101</v>
      </c>
      <c r="B102" s="3" t="inlineStr">
        <is>
          <t>HIGH</t>
        </is>
      </c>
      <c r="C102" s="2" t="inlineStr">
        <is>
          <t>No own website</t>
        </is>
      </c>
      <c r="D102" s="2" t="inlineStr">
        <is>
          <t>Capricornia Remedial Massage</t>
        </is>
      </c>
      <c r="E102" s="2" t="inlineStr">
        <is>
          <t>massage or spa</t>
        </is>
      </c>
      <c r="F102" s="2" t="inlineStr">
        <is>
          <t>Rockhampton</t>
        </is>
      </c>
      <c r="G102" s="2" t="inlineStr">
        <is>
          <t>Facebook</t>
        </is>
      </c>
      <c r="H102" s="2" t="inlineStr"/>
      <c r="I102" s="4" t="inlineStr">
        <is>
          <t>https://www.facebook.com/capricorniaremedialmassage</t>
        </is>
      </c>
      <c r="J102" s="2" t="inlineStr">
        <is>
          <t>+61 409 708 830</t>
        </is>
      </c>
      <c r="K102" s="4" t="inlineStr">
        <is>
          <t>https://capricorniaremedialmassagerockhampton.gettimely.com/</t>
        </is>
      </c>
      <c r="L102" s="2" t="inlineStr">
        <is>
          <t>no real website (uses capricorniaremedialmassagerockhampton.gettimely.com)</t>
        </is>
      </c>
      <c r="M102" s="2" t="inlineStr">
        <is>
          <t>Hi Capricornia Remedial Massage team! [one real detail from their page]. We're AceAds, a web design studio. We noticed that when people in Rockhampton search for a massage on Google, they only find your Facebook, not a website of your own. We'd be happy to make you a free preview of what a website could look like. Want one? No cost, no obligation.</t>
        </is>
      </c>
      <c r="N102" s="4" t="inlineStr">
        <is>
          <t>Open map</t>
        </is>
      </c>
      <c r="O102" s="2" t="inlineStr">
        <is>
          <t>Not contacted</t>
        </is>
      </c>
      <c r="P102" s="2" t="inlineStr"/>
      <c r="Q102" s="2" t="inlineStr"/>
      <c r="R102" s="2" t="inlineStr"/>
      <c r="S102" s="2" t="inlineStr"/>
    </row>
    <row r="103">
      <c r="A103" s="2" t="n">
        <v>102</v>
      </c>
      <c r="B103" s="3" t="inlineStr">
        <is>
          <t>HIGH</t>
        </is>
      </c>
      <c r="C103" s="2" t="inlineStr">
        <is>
          <t>No own website</t>
        </is>
      </c>
      <c r="D103" s="2" t="inlineStr">
        <is>
          <t>Parklands Bakery</t>
        </is>
      </c>
      <c r="E103" s="2" t="inlineStr">
        <is>
          <t>bakery</t>
        </is>
      </c>
      <c r="F103" s="2" t="inlineStr">
        <is>
          <t>Sunshine Coast</t>
        </is>
      </c>
      <c r="G103" s="2" t="inlineStr">
        <is>
          <t>Facebook</t>
        </is>
      </c>
      <c r="H103" s="2" t="inlineStr"/>
      <c r="I103" s="4" t="inlineStr">
        <is>
          <t>https://facebook.com/parklandsbakery/</t>
        </is>
      </c>
      <c r="J103" s="2" t="inlineStr">
        <is>
          <t>+61 7 5438 2211</t>
        </is>
      </c>
      <c r="K103" s="4" t="inlineStr">
        <is>
          <t>https://facebook.com/parklandsbakery/</t>
        </is>
      </c>
      <c r="L103" s="2" t="inlineStr">
        <is>
          <t>no real website (uses facebook.com)</t>
        </is>
      </c>
      <c r="M103" s="2" t="inlineStr">
        <is>
          <t>Hi Parklands Bakery team! [one real detail from their page]. We're AceAds, a web design studio. We noticed that when people in Sunshine Coast search for a bakery on Google, they only find your Facebook, not a website of your own. We'd be happy to make you a free preview of what a website could look like. Want one? No cost, no obligation.</t>
        </is>
      </c>
      <c r="N103" s="4" t="inlineStr">
        <is>
          <t>Open map</t>
        </is>
      </c>
      <c r="O103" s="2" t="inlineStr">
        <is>
          <t>Not contacted</t>
        </is>
      </c>
      <c r="P103" s="2" t="inlineStr"/>
      <c r="Q103" s="2" t="inlineStr"/>
      <c r="R103" s="2" t="inlineStr"/>
      <c r="S103" s="2" t="inlineStr"/>
    </row>
    <row r="104">
      <c r="A104" s="2" t="n">
        <v>103</v>
      </c>
      <c r="B104" s="3" t="inlineStr">
        <is>
          <t>HIGH</t>
        </is>
      </c>
      <c r="C104" s="2" t="inlineStr">
        <is>
          <t>No own website</t>
        </is>
      </c>
      <c r="D104" s="2" t="inlineStr">
        <is>
          <t>Pete's Village Bakery</t>
        </is>
      </c>
      <c r="E104" s="2" t="inlineStr">
        <is>
          <t>bakery</t>
        </is>
      </c>
      <c r="F104" s="2" t="inlineStr">
        <is>
          <t>Sunshine Coast</t>
        </is>
      </c>
      <c r="G104" s="2" t="inlineStr">
        <is>
          <t>Facebook</t>
        </is>
      </c>
      <c r="H104" s="2" t="inlineStr"/>
      <c r="I104" s="4" t="inlineStr">
        <is>
          <t>https://www.facebook.com/petesvillagebakery</t>
        </is>
      </c>
      <c r="J104" s="2" t="inlineStr">
        <is>
          <t>+61 7 5446 7629</t>
        </is>
      </c>
      <c r="K104" s="4" t="inlineStr">
        <is>
          <t>https://www.facebook.com/petesvillagebakery</t>
        </is>
      </c>
      <c r="L104" s="2" t="inlineStr">
        <is>
          <t>no real website (uses www.facebook.com)</t>
        </is>
      </c>
      <c r="M104" s="2" t="inlineStr">
        <is>
          <t>Hi Pete's Village Bakery team! [one real detail from their page]. We're AceAds, a web design studio. We noticed that when people in Sunshine Coast search for a bakery on Google, they only find your Facebook, not a website of your own. We'd be happy to make you a free preview of what a website could look like. Want one? No cost, no obligation.</t>
        </is>
      </c>
      <c r="N104" s="4" t="inlineStr">
        <is>
          <t>Open map</t>
        </is>
      </c>
      <c r="O104" s="2" t="inlineStr">
        <is>
          <t>Not contacted</t>
        </is>
      </c>
      <c r="P104" s="2" t="inlineStr"/>
      <c r="Q104" s="2" t="inlineStr"/>
      <c r="R104" s="2" t="inlineStr"/>
      <c r="S104" s="2" t="inlineStr"/>
    </row>
    <row r="105">
      <c r="A105" s="2" t="n">
        <v>104</v>
      </c>
      <c r="B105" s="3" t="inlineStr">
        <is>
          <t>HIGH</t>
        </is>
      </c>
      <c r="C105" s="2" t="inlineStr">
        <is>
          <t>No own website</t>
        </is>
      </c>
      <c r="D105" s="2" t="inlineStr">
        <is>
          <t>Hair at Mooloolaba</t>
        </is>
      </c>
      <c r="E105" s="2" t="inlineStr">
        <is>
          <t>barber or hairdresser</t>
        </is>
      </c>
      <c r="F105" s="2" t="inlineStr">
        <is>
          <t>Sunshine Coast</t>
        </is>
      </c>
      <c r="G105" s="2" t="inlineStr">
        <is>
          <t>Facebook</t>
        </is>
      </c>
      <c r="H105" s="2" t="inlineStr"/>
      <c r="I105" s="4" t="inlineStr">
        <is>
          <t>https://m.facebook.com/@hairstudiomooloolabah</t>
        </is>
      </c>
      <c r="J105" s="2" t="inlineStr">
        <is>
          <t>+61 7 5294 6373</t>
        </is>
      </c>
      <c r="K105" s="4" t="inlineStr">
        <is>
          <t>https://m.facebook.com/@hairstudiomooloolabah</t>
        </is>
      </c>
      <c r="L105" s="2" t="inlineStr">
        <is>
          <t>no real website (uses m.facebook.com)</t>
        </is>
      </c>
      <c r="M105" s="2" t="inlineStr">
        <is>
          <t>Hi Hair at Mooloolaba team! [one real detail from their page]. We're AceAds, a web design studio. We noticed that when people in Sunshine Coast search for a hairdresser on Google, they only find your Facebook, not a website of your own. We'd be happy to make you a free preview of what a website could look like. Want one? No cost, no obligation.</t>
        </is>
      </c>
      <c r="N105" s="4" t="inlineStr">
        <is>
          <t>Open map</t>
        </is>
      </c>
      <c r="O105" s="2" t="inlineStr">
        <is>
          <t>Not contacted</t>
        </is>
      </c>
      <c r="P105" s="2" t="inlineStr"/>
      <c r="Q105" s="2" t="inlineStr"/>
      <c r="R105" s="2" t="inlineStr"/>
      <c r="S105" s="2" t="inlineStr"/>
    </row>
    <row r="106">
      <c r="A106" s="2" t="n">
        <v>105</v>
      </c>
      <c r="B106" s="3" t="inlineStr">
        <is>
          <t>HIGH</t>
        </is>
      </c>
      <c r="C106" s="2" t="inlineStr">
        <is>
          <t>No own website</t>
        </is>
      </c>
      <c r="D106" s="2" t="inlineStr">
        <is>
          <t>Ocean Spa Nails</t>
        </is>
      </c>
      <c r="E106" s="2" t="inlineStr">
        <is>
          <t>beauty salon</t>
        </is>
      </c>
      <c r="F106" s="2" t="inlineStr">
        <is>
          <t>Sunshine Coast</t>
        </is>
      </c>
      <c r="G106" s="2" t="inlineStr">
        <is>
          <t>Facebook</t>
        </is>
      </c>
      <c r="H106" s="2" t="inlineStr"/>
      <c r="I106" s="4" t="inlineStr">
        <is>
          <t>https://www.facebook.com/Ocean-Spa-Nails-Currimundi-100394445284468/</t>
        </is>
      </c>
      <c r="J106" s="2" t="inlineStr">
        <is>
          <t>+61 7 5337 6337</t>
        </is>
      </c>
      <c r="K106" s="4" t="inlineStr">
        <is>
          <t>https://www.facebook.com/Ocean-Spa-Nails-Currimundi-100394445284468/</t>
        </is>
      </c>
      <c r="L106" s="2" t="inlineStr">
        <is>
          <t>no real website (uses www.facebook.com)</t>
        </is>
      </c>
      <c r="M106" s="2" t="inlineStr">
        <is>
          <t>Hi Ocean Spa Nails team! [one real detail from their page]. We're AceAds, a web design studio. We noticed that when people in Sunshine Coast search for a beauty salon on Google, they only find your Facebook, not a website of your own. We'd be happy to make you a free preview of what a website could look like. Want one? No cost, no obligation.</t>
        </is>
      </c>
      <c r="N106" s="4" t="inlineStr">
        <is>
          <t>Open map</t>
        </is>
      </c>
      <c r="O106" s="2" t="inlineStr">
        <is>
          <t>Not contacted</t>
        </is>
      </c>
      <c r="P106" s="2" t="inlineStr"/>
      <c r="Q106" s="2" t="inlineStr"/>
      <c r="R106" s="2" t="inlineStr"/>
      <c r="S106" s="2" t="inlineStr"/>
    </row>
    <row r="107">
      <c r="A107" s="2" t="n">
        <v>106</v>
      </c>
      <c r="B107" s="3" t="inlineStr">
        <is>
          <t>HIGH</t>
        </is>
      </c>
      <c r="C107" s="2" t="inlineStr">
        <is>
          <t>No own website</t>
        </is>
      </c>
      <c r="D107" s="2" t="inlineStr">
        <is>
          <t>Sushi 79</t>
        </is>
      </c>
      <c r="E107" s="2" t="inlineStr">
        <is>
          <t>restaurant</t>
        </is>
      </c>
      <c r="F107" s="2" t="inlineStr">
        <is>
          <t>Sunshine Coast</t>
        </is>
      </c>
      <c r="G107" s="2" t="inlineStr">
        <is>
          <t>Facebook</t>
        </is>
      </c>
      <c r="H107" s="2" t="inlineStr"/>
      <c r="I107" s="4" t="inlineStr">
        <is>
          <t>https://www.facebook.com/THESUSHI79CURRIMUNDI/</t>
        </is>
      </c>
      <c r="J107" s="2" t="inlineStr">
        <is>
          <t>+61 7 5437 8208</t>
        </is>
      </c>
      <c r="K107" s="4" t="inlineStr">
        <is>
          <t>https://www.facebook.com/THESUSHI79CURRIMUNDI/</t>
        </is>
      </c>
      <c r="L107" s="2" t="inlineStr">
        <is>
          <t>no real website (uses www.facebook.com)</t>
        </is>
      </c>
      <c r="M107" s="2" t="inlineStr">
        <is>
          <t>Hi Sushi 79 team! [one real detail from their page]. We're AceAds, a web design studio. We noticed that when people in Sunshine Coast search for a restaurant on Google, they only find your Facebook, not a website of your own. We'd be happy to make you a free preview of what a website could look like. Want one? No cost, no obligation.</t>
        </is>
      </c>
      <c r="N107" s="4" t="inlineStr">
        <is>
          <t>Open map</t>
        </is>
      </c>
      <c r="O107" s="2" t="inlineStr">
        <is>
          <t>Not contacted</t>
        </is>
      </c>
      <c r="P107" s="2" t="inlineStr"/>
      <c r="Q107" s="2" t="inlineStr"/>
      <c r="R107" s="2" t="inlineStr"/>
      <c r="S107" s="2" t="inlineStr"/>
    </row>
    <row r="108">
      <c r="A108" s="2" t="n">
        <v>107</v>
      </c>
      <c r="B108" s="3" t="inlineStr">
        <is>
          <t>HIGH</t>
        </is>
      </c>
      <c r="C108" s="2" t="inlineStr">
        <is>
          <t>No own website</t>
        </is>
      </c>
      <c r="D108" s="2" t="inlineStr">
        <is>
          <t>Wok@Li Noodles</t>
        </is>
      </c>
      <c r="E108" s="2" t="inlineStr">
        <is>
          <t>restaurant</t>
        </is>
      </c>
      <c r="F108" s="2" t="inlineStr">
        <is>
          <t>Sunshine Coast</t>
        </is>
      </c>
      <c r="G108" s="2" t="inlineStr">
        <is>
          <t>Facebook</t>
        </is>
      </c>
      <c r="H108" s="2" t="inlineStr"/>
      <c r="I108" s="4" t="inlineStr">
        <is>
          <t>https://www.facebook.com/Wok-at-Li-noodles-595307274287896/</t>
        </is>
      </c>
      <c r="J108" s="2" t="inlineStr">
        <is>
          <t>+61 7 5438 8234</t>
        </is>
      </c>
      <c r="K108" s="4" t="inlineStr">
        <is>
          <t>https://www.facebook.com/Wok-at-Li-noodles-595307274287896/</t>
        </is>
      </c>
      <c r="L108" s="2" t="inlineStr">
        <is>
          <t>no real website (uses www.facebook.com)</t>
        </is>
      </c>
      <c r="M108" s="2" t="inlineStr">
        <is>
          <t>Hi Wok@Li Noodles team! [one real detail from their page]. We're AceAds, a web design studio. We noticed that when people in Sunshine Coast search for a restaurant on Google, they only find your Facebook, not a website of your own. We'd be happy to make you a free preview of what a website could look like. Want one? No cost, no obligation.</t>
        </is>
      </c>
      <c r="N108" s="4" t="inlineStr">
        <is>
          <t>Open map</t>
        </is>
      </c>
      <c r="O108" s="2" t="inlineStr">
        <is>
          <t>Not contacted</t>
        </is>
      </c>
      <c r="P108" s="2" t="inlineStr"/>
      <c r="Q108" s="2" t="inlineStr"/>
      <c r="R108" s="2" t="inlineStr"/>
      <c r="S108" s="2" t="inlineStr"/>
    </row>
    <row r="109">
      <c r="A109" s="2" t="n">
        <v>108</v>
      </c>
      <c r="B109" s="3" t="inlineStr">
        <is>
          <t>HIGH</t>
        </is>
      </c>
      <c r="C109" s="2" t="inlineStr">
        <is>
          <t>No own website</t>
        </is>
      </c>
      <c r="D109" s="2" t="inlineStr">
        <is>
          <t>Clancy's Beachside Takeaway</t>
        </is>
      </c>
      <c r="E109" s="2" t="inlineStr">
        <is>
          <t>takeaway</t>
        </is>
      </c>
      <c r="F109" s="2" t="inlineStr">
        <is>
          <t>Sunshine Coast</t>
        </is>
      </c>
      <c r="G109" s="2" t="inlineStr">
        <is>
          <t>Facebook</t>
        </is>
      </c>
      <c r="H109" s="2" t="inlineStr"/>
      <c r="I109" s="4" t="inlineStr">
        <is>
          <t>https://www.facebook.com/clancys.beachside.takeaway/</t>
        </is>
      </c>
      <c r="J109" s="2" t="inlineStr">
        <is>
          <t>+61 7 5491 3940</t>
        </is>
      </c>
      <c r="K109" s="4" t="inlineStr">
        <is>
          <t>https://www.facebook.com/clancys.beachside.takeaway/</t>
        </is>
      </c>
      <c r="L109" s="2" t="inlineStr">
        <is>
          <t>no real website (uses www.facebook.com)</t>
        </is>
      </c>
      <c r="M109" s="2" t="inlineStr">
        <is>
          <t>Hi Clancy's Beachside Takeaway team! [one real detail from their page]. We're AceAds, a web design studio. We noticed that when people in Sunshine Coast search for a takeaway on Google, they only find your Facebook, not a website of your own. We'd be happy to make you a free preview of what a website could look like. Want one? No cost, no obligation.</t>
        </is>
      </c>
      <c r="N109" s="4" t="inlineStr">
        <is>
          <t>Open map</t>
        </is>
      </c>
      <c r="O109" s="2" t="inlineStr">
        <is>
          <t>Not contacted</t>
        </is>
      </c>
      <c r="P109" s="2" t="inlineStr"/>
      <c r="Q109" s="2" t="inlineStr"/>
      <c r="R109" s="2" t="inlineStr"/>
      <c r="S109" s="2" t="inlineStr"/>
    </row>
    <row r="110">
      <c r="A110" s="2" t="n">
        <v>109</v>
      </c>
      <c r="B110" s="3" t="inlineStr">
        <is>
          <t>HIGH</t>
        </is>
      </c>
      <c r="C110" s="2" t="inlineStr">
        <is>
          <t>No own website</t>
        </is>
      </c>
      <c r="D110" s="2" t="inlineStr">
        <is>
          <t>Australian Hotel</t>
        </is>
      </c>
      <c r="E110" s="2" t="inlineStr">
        <is>
          <t>bar or pub</t>
        </is>
      </c>
      <c r="F110" s="2" t="inlineStr">
        <is>
          <t>Townsville</t>
        </is>
      </c>
      <c r="G110" s="2" t="inlineStr">
        <is>
          <t>Facebook</t>
        </is>
      </c>
      <c r="H110" s="2" t="inlineStr"/>
      <c r="I110" s="4" t="inlineStr">
        <is>
          <t>https://www.facebook.com/australianhoteltownsville</t>
        </is>
      </c>
      <c r="J110" s="2" t="inlineStr"/>
      <c r="K110" s="4" t="inlineStr">
        <is>
          <t>https://www.facebook.com/australianhoteltownsville</t>
        </is>
      </c>
      <c r="L110" s="2" t="inlineStr">
        <is>
          <t>no real website (uses www.facebook.com)</t>
        </is>
      </c>
      <c r="M110" s="2" t="inlineStr">
        <is>
          <t>Hi Australian Hotel team! [one real detail from their page]. We're AceAds, a web design studio. We noticed that when people in Townsville search for a bar on Google, they only find your Facebook, not a website of your own. We'd be happy to make you a free preview of what a website could look like. Want one? No cost, no obligation.</t>
        </is>
      </c>
      <c r="N110" s="4" t="inlineStr">
        <is>
          <t>Open map</t>
        </is>
      </c>
      <c r="O110" s="2" t="inlineStr">
        <is>
          <t>Not contacted</t>
        </is>
      </c>
      <c r="P110" s="2" t="inlineStr"/>
      <c r="Q110" s="2" t="inlineStr"/>
      <c r="R110" s="2" t="inlineStr"/>
      <c r="S110" s="2" t="inlineStr"/>
    </row>
    <row r="111">
      <c r="A111" s="2" t="n">
        <v>110</v>
      </c>
      <c r="B111" s="3" t="inlineStr">
        <is>
          <t>HIGH</t>
        </is>
      </c>
      <c r="C111" s="2" t="inlineStr">
        <is>
          <t>No own website</t>
        </is>
      </c>
      <c r="D111" s="2" t="inlineStr">
        <is>
          <t>Gentleman Jones Barber Shop</t>
        </is>
      </c>
      <c r="E111" s="2" t="inlineStr">
        <is>
          <t>barber or hairdresser</t>
        </is>
      </c>
      <c r="F111" s="2" t="inlineStr">
        <is>
          <t>Townsville</t>
        </is>
      </c>
      <c r="G111" s="2" t="inlineStr">
        <is>
          <t>Facebook</t>
        </is>
      </c>
      <c r="H111" s="2" t="inlineStr"/>
      <c r="I111" s="4" t="inlineStr">
        <is>
          <t>https://www.facebook.com/pages/category/Local-Business/Gentleman-Jones-235990806595718</t>
        </is>
      </c>
      <c r="J111" s="2" t="inlineStr"/>
      <c r="K111" s="4" t="inlineStr">
        <is>
          <t>https://www.facebook.com/pages/category/Local-Business/Gentleman-Jones-235990806595718</t>
        </is>
      </c>
      <c r="L111" s="2" t="inlineStr">
        <is>
          <t>no real website (uses www.facebook.com)</t>
        </is>
      </c>
      <c r="M111" s="2" t="inlineStr">
        <is>
          <t>Hi Gentleman Jones Barber Shop team! [one real detail from their page]. We're AceAds, a web design studio. We noticed that when people in Townsville search for a hairdresser on Google, they only find your Facebook, not a website of your own. We'd be happy to make you a free preview of what a website could look like. Want one? No cost, no obligation.</t>
        </is>
      </c>
      <c r="N111" s="4" t="inlineStr">
        <is>
          <t>Open map</t>
        </is>
      </c>
      <c r="O111" s="2" t="inlineStr">
        <is>
          <t>Not contacted</t>
        </is>
      </c>
      <c r="P111" s="2" t="inlineStr"/>
      <c r="Q111" s="2" t="inlineStr"/>
      <c r="R111" s="2" t="inlineStr"/>
      <c r="S111" s="2" t="inlineStr"/>
    </row>
    <row r="112">
      <c r="A112" s="2" t="n">
        <v>111</v>
      </c>
      <c r="B112" s="3" t="inlineStr">
        <is>
          <t>HIGH</t>
        </is>
      </c>
      <c r="C112" s="2" t="inlineStr">
        <is>
          <t>No own website</t>
        </is>
      </c>
      <c r="D112" s="2" t="inlineStr">
        <is>
          <t>She Creative Hair</t>
        </is>
      </c>
      <c r="E112" s="2" t="inlineStr">
        <is>
          <t>barber or hairdresser</t>
        </is>
      </c>
      <c r="F112" s="2" t="inlineStr">
        <is>
          <t>Townsville</t>
        </is>
      </c>
      <c r="G112" s="2" t="inlineStr">
        <is>
          <t>Facebook</t>
        </is>
      </c>
      <c r="H112" s="2" t="inlineStr"/>
      <c r="I112" s="4" t="inlineStr">
        <is>
          <t>https://www.facebook.com/shecreativehair.com.au/</t>
        </is>
      </c>
      <c r="J112" s="2" t="inlineStr">
        <is>
          <t>+61 7 4721 1110</t>
        </is>
      </c>
      <c r="K112" s="4" t="inlineStr">
        <is>
          <t>https://www.facebook.com/shecreativehair.com.au/</t>
        </is>
      </c>
      <c r="L112" s="2" t="inlineStr">
        <is>
          <t>no real website (uses www.facebook.com)</t>
        </is>
      </c>
      <c r="M112" s="2" t="inlineStr">
        <is>
          <t>Hi She Creative Hair team! [one real detail from their page]. We're AceAds, a web design studio. We noticed that when people in Townsville search for a hairdresser on Google, they only find your Facebook, not a website of your own. We'd be happy to make you a free preview of what a website could look like. Want one? No cost, no obligation.</t>
        </is>
      </c>
      <c r="N112" s="4" t="inlineStr">
        <is>
          <t>Open map</t>
        </is>
      </c>
      <c r="O112" s="2" t="inlineStr">
        <is>
          <t>Not contacted</t>
        </is>
      </c>
      <c r="P112" s="2" t="inlineStr"/>
      <c r="Q112" s="2" t="inlineStr"/>
      <c r="R112" s="2" t="inlineStr"/>
      <c r="S112" s="2" t="inlineStr"/>
    </row>
    <row r="113">
      <c r="A113" s="2" t="n">
        <v>112</v>
      </c>
      <c r="B113" s="3" t="inlineStr">
        <is>
          <t>HIGH</t>
        </is>
      </c>
      <c r="C113" s="2" t="inlineStr">
        <is>
          <t>No own website</t>
        </is>
      </c>
      <c r="D113" s="2" t="inlineStr">
        <is>
          <t>Alt Brew</t>
        </is>
      </c>
      <c r="E113" s="2" t="inlineStr">
        <is>
          <t>cafe</t>
        </is>
      </c>
      <c r="F113" s="2" t="inlineStr">
        <is>
          <t>Townsville</t>
        </is>
      </c>
      <c r="G113" s="2" t="inlineStr">
        <is>
          <t>Facebook</t>
        </is>
      </c>
      <c r="H113" s="2" t="inlineStr"/>
      <c r="I113" s="4" t="inlineStr">
        <is>
          <t>https://www.facebook.com/Alt-Brew-1325275994229457</t>
        </is>
      </c>
      <c r="J113" s="2" t="inlineStr"/>
      <c r="K113" s="4" t="inlineStr">
        <is>
          <t>https://www.facebook.com/Alt-Brew-1325275994229457</t>
        </is>
      </c>
      <c r="L113" s="2" t="inlineStr">
        <is>
          <t>no real website (uses www.facebook.com)</t>
        </is>
      </c>
      <c r="M113" s="2" t="inlineStr">
        <is>
          <t>Hi Alt Brew team! [one real detail from their page]. We're AceAds, a web design studio. We noticed that when people in Townsville search for a cafe on Google, they only find your Facebook, not a website of your own. We'd be happy to make you a free preview of what a website could look like. Want one? No cost, no obligation.</t>
        </is>
      </c>
      <c r="N113" s="4" t="inlineStr">
        <is>
          <t>Open map</t>
        </is>
      </c>
      <c r="O113" s="2" t="inlineStr">
        <is>
          <t>Not contacted</t>
        </is>
      </c>
      <c r="P113" s="2" t="inlineStr"/>
      <c r="Q113" s="2" t="inlineStr"/>
      <c r="R113" s="2" t="inlineStr"/>
      <c r="S113" s="2" t="inlineStr"/>
    </row>
    <row r="114">
      <c r="A114" s="2" t="n">
        <v>113</v>
      </c>
      <c r="B114" s="3" t="inlineStr">
        <is>
          <t>HIGH</t>
        </is>
      </c>
      <c r="C114" s="2" t="inlineStr">
        <is>
          <t>No own website</t>
        </is>
      </c>
      <c r="D114" s="2" t="inlineStr">
        <is>
          <t>Old Railway Cafe</t>
        </is>
      </c>
      <c r="E114" s="2" t="inlineStr">
        <is>
          <t>cafe</t>
        </is>
      </c>
      <c r="F114" s="2" t="inlineStr">
        <is>
          <t>Townsville</t>
        </is>
      </c>
      <c r="G114" s="2" t="inlineStr">
        <is>
          <t>Facebook</t>
        </is>
      </c>
      <c r="H114" s="2" t="inlineStr"/>
      <c r="I114" s="4" t="inlineStr">
        <is>
          <t>https://www.facebook.com/theoldrailwaycafe</t>
        </is>
      </c>
      <c r="J114" s="2" t="inlineStr"/>
      <c r="K114" s="4" t="inlineStr">
        <is>
          <t>https://www.facebook.com/theoldrailwaycafe</t>
        </is>
      </c>
      <c r="L114" s="2" t="inlineStr">
        <is>
          <t>no real website (uses www.facebook.com)</t>
        </is>
      </c>
      <c r="M114" s="2" t="inlineStr">
        <is>
          <t>Hi Old Railway Cafe team! [one real detail from their page]. We're AceAds, a web design studio. We noticed that when people in Townsville search for a cafe on Google, they only find your Facebook, not a website of your own. We'd be happy to make you a free preview of what a website could look like. Want one? No cost, no obligation.</t>
        </is>
      </c>
      <c r="N114" s="4" t="inlineStr">
        <is>
          <t>Open map</t>
        </is>
      </c>
      <c r="O114" s="2" t="inlineStr">
        <is>
          <t>Not contacted</t>
        </is>
      </c>
      <c r="P114" s="2" t="inlineStr"/>
      <c r="Q114" s="2" t="inlineStr"/>
      <c r="R114" s="2" t="inlineStr"/>
      <c r="S114" s="2" t="inlineStr"/>
    </row>
    <row r="115">
      <c r="A115" s="2" t="n">
        <v>114</v>
      </c>
      <c r="B115" s="3" t="inlineStr">
        <is>
          <t>HIGH</t>
        </is>
      </c>
      <c r="C115" s="2" t="inlineStr">
        <is>
          <t>No own website</t>
        </is>
      </c>
      <c r="D115" s="2" t="inlineStr">
        <is>
          <t>The Spirited Goat</t>
        </is>
      </c>
      <c r="E115" s="2" t="inlineStr">
        <is>
          <t>cafe</t>
        </is>
      </c>
      <c r="F115" s="2" t="inlineStr">
        <is>
          <t>Townsville</t>
        </is>
      </c>
      <c r="G115" s="2" t="inlineStr">
        <is>
          <t>Facebook</t>
        </is>
      </c>
      <c r="H115" s="2" t="inlineStr"/>
      <c r="I115" s="4" t="inlineStr">
        <is>
          <t>https://www.facebook.com/The-Spirited-Goat-475954869187116</t>
        </is>
      </c>
      <c r="J115" s="2" t="inlineStr"/>
      <c r="K115" s="4" t="inlineStr">
        <is>
          <t>https://www.facebook.com/The-Spirited-Goat-475954869187116</t>
        </is>
      </c>
      <c r="L115" s="2" t="inlineStr">
        <is>
          <t>no real website (uses www.facebook.com)</t>
        </is>
      </c>
      <c r="M115" s="2" t="inlineStr">
        <is>
          <t>Hi The Spirited Goat team! [one real detail from their page]. We're AceAds, a web design studio. We noticed that when people in Townsville search for a cafe on Google, they only find your Facebook, not a website of your own. We'd be happy to make you a free preview of what a website could look like. Want one? No cost, no obligation.</t>
        </is>
      </c>
      <c r="N115" s="4" t="inlineStr">
        <is>
          <t>Open map</t>
        </is>
      </c>
      <c r="O115" s="2" t="inlineStr">
        <is>
          <t>Not contacted</t>
        </is>
      </c>
      <c r="P115" s="2" t="inlineStr"/>
      <c r="Q115" s="2" t="inlineStr"/>
      <c r="R115" s="2" t="inlineStr"/>
      <c r="S115" s="2" t="inlineStr"/>
    </row>
    <row r="116">
      <c r="A116" s="2" t="n">
        <v>115</v>
      </c>
      <c r="B116" s="3" t="inlineStr">
        <is>
          <t>HIGH</t>
        </is>
      </c>
      <c r="C116" s="2" t="inlineStr">
        <is>
          <t>No own website</t>
        </is>
      </c>
      <c r="D116" s="2" t="inlineStr">
        <is>
          <t>Precinct Fine Meats</t>
        </is>
      </c>
      <c r="E116" s="2" t="inlineStr">
        <is>
          <t>deli or specialty food</t>
        </is>
      </c>
      <c r="F116" s="2" t="inlineStr">
        <is>
          <t>Townsville</t>
        </is>
      </c>
      <c r="G116" s="2" t="inlineStr">
        <is>
          <t>Facebook</t>
        </is>
      </c>
      <c r="H116" s="2" t="inlineStr"/>
      <c r="I116" s="4" t="inlineStr">
        <is>
          <t>https://www.facebook.com/ottosmarketprecinct</t>
        </is>
      </c>
      <c r="J116" s="2" t="inlineStr"/>
      <c r="K116" s="4" t="inlineStr">
        <is>
          <t>https://www.facebook.com/ottosmarketprecinct</t>
        </is>
      </c>
      <c r="L116" s="2" t="inlineStr">
        <is>
          <t>no real website (uses www.facebook.com)</t>
        </is>
      </c>
      <c r="M116" s="2" t="inlineStr">
        <is>
          <t>Hi Precinct Fine Meats team! [one real detail from their page]. We're AceAds, a web design studio. We noticed that when people in Townsville search for a local food store on Google, they only find your Facebook, not a website of your own. We'd be happy to make you a free preview of what a website could look like. Want one? No cost, no obligation.</t>
        </is>
      </c>
      <c r="N116" s="4" t="inlineStr">
        <is>
          <t>Open map</t>
        </is>
      </c>
      <c r="O116" s="2" t="inlineStr">
        <is>
          <t>Not contacted</t>
        </is>
      </c>
      <c r="P116" s="2" t="inlineStr"/>
      <c r="Q116" s="2" t="inlineStr"/>
      <c r="R116" s="2" t="inlineStr"/>
      <c r="S116" s="2" t="inlineStr"/>
    </row>
    <row r="117">
      <c r="A117" s="2" t="n">
        <v>116</v>
      </c>
      <c r="B117" s="3" t="inlineStr">
        <is>
          <t>HIGH</t>
        </is>
      </c>
      <c r="C117" s="2" t="inlineStr">
        <is>
          <t>No own website</t>
        </is>
      </c>
      <c r="D117" s="2" t="inlineStr">
        <is>
          <t>NCS Automotive Townsville</t>
        </is>
      </c>
      <c r="E117" s="2" t="inlineStr">
        <is>
          <t>mechanic</t>
        </is>
      </c>
      <c r="F117" s="2" t="inlineStr">
        <is>
          <t>Townsville</t>
        </is>
      </c>
      <c r="G117" s="2" t="inlineStr">
        <is>
          <t>Facebook</t>
        </is>
      </c>
      <c r="H117" s="2" t="inlineStr"/>
      <c r="I117" s="4" t="inlineStr">
        <is>
          <t>https://www.facebook.com/NCSAutomotiveTownsville/</t>
        </is>
      </c>
      <c r="J117" s="2" t="inlineStr">
        <is>
          <t>+61 7 4775 5665</t>
        </is>
      </c>
      <c r="K117" s="4" t="inlineStr">
        <is>
          <t>https://www.facebook.com/NCSAutomotiveTownsville/</t>
        </is>
      </c>
      <c r="L117" s="2" t="inlineStr">
        <is>
          <t>no real website (uses www.facebook.com)</t>
        </is>
      </c>
      <c r="M117" s="2" t="inlineStr">
        <is>
          <t>Hi NCS Automotive Townsville team! [one real detail from their page]. We're AceAds, a web design studio. We noticed that when people in Townsville search for a mechanic on Google, they only find your Facebook, not a website of your own. We'd be happy to make you a free preview of what a website could look like. Want one? No cost, no obligation.</t>
        </is>
      </c>
      <c r="N117" s="4" t="inlineStr">
        <is>
          <t>Open map</t>
        </is>
      </c>
      <c r="O117" s="2" t="inlineStr">
        <is>
          <t>Not contacted</t>
        </is>
      </c>
      <c r="P117" s="2" t="inlineStr"/>
      <c r="Q117" s="2" t="inlineStr"/>
      <c r="R117" s="2" t="inlineStr"/>
      <c r="S117" s="2" t="inlineStr"/>
    </row>
    <row r="118">
      <c r="A118" s="2" t="n">
        <v>117</v>
      </c>
      <c r="B118" s="3" t="inlineStr">
        <is>
          <t>HIGH</t>
        </is>
      </c>
      <c r="C118" s="2" t="inlineStr">
        <is>
          <t>No own website</t>
        </is>
      </c>
      <c r="D118" s="2" t="inlineStr">
        <is>
          <t>Aroi Bangkok Thai Restaurant</t>
        </is>
      </c>
      <c r="E118" s="2" t="inlineStr">
        <is>
          <t>restaurant</t>
        </is>
      </c>
      <c r="F118" s="2" t="inlineStr">
        <is>
          <t>Townsville</t>
        </is>
      </c>
      <c r="G118" s="2" t="inlineStr">
        <is>
          <t>Facebook</t>
        </is>
      </c>
      <c r="H118" s="2" t="inlineStr"/>
      <c r="I118" s="4" t="inlineStr">
        <is>
          <t>https://www.facebook.com/AroiBangkokThaiRestaurant</t>
        </is>
      </c>
      <c r="J118" s="2" t="inlineStr"/>
      <c r="K118" s="4" t="inlineStr">
        <is>
          <t>https://www.facebook.com/AroiBangkokThaiRestaurant</t>
        </is>
      </c>
      <c r="L118" s="2" t="inlineStr">
        <is>
          <t>no real website (uses www.facebook.com)</t>
        </is>
      </c>
      <c r="M118" s="2" t="inlineStr">
        <is>
          <t>Hi Aroi Bangkok Thai Restaurant team! [one real detail from their page]. We're AceAds, a web design studio. We noticed that when people in Townsville search for a restaurant on Google, they only find your Facebook, not a website of your own. We'd be happy to make you a free preview of what a website could look like. Want one? No cost, no obligation.</t>
        </is>
      </c>
      <c r="N118" s="4" t="inlineStr">
        <is>
          <t>Open map</t>
        </is>
      </c>
      <c r="O118" s="2" t="inlineStr">
        <is>
          <t>Not contacted</t>
        </is>
      </c>
      <c r="P118" s="2" t="inlineStr"/>
      <c r="Q118" s="2" t="inlineStr"/>
      <c r="R118" s="2" t="inlineStr"/>
      <c r="S118" s="2" t="inlineStr"/>
    </row>
    <row r="119">
      <c r="A119" s="2" t="n">
        <v>118</v>
      </c>
      <c r="B119" s="3" t="inlineStr">
        <is>
          <t>HIGH</t>
        </is>
      </c>
      <c r="C119" s="2" t="inlineStr">
        <is>
          <t>No own website</t>
        </is>
      </c>
      <c r="D119" s="2" t="inlineStr">
        <is>
          <t>Lotus Saigon</t>
        </is>
      </c>
      <c r="E119" s="2" t="inlineStr">
        <is>
          <t>restaurant</t>
        </is>
      </c>
      <c r="F119" s="2" t="inlineStr">
        <is>
          <t>Townsville</t>
        </is>
      </c>
      <c r="G119" s="2" t="inlineStr">
        <is>
          <t>Instagram</t>
        </is>
      </c>
      <c r="H119" s="4" t="inlineStr">
        <is>
          <t>https://www.instagram.com/lotussaigonts</t>
        </is>
      </c>
      <c r="I119" s="4" t="inlineStr">
        <is>
          <t>https://www.facebook.com/lotussaigontsv</t>
        </is>
      </c>
      <c r="J119" s="2" t="inlineStr">
        <is>
          <t>+61 7 4721 3349</t>
        </is>
      </c>
      <c r="K119" s="4" t="inlineStr">
        <is>
          <t>https://lotus-saigon.business.site/</t>
        </is>
      </c>
      <c r="L119" s="2" t="inlineStr">
        <is>
          <t>no real website (uses lotus-saigon.business.site)</t>
        </is>
      </c>
      <c r="M119" s="2" t="inlineStr">
        <is>
          <t>Hi Lotus Saigon team! [one real detail from their page]. We're AceAds, a web design studio. We noticed that when people in Townsville search for a restaurant on Google, they only find your Instagram, not a website of your own. We'd be happy to make you a free preview of what a website could look like. Want one? No cost, no obligation.</t>
        </is>
      </c>
      <c r="N119" s="4" t="inlineStr">
        <is>
          <t>Open map</t>
        </is>
      </c>
      <c r="O119" s="2" t="inlineStr">
        <is>
          <t>Not contacted</t>
        </is>
      </c>
      <c r="P119" s="2" t="inlineStr"/>
      <c r="Q119" s="2" t="inlineStr"/>
      <c r="R119" s="2" t="inlineStr"/>
      <c r="S119" s="2" t="inlineStr"/>
    </row>
    <row r="120">
      <c r="A120" s="2" t="n">
        <v>119</v>
      </c>
      <c r="B120" s="3" t="inlineStr">
        <is>
          <t>HIGH</t>
        </is>
      </c>
      <c r="C120" s="2" t="inlineStr">
        <is>
          <t>'Not secure' warning</t>
        </is>
      </c>
      <c r="D120" s="2" t="inlineStr">
        <is>
          <t>Wavell Heights Kindergarten</t>
        </is>
      </c>
      <c r="E120" s="2" t="inlineStr">
        <is>
          <t>childcare</t>
        </is>
      </c>
      <c r="F120" s="2" t="inlineStr">
        <is>
          <t>Brisbane</t>
        </is>
      </c>
      <c r="G120" s="2" t="inlineStr">
        <is>
          <t>Facebook</t>
        </is>
      </c>
      <c r="H120" s="2" t="inlineStr"/>
      <c r="I120" s="4" t="inlineStr">
        <is>
          <t>https://www.facebook.com/WHKindy/</t>
        </is>
      </c>
      <c r="J120" s="2" t="inlineStr"/>
      <c r="K120" s="4" t="inlineStr">
        <is>
          <t>https://www.wavellheightskindergarten.com.au</t>
        </is>
      </c>
      <c r="L120" s="2" t="inlineStr">
        <is>
          <t>security certificate error (browsers warn visitors away)</t>
        </is>
      </c>
      <c r="M120" s="2" t="inlineStr">
        <is>
          <t>Hi Wavell Heights Kindergarten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0" s="4" t="inlineStr">
        <is>
          <t>Open map</t>
        </is>
      </c>
      <c r="O120" s="2" t="inlineStr">
        <is>
          <t>Not contacted</t>
        </is>
      </c>
      <c r="P120" s="2" t="inlineStr"/>
      <c r="Q120" s="2" t="inlineStr"/>
      <c r="R120" s="2" t="inlineStr"/>
      <c r="S120" s="2" t="inlineStr"/>
    </row>
    <row r="121">
      <c r="A121" s="2" t="n">
        <v>120</v>
      </c>
      <c r="B121" s="3" t="inlineStr">
        <is>
          <t>HIGH</t>
        </is>
      </c>
      <c r="C121" s="2" t="inlineStr">
        <is>
          <t>'Not secure' warning</t>
        </is>
      </c>
      <c r="D121" s="2" t="inlineStr">
        <is>
          <t>Dutton Park Family Dental</t>
        </is>
      </c>
      <c r="E121" s="2" t="inlineStr">
        <is>
          <t>dentist</t>
        </is>
      </c>
      <c r="F121" s="2" t="inlineStr">
        <is>
          <t>Brisbane</t>
        </is>
      </c>
      <c r="G121" s="2" t="inlineStr">
        <is>
          <t>Instagram</t>
        </is>
      </c>
      <c r="H121" s="4" t="inlineStr">
        <is>
          <t>https://www.instagram.com/duttonparkfamilydental</t>
        </is>
      </c>
      <c r="I121" s="2" t="inlineStr"/>
      <c r="J121" s="2" t="inlineStr">
        <is>
          <t>+61 7 3179 7800</t>
        </is>
      </c>
      <c r="K121" s="4" t="inlineStr">
        <is>
          <t>https://www.duttonparkfamilydental.com.au/</t>
        </is>
      </c>
      <c r="L121" s="2" t="inlineStr">
        <is>
          <t>security certificate error (browsers warn visitors away)</t>
        </is>
      </c>
      <c r="M121" s="2" t="inlineStr">
        <is>
          <t>Hi Dutton Park Family Dental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1" s="4" t="inlineStr">
        <is>
          <t>Open map</t>
        </is>
      </c>
      <c r="O121" s="2" t="inlineStr">
        <is>
          <t>Not contacted</t>
        </is>
      </c>
      <c r="P121" s="2" t="inlineStr"/>
      <c r="Q121" s="2" t="inlineStr"/>
      <c r="R121" s="2" t="inlineStr"/>
      <c r="S121" s="2" t="inlineStr"/>
    </row>
    <row r="122">
      <c r="A122" s="2" t="n">
        <v>121</v>
      </c>
      <c r="B122" s="3" t="inlineStr">
        <is>
          <t>HIGH</t>
        </is>
      </c>
      <c r="C122" s="2" t="inlineStr">
        <is>
          <t>'Not secure' warning</t>
        </is>
      </c>
      <c r="D122" s="2" t="inlineStr">
        <is>
          <t>Oxley Nursery</t>
        </is>
      </c>
      <c r="E122" s="2" t="inlineStr">
        <is>
          <t>landscaper</t>
        </is>
      </c>
      <c r="F122" s="2" t="inlineStr">
        <is>
          <t>Brisbane</t>
        </is>
      </c>
      <c r="G122" s="2" t="inlineStr">
        <is>
          <t>Facebook</t>
        </is>
      </c>
      <c r="H122" s="2" t="inlineStr"/>
      <c r="I122" s="4" t="inlineStr">
        <is>
          <t>https://www.facebook.com/oxleynursery/</t>
        </is>
      </c>
      <c r="J122" s="2" t="inlineStr"/>
      <c r="K122" s="4" t="inlineStr">
        <is>
          <t>https://www.oxleynursery.com.au/</t>
        </is>
      </c>
      <c r="L122" s="2" t="inlineStr">
        <is>
          <t>security certificate error (browsers warn visitors away)</t>
        </is>
      </c>
      <c r="M122" s="2" t="inlineStr">
        <is>
          <t>Hi Oxley Nursery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2" s="4" t="inlineStr">
        <is>
          <t>Open map</t>
        </is>
      </c>
      <c r="O122" s="2" t="inlineStr">
        <is>
          <t>Not contacted</t>
        </is>
      </c>
      <c r="P122" s="2" t="inlineStr"/>
      <c r="Q122" s="2" t="inlineStr"/>
      <c r="R122" s="2" t="inlineStr"/>
      <c r="S122" s="2" t="inlineStr"/>
    </row>
    <row r="123">
      <c r="A123" s="2" t="n">
        <v>122</v>
      </c>
      <c r="B123" s="3" t="inlineStr">
        <is>
          <t>HIGH</t>
        </is>
      </c>
      <c r="C123" s="2" t="inlineStr">
        <is>
          <t>'Not secure' warning</t>
        </is>
      </c>
      <c r="D123" s="2" t="inlineStr">
        <is>
          <t>Supperclub Maggie May</t>
        </is>
      </c>
      <c r="E123" s="2" t="inlineStr">
        <is>
          <t>restaurant</t>
        </is>
      </c>
      <c r="F123" s="2" t="inlineStr">
        <is>
          <t>Brisbane</t>
        </is>
      </c>
      <c r="G123" s="2" t="inlineStr">
        <is>
          <t>Instagram</t>
        </is>
      </c>
      <c r="H123" s="4" t="inlineStr">
        <is>
          <t>https://www.instagram.com/maggiemaybne</t>
        </is>
      </c>
      <c r="I123" s="4" t="inlineStr">
        <is>
          <t>https://www.facebook.com/maggiemaybne</t>
        </is>
      </c>
      <c r="J123" s="2" t="inlineStr">
        <is>
          <t>+61 7 3166 2479</t>
        </is>
      </c>
      <c r="K123" s="4" t="inlineStr">
        <is>
          <t>https://maggiemaybne.com.au/</t>
        </is>
      </c>
      <c r="L123" s="2" t="inlineStr">
        <is>
          <t>security certificate error (browsers warn visitors away)</t>
        </is>
      </c>
      <c r="M123" s="2" t="inlineStr">
        <is>
          <t>Hi Supperclub Maggie May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3" s="4" t="inlineStr">
        <is>
          <t>Open map</t>
        </is>
      </c>
      <c r="O123" s="2" t="inlineStr">
        <is>
          <t>Not contacted</t>
        </is>
      </c>
      <c r="P123" s="2" t="inlineStr"/>
      <c r="Q123" s="2" t="inlineStr"/>
      <c r="R123" s="2" t="inlineStr"/>
      <c r="S123" s="2" t="inlineStr"/>
    </row>
    <row r="124">
      <c r="A124" s="2" t="n">
        <v>123</v>
      </c>
      <c r="B124" s="3" t="inlineStr">
        <is>
          <t>HIGH</t>
        </is>
      </c>
      <c r="C124" s="2" t="inlineStr">
        <is>
          <t>'Not secure' warning</t>
        </is>
      </c>
      <c r="D124" s="2" t="inlineStr">
        <is>
          <t>Naughty Bean Cafe</t>
        </is>
      </c>
      <c r="E124" s="2" t="inlineStr">
        <is>
          <t>cafe</t>
        </is>
      </c>
      <c r="F124" s="2" t="inlineStr">
        <is>
          <t>Gold Coast</t>
        </is>
      </c>
      <c r="G124" s="2" t="inlineStr">
        <is>
          <t>Facebook</t>
        </is>
      </c>
      <c r="H124" s="2" t="inlineStr"/>
      <c r="I124" s="4" t="inlineStr">
        <is>
          <t>https://www.facebook.com/beancafe2016/</t>
        </is>
      </c>
      <c r="J124" s="2" t="inlineStr">
        <is>
          <t>+61 7 5520 4209</t>
        </is>
      </c>
      <c r="K124" s="4" t="inlineStr">
        <is>
          <t>https://naughtybeancafe.com.au/</t>
        </is>
      </c>
      <c r="L124" s="2" t="inlineStr">
        <is>
          <t>security certificate error (browsers warn visitors away)</t>
        </is>
      </c>
      <c r="M124" s="2" t="inlineStr">
        <is>
          <t>Hi Naughty Bean Cafe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4" s="4" t="inlineStr">
        <is>
          <t>Open map</t>
        </is>
      </c>
      <c r="O124" s="2" t="inlineStr">
        <is>
          <t>Not contacted</t>
        </is>
      </c>
      <c r="P124" s="2" t="inlineStr"/>
      <c r="Q124" s="2" t="inlineStr"/>
      <c r="R124" s="2" t="inlineStr"/>
      <c r="S124" s="2" t="inlineStr"/>
    </row>
    <row r="125">
      <c r="A125" s="2" t="n">
        <v>124</v>
      </c>
      <c r="B125" s="3" t="inlineStr">
        <is>
          <t>HIGH</t>
        </is>
      </c>
      <c r="C125" s="2" t="inlineStr">
        <is>
          <t>'Not secure' warning</t>
        </is>
      </c>
      <c r="D125" s="2" t="inlineStr">
        <is>
          <t>Flour of Life Bakery</t>
        </is>
      </c>
      <c r="E125" s="2" t="inlineStr">
        <is>
          <t>restaurant</t>
        </is>
      </c>
      <c r="F125" s="2" t="inlineStr">
        <is>
          <t>Gold Coast</t>
        </is>
      </c>
      <c r="G125" s="2" t="inlineStr">
        <is>
          <t>Facebook</t>
        </is>
      </c>
      <c r="H125" s="2" t="inlineStr"/>
      <c r="I125" s="4" t="inlineStr">
        <is>
          <t>https://www.facebook.com/FlourOfLife</t>
        </is>
      </c>
      <c r="J125" s="2" t="inlineStr">
        <is>
          <t>+61 7 5511 1676</t>
        </is>
      </c>
      <c r="K125" s="4" t="inlineStr">
        <is>
          <t>https://flouroflifebakery.com.au</t>
        </is>
      </c>
      <c r="L125" s="2" t="inlineStr">
        <is>
          <t>security certificate error (browsers warn visitors away)</t>
        </is>
      </c>
      <c r="M125" s="2" t="inlineStr">
        <is>
          <t>Hi Flour of Life Bakery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5" s="4" t="inlineStr">
        <is>
          <t>Open map</t>
        </is>
      </c>
      <c r="O125" s="2" t="inlineStr">
        <is>
          <t>Not contacted</t>
        </is>
      </c>
      <c r="P125" s="2" t="inlineStr"/>
      <c r="Q125" s="2" t="inlineStr"/>
      <c r="R125" s="2" t="inlineStr"/>
      <c r="S125" s="2" t="inlineStr"/>
    </row>
    <row r="126">
      <c r="A126" s="2" t="n">
        <v>125</v>
      </c>
      <c r="B126" s="3" t="inlineStr">
        <is>
          <t>HIGH</t>
        </is>
      </c>
      <c r="C126" s="2" t="inlineStr">
        <is>
          <t>'Not secure' warning</t>
        </is>
      </c>
      <c r="D126" s="2" t="inlineStr">
        <is>
          <t>Shiba Wings -  Scammers Closed Shop</t>
        </is>
      </c>
      <c r="E126" s="2" t="inlineStr">
        <is>
          <t>restaurant</t>
        </is>
      </c>
      <c r="F126" s="2" t="inlineStr">
        <is>
          <t>Gold Coast</t>
        </is>
      </c>
      <c r="G126" s="2" t="inlineStr">
        <is>
          <t>Instagram</t>
        </is>
      </c>
      <c r="H126" s="4" t="inlineStr">
        <is>
          <t>https://www.instagram.com/shibawings/</t>
        </is>
      </c>
      <c r="I126" s="4" t="inlineStr">
        <is>
          <t>https://www.facebook.com/shibawingsAUS/?show_switched_toast=0&amp;show_invite_to_follow=0&amp;show_switched_tooltip=0&amp;show_podcast_settings=0&amp;show_community_review_changes=0&amp;show_community_rollback=0&amp;show_follower_visibility_disclosure=0</t>
        </is>
      </c>
      <c r="J126" s="2" t="inlineStr"/>
      <c r="K126" s="4" t="inlineStr">
        <is>
          <t>https://shibawings.com.au/</t>
        </is>
      </c>
      <c r="L126" s="2" t="inlineStr">
        <is>
          <t>security certificate error (browsers warn visitors away)</t>
        </is>
      </c>
      <c r="M126" s="2" t="inlineStr">
        <is>
          <t>Hi Shiba Wings -  Scammers Closed Shop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6" s="4" t="inlineStr">
        <is>
          <t>Open map</t>
        </is>
      </c>
      <c r="O126" s="2" t="inlineStr">
        <is>
          <t>Not contacted</t>
        </is>
      </c>
      <c r="P126" s="2" t="inlineStr"/>
      <c r="Q126" s="2" t="inlineStr"/>
      <c r="R126" s="2" t="inlineStr"/>
      <c r="S126" s="2" t="inlineStr"/>
    </row>
    <row r="127">
      <c r="A127" s="2" t="n">
        <v>126</v>
      </c>
      <c r="B127" s="3" t="inlineStr">
        <is>
          <t>HIGH</t>
        </is>
      </c>
      <c r="C127" s="2" t="inlineStr">
        <is>
          <t>'Not secure' warning</t>
        </is>
      </c>
      <c r="D127" s="2" t="inlineStr">
        <is>
          <t>The Witch Hotel</t>
        </is>
      </c>
      <c r="E127" s="2" t="inlineStr">
        <is>
          <t>bar or pub</t>
        </is>
      </c>
      <c r="F127" s="2" t="inlineStr">
        <is>
          <t>Ipswich</t>
        </is>
      </c>
      <c r="G127" s="2" t="inlineStr">
        <is>
          <t>Facebook</t>
        </is>
      </c>
      <c r="H127" s="2" t="inlineStr"/>
      <c r="I127" s="4" t="inlineStr">
        <is>
          <t>https://www.facebook.com/thewitchhotel/</t>
        </is>
      </c>
      <c r="J127" s="2" t="inlineStr">
        <is>
          <t>+61 7 3812 1113</t>
        </is>
      </c>
      <c r="K127" s="4" t="inlineStr">
        <is>
          <t>https://www.witchhotel.com/</t>
        </is>
      </c>
      <c r="L127" s="2" t="inlineStr">
        <is>
          <t>security certificate error (browsers warn visitors away)</t>
        </is>
      </c>
      <c r="M127" s="2" t="inlineStr">
        <is>
          <t>Hi The Witch Hotel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7" s="4" t="inlineStr">
        <is>
          <t>Open map</t>
        </is>
      </c>
      <c r="O127" s="2" t="inlineStr">
        <is>
          <t>Not contacted</t>
        </is>
      </c>
      <c r="P127" s="2" t="inlineStr"/>
      <c r="Q127" s="2" t="inlineStr"/>
      <c r="R127" s="2" t="inlineStr"/>
      <c r="S127" s="2" t="inlineStr"/>
    </row>
    <row r="128">
      <c r="A128" s="2" t="n">
        <v>127</v>
      </c>
      <c r="B128" s="3" t="inlineStr">
        <is>
          <t>HIGH</t>
        </is>
      </c>
      <c r="C128" s="2" t="inlineStr">
        <is>
          <t>'Not secure' warning</t>
        </is>
      </c>
      <c r="D128" s="2" t="inlineStr">
        <is>
          <t>Westbrook Tavern</t>
        </is>
      </c>
      <c r="E128" s="2" t="inlineStr">
        <is>
          <t>bar or pub</t>
        </is>
      </c>
      <c r="F128" s="2" t="inlineStr">
        <is>
          <t>Toowoomba</t>
        </is>
      </c>
      <c r="G128" s="2" t="inlineStr">
        <is>
          <t>Facebook</t>
        </is>
      </c>
      <c r="H128" s="2" t="inlineStr"/>
      <c r="I128" s="4" t="inlineStr">
        <is>
          <t>https://www.facebook.com/westbrooktavern</t>
        </is>
      </c>
      <c r="J128" s="2" t="inlineStr"/>
      <c r="K128" s="4" t="inlineStr">
        <is>
          <t>https://www.westbrooktavern.com.au/</t>
        </is>
      </c>
      <c r="L128" s="2" t="inlineStr">
        <is>
          <t>security certificate error (browsers warn visitors away)</t>
        </is>
      </c>
      <c r="M128" s="2" t="inlineStr">
        <is>
          <t>Hi Westbrook Tavern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8" s="4" t="inlineStr">
        <is>
          <t>Open map</t>
        </is>
      </c>
      <c r="O128" s="2" t="inlineStr">
        <is>
          <t>Not contacted</t>
        </is>
      </c>
      <c r="P128" s="2" t="inlineStr"/>
      <c r="Q128" s="2" t="inlineStr"/>
      <c r="R128" s="2" t="inlineStr"/>
      <c r="S128" s="2" t="inlineStr"/>
    </row>
    <row r="129">
      <c r="A129" s="2" t="n">
        <v>128</v>
      </c>
      <c r="B129" s="3" t="inlineStr">
        <is>
          <t>HIGH</t>
        </is>
      </c>
      <c r="C129" s="2" t="inlineStr">
        <is>
          <t>'Not secure' warning</t>
        </is>
      </c>
      <c r="D129" s="2" t="inlineStr">
        <is>
          <t>Black Temple</t>
        </is>
      </c>
      <c r="E129" s="2" t="inlineStr">
        <is>
          <t>tattoo studio</t>
        </is>
      </c>
      <c r="F129" s="2" t="inlineStr">
        <is>
          <t>Townsville</t>
        </is>
      </c>
      <c r="G129" s="2" t="inlineStr">
        <is>
          <t>Instagram</t>
        </is>
      </c>
      <c r="H129" s="4" t="inlineStr">
        <is>
          <t>https://www.instagram.com/blacktempletattootsv</t>
        </is>
      </c>
      <c r="I129" s="4" t="inlineStr">
        <is>
          <t>https://www.facebook.com/blacktempletattootownsville</t>
        </is>
      </c>
      <c r="J129" s="2" t="inlineStr">
        <is>
          <t>+61 435 822 760</t>
        </is>
      </c>
      <c r="K129" s="4" t="inlineStr">
        <is>
          <t>https://blacktempletattoo.com.au</t>
        </is>
      </c>
      <c r="L129" s="2" t="inlineStr">
        <is>
          <t>security certificate error (browsers warn visitors away)</t>
        </is>
      </c>
      <c r="M129" s="2" t="inlineStr">
        <is>
          <t>Hi Black Temple team! [one real detail from their page]. We're AceAds, a web design studio. We noticed your website shows a 'Not secure' warning when it's opened on a phone. We'd be happy to make you a free preview of what a website could look like. Want one? No cost, no obligation.</t>
        </is>
      </c>
      <c r="N129" s="4" t="inlineStr">
        <is>
          <t>Open map</t>
        </is>
      </c>
      <c r="O129" s="2" t="inlineStr">
        <is>
          <t>Not contacted</t>
        </is>
      </c>
      <c r="P129" s="2" t="inlineStr"/>
      <c r="Q129" s="2" t="inlineStr"/>
      <c r="R129" s="2" t="inlineStr"/>
      <c r="S129" s="2" t="inlineStr"/>
    </row>
    <row r="130">
      <c r="A130" s="2" t="n">
        <v>129</v>
      </c>
      <c r="B130" s="5" t="inlineStr">
        <is>
          <t>VERIFY FIRST</t>
        </is>
      </c>
      <c r="C130" s="2" t="inlineStr">
        <is>
          <t>No website found</t>
        </is>
      </c>
      <c r="D130" s="2" t="inlineStr">
        <is>
          <t>Kenmore Village Bakery</t>
        </is>
      </c>
      <c r="E130" s="2" t="inlineStr">
        <is>
          <t>bakery</t>
        </is>
      </c>
      <c r="F130" s="2" t="inlineStr">
        <is>
          <t>Brisbane</t>
        </is>
      </c>
      <c r="G130" s="2" t="inlineStr">
        <is>
          <t>Facebook</t>
        </is>
      </c>
      <c r="H130" s="2" t="inlineStr"/>
      <c r="I130" s="4" t="inlineStr">
        <is>
          <t>https://www.facebook.com/kenmorebakery/</t>
        </is>
      </c>
      <c r="J130" s="2" t="inlineStr"/>
      <c r="K130" s="2" t="inlineStr"/>
      <c r="L130" s="2" t="inlineStr">
        <is>
          <t>no website listed, only social media (verify on Google Maps)</t>
        </is>
      </c>
      <c r="M130" s="2" t="inlineStr">
        <is>
          <t>Hi Kenmore Village Bakery team! [one real detail from their page]. We're AceAds, a web design studio. We couldn't find a website for Kenmore Village Bakery, only your Facebook. We'd be happy to make you a free preview of what a website could look like. Want one? No cost, no obligation.</t>
        </is>
      </c>
      <c r="N130" s="4" t="inlineStr">
        <is>
          <t>Open map</t>
        </is>
      </c>
      <c r="O130" s="2" t="inlineStr">
        <is>
          <t>Not contacted</t>
        </is>
      </c>
      <c r="P130" s="2" t="inlineStr"/>
      <c r="Q130" s="2" t="inlineStr"/>
      <c r="R130" s="2" t="inlineStr"/>
      <c r="S130" s="2" t="inlineStr"/>
    </row>
    <row r="131">
      <c r="A131" s="2" t="n">
        <v>130</v>
      </c>
      <c r="B131" s="5" t="inlineStr">
        <is>
          <t>VERIFY FIRST</t>
        </is>
      </c>
      <c r="C131" s="2" t="inlineStr">
        <is>
          <t>No website found</t>
        </is>
      </c>
      <c r="D131" s="2" t="inlineStr">
        <is>
          <t>Mount Cotton Sourdough Bakers</t>
        </is>
      </c>
      <c r="E131" s="2" t="inlineStr">
        <is>
          <t>bakery</t>
        </is>
      </c>
      <c r="F131" s="2" t="inlineStr">
        <is>
          <t>Brisbane</t>
        </is>
      </c>
      <c r="G131" s="2" t="inlineStr">
        <is>
          <t>Facebook</t>
        </is>
      </c>
      <c r="H131" s="2" t="inlineStr"/>
      <c r="I131" s="4" t="inlineStr">
        <is>
          <t>https://www.facebook.com/Mountcottonsourdoughbakers/</t>
        </is>
      </c>
      <c r="J131" s="2" t="inlineStr"/>
      <c r="K131" s="2" t="inlineStr"/>
      <c r="L131" s="2" t="inlineStr">
        <is>
          <t>no website listed, only social media (verify on Google Maps)</t>
        </is>
      </c>
      <c r="M131" s="2" t="inlineStr">
        <is>
          <t>Hi Mount Cotton Sourdough Bakers team! [one real detail from their page]. We're AceAds, a web design studio. We couldn't find a website for Mount Cotton Sourdough Bakers, only your Facebook. We'd be happy to make you a free preview of what a website could look like. Want one? No cost, no obligation.</t>
        </is>
      </c>
      <c r="N131" s="4" t="inlineStr">
        <is>
          <t>Open map</t>
        </is>
      </c>
      <c r="O131" s="2" t="inlineStr">
        <is>
          <t>Not contacted</t>
        </is>
      </c>
      <c r="P131" s="2" t="inlineStr"/>
      <c r="Q131" s="2" t="inlineStr"/>
      <c r="R131" s="2" t="inlineStr"/>
      <c r="S131" s="2" t="inlineStr"/>
    </row>
    <row r="132">
      <c r="A132" s="2" t="n">
        <v>131</v>
      </c>
      <c r="B132" s="5" t="inlineStr">
        <is>
          <t>VERIFY FIRST</t>
        </is>
      </c>
      <c r="C132" s="2" t="inlineStr">
        <is>
          <t>No website found</t>
        </is>
      </c>
      <c r="D132" s="2" t="inlineStr">
        <is>
          <t>Mountview Bakehouse</t>
        </is>
      </c>
      <c r="E132" s="2" t="inlineStr">
        <is>
          <t>bakery</t>
        </is>
      </c>
      <c r="F132" s="2" t="inlineStr">
        <is>
          <t>Brisbane</t>
        </is>
      </c>
      <c r="G132" s="2" t="inlineStr">
        <is>
          <t>Facebook</t>
        </is>
      </c>
      <c r="H132" s="2" t="inlineStr"/>
      <c r="I132" s="4" t="inlineStr">
        <is>
          <t>https://www.facebook.com/mountviewbakehouse/</t>
        </is>
      </c>
      <c r="J132" s="2" t="inlineStr"/>
      <c r="K132" s="2" t="inlineStr"/>
      <c r="L132" s="2" t="inlineStr">
        <is>
          <t>no website listed, only social media (verify on Google Maps)</t>
        </is>
      </c>
      <c r="M132" s="2" t="inlineStr">
        <is>
          <t>Hi Mountview Bakehouse team! [one real detail from their page]. We're AceAds, a web design studio. We couldn't find a website for Mountview Bakehouse, only your Facebook. We'd be happy to make you a free preview of what a website could look like. Want one? No cost, no obligation.</t>
        </is>
      </c>
      <c r="N132" s="4" t="inlineStr">
        <is>
          <t>Open map</t>
        </is>
      </c>
      <c r="O132" s="2" t="inlineStr">
        <is>
          <t>Not contacted</t>
        </is>
      </c>
      <c r="P132" s="2" t="inlineStr"/>
      <c r="Q132" s="2" t="inlineStr"/>
      <c r="R132" s="2" t="inlineStr"/>
      <c r="S132" s="2" t="inlineStr"/>
    </row>
    <row r="133">
      <c r="A133" s="2" t="n">
        <v>132</v>
      </c>
      <c r="B133" s="5" t="inlineStr">
        <is>
          <t>VERIFY FIRST</t>
        </is>
      </c>
      <c r="C133" s="2" t="inlineStr">
        <is>
          <t>No website found</t>
        </is>
      </c>
      <c r="D133" s="2" t="inlineStr">
        <is>
          <t>Mum's Bakehouse</t>
        </is>
      </c>
      <c r="E133" s="2" t="inlineStr">
        <is>
          <t>bakery</t>
        </is>
      </c>
      <c r="F133" s="2" t="inlineStr">
        <is>
          <t>Brisbane</t>
        </is>
      </c>
      <c r="G133" s="2" t="inlineStr">
        <is>
          <t>Facebook</t>
        </is>
      </c>
      <c r="H133" s="2" t="inlineStr"/>
      <c r="I133" s="4" t="inlineStr">
        <is>
          <t>https://www.facebook.com/kedronmumsbakehouse/?_rdr</t>
        </is>
      </c>
      <c r="J133" s="2" t="inlineStr">
        <is>
          <t>+61 403 998 838</t>
        </is>
      </c>
      <c r="K133" s="2" t="inlineStr"/>
      <c r="L133" s="2" t="inlineStr">
        <is>
          <t>no website listed, only social media (verify on Google Maps)</t>
        </is>
      </c>
      <c r="M133" s="2" t="inlineStr">
        <is>
          <t>Hi Mum's Bakehouse team! [one real detail from their page]. We're AceAds, a web design studio. We couldn't find a website for Mum's Bakehouse, only your Facebook. We'd be happy to make you a free preview of what a website could look like. Want one? No cost, no obligation.</t>
        </is>
      </c>
      <c r="N133" s="4" t="inlineStr">
        <is>
          <t>Open map</t>
        </is>
      </c>
      <c r="O133" s="2" t="inlineStr">
        <is>
          <t>Not contacted</t>
        </is>
      </c>
      <c r="P133" s="2" t="inlineStr"/>
      <c r="Q133" s="2" t="inlineStr"/>
      <c r="R133" s="2" t="inlineStr"/>
      <c r="S133" s="2" t="inlineStr"/>
    </row>
    <row r="134">
      <c r="A134" s="2" t="n">
        <v>133</v>
      </c>
      <c r="B134" s="5" t="inlineStr">
        <is>
          <t>VERIFY FIRST</t>
        </is>
      </c>
      <c r="C134" s="2" t="inlineStr">
        <is>
          <t>No website found</t>
        </is>
      </c>
      <c r="D134" s="2" t="inlineStr">
        <is>
          <t>88 BILLIARDS</t>
        </is>
      </c>
      <c r="E134" s="2" t="inlineStr">
        <is>
          <t>bar or pub</t>
        </is>
      </c>
      <c r="F134" s="2" t="inlineStr">
        <is>
          <t>Brisbane</t>
        </is>
      </c>
      <c r="G134" s="2" t="inlineStr">
        <is>
          <t>Instagram</t>
        </is>
      </c>
      <c r="H134" s="4" t="inlineStr">
        <is>
          <t>https://www.instagram.com/88billiards</t>
        </is>
      </c>
      <c r="I134" s="2" t="inlineStr"/>
      <c r="J134" s="2" t="inlineStr">
        <is>
          <t>+61 416 253 407</t>
        </is>
      </c>
      <c r="K134" s="2" t="inlineStr"/>
      <c r="L134" s="2" t="inlineStr">
        <is>
          <t>no website listed, only social media (verify on Google Maps)</t>
        </is>
      </c>
      <c r="M134" s="2" t="inlineStr">
        <is>
          <t>Hi 88 BILLIARDS team! [one real detail from their page]. We're AceAds, a web design studio. We couldn't find a website for 88 BILLIARDS, only your Instagram. We'd be happy to make you a free preview of what a website could look like. Want one? No cost, no obligation.</t>
        </is>
      </c>
      <c r="N134" s="4" t="inlineStr">
        <is>
          <t>Open map</t>
        </is>
      </c>
      <c r="O134" s="2" t="inlineStr">
        <is>
          <t>Not contacted</t>
        </is>
      </c>
      <c r="P134" s="2" t="inlineStr"/>
      <c r="Q134" s="2" t="inlineStr"/>
      <c r="R134" s="2" t="inlineStr"/>
      <c r="S134" s="2" t="inlineStr"/>
    </row>
    <row r="135">
      <c r="A135" s="2" t="n">
        <v>134</v>
      </c>
      <c r="B135" s="5" t="inlineStr">
        <is>
          <t>VERIFY FIRST</t>
        </is>
      </c>
      <c r="C135" s="2" t="inlineStr">
        <is>
          <t>No website found</t>
        </is>
      </c>
      <c r="D135" s="2" t="inlineStr">
        <is>
          <t>Bar Cooper's</t>
        </is>
      </c>
      <c r="E135" s="2" t="inlineStr">
        <is>
          <t>bar or pub</t>
        </is>
      </c>
      <c r="F135" s="2" t="inlineStr">
        <is>
          <t>Brisbane</t>
        </is>
      </c>
      <c r="G135" s="2" t="inlineStr">
        <is>
          <t>Instagram</t>
        </is>
      </c>
      <c r="H135" s="4" t="inlineStr">
        <is>
          <t>https://www.instagram.com/barcoopers.bne</t>
        </is>
      </c>
      <c r="I135" s="2" t="inlineStr"/>
      <c r="J135" s="2" t="inlineStr"/>
      <c r="K135" s="2" t="inlineStr"/>
      <c r="L135" s="2" t="inlineStr">
        <is>
          <t>no website listed, only social media (verify on Google Maps)</t>
        </is>
      </c>
      <c r="M135" s="2" t="inlineStr">
        <is>
          <t>Hi Bar Cooper's team! [one real detail from their page]. We're AceAds, a web design studio. We couldn't find a website for Bar Cooper's, only your Instagram. We'd be happy to make you a free preview of what a website could look like. Want one? No cost, no obligation.</t>
        </is>
      </c>
      <c r="N135" s="4" t="inlineStr">
        <is>
          <t>Open map</t>
        </is>
      </c>
      <c r="O135" s="2" t="inlineStr">
        <is>
          <t>Not contacted</t>
        </is>
      </c>
      <c r="P135" s="2" t="inlineStr"/>
      <c r="Q135" s="2" t="inlineStr"/>
      <c r="R135" s="2" t="inlineStr"/>
      <c r="S135" s="2" t="inlineStr"/>
    </row>
    <row r="136">
      <c r="A136" s="2" t="n">
        <v>135</v>
      </c>
      <c r="B136" s="5" t="inlineStr">
        <is>
          <t>VERIFY FIRST</t>
        </is>
      </c>
      <c r="C136" s="2" t="inlineStr">
        <is>
          <t>No website found</t>
        </is>
      </c>
      <c r="D136" s="2" t="inlineStr">
        <is>
          <t>Maker</t>
        </is>
      </c>
      <c r="E136" s="2" t="inlineStr">
        <is>
          <t>bar or pub</t>
        </is>
      </c>
      <c r="F136" s="2" t="inlineStr">
        <is>
          <t>Brisbane</t>
        </is>
      </c>
      <c r="G136" s="2" t="inlineStr">
        <is>
          <t>Instagram</t>
        </is>
      </c>
      <c r="H136" s="4" t="inlineStr">
        <is>
          <t>https://www.instagram.com/makerbrisbane/</t>
        </is>
      </c>
      <c r="I136" s="2" t="inlineStr"/>
      <c r="J136" s="2" t="inlineStr"/>
      <c r="K136" s="2" t="inlineStr"/>
      <c r="L136" s="2" t="inlineStr">
        <is>
          <t>no website listed, only social media (verify on Google Maps)</t>
        </is>
      </c>
      <c r="M136" s="2" t="inlineStr">
        <is>
          <t>Hi Maker team! [one real detail from their page]. We're AceAds, a web design studio. We couldn't find a website for Maker, only your Instagram. We'd be happy to make you a free preview of what a website could look like. Want one? No cost, no obligation.</t>
        </is>
      </c>
      <c r="N136" s="4" t="inlineStr">
        <is>
          <t>Open map</t>
        </is>
      </c>
      <c r="O136" s="2" t="inlineStr">
        <is>
          <t>Not contacted</t>
        </is>
      </c>
      <c r="P136" s="2" t="inlineStr"/>
      <c r="Q136" s="2" t="inlineStr"/>
      <c r="R136" s="2" t="inlineStr"/>
      <c r="S136" s="2" t="inlineStr"/>
    </row>
    <row r="137">
      <c r="A137" s="2" t="n">
        <v>136</v>
      </c>
      <c r="B137" s="5" t="inlineStr">
        <is>
          <t>VERIFY FIRST</t>
        </is>
      </c>
      <c r="C137" s="2" t="inlineStr">
        <is>
          <t>No website found</t>
        </is>
      </c>
      <c r="D137" s="2" t="inlineStr">
        <is>
          <t>Stafford Tavern</t>
        </is>
      </c>
      <c r="E137" s="2" t="inlineStr">
        <is>
          <t>bar or pub</t>
        </is>
      </c>
      <c r="F137" s="2" t="inlineStr">
        <is>
          <t>Brisbane</t>
        </is>
      </c>
      <c r="G137" s="2" t="inlineStr">
        <is>
          <t>Facebook</t>
        </is>
      </c>
      <c r="H137" s="2" t="inlineStr"/>
      <c r="I137" s="4" t="inlineStr">
        <is>
          <t>https://www.facebook.com/thestaffordtavern</t>
        </is>
      </c>
      <c r="J137" s="2" t="inlineStr">
        <is>
          <t>+61 7 3513 2100</t>
        </is>
      </c>
      <c r="K137" s="2" t="inlineStr"/>
      <c r="L137" s="2" t="inlineStr">
        <is>
          <t>no website listed, only social media (verify on Google Maps)</t>
        </is>
      </c>
      <c r="M137" s="2" t="inlineStr">
        <is>
          <t>Hi Stafford Tavern team! [one real detail from their page]. We're AceAds, a web design studio. We couldn't find a website for Stafford Tavern, only your Facebook. We'd be happy to make you a free preview of what a website could look like. Want one? No cost, no obligation.</t>
        </is>
      </c>
      <c r="N137" s="4" t="inlineStr">
        <is>
          <t>Open map</t>
        </is>
      </c>
      <c r="O137" s="2" t="inlineStr">
        <is>
          <t>Not contacted</t>
        </is>
      </c>
      <c r="P137" s="2" t="inlineStr"/>
      <c r="Q137" s="2" t="inlineStr"/>
      <c r="R137" s="2" t="inlineStr"/>
      <c r="S137" s="2" t="inlineStr"/>
    </row>
    <row r="138">
      <c r="A138" s="2" t="n">
        <v>137</v>
      </c>
      <c r="B138" s="5" t="inlineStr">
        <is>
          <t>VERIFY FIRST</t>
        </is>
      </c>
      <c r="C138" s="2" t="inlineStr">
        <is>
          <t>No website found</t>
        </is>
      </c>
      <c r="D138" s="2" t="inlineStr">
        <is>
          <t>Suburban Social</t>
        </is>
      </c>
      <c r="E138" s="2" t="inlineStr">
        <is>
          <t>bar or pub</t>
        </is>
      </c>
      <c r="F138" s="2" t="inlineStr">
        <is>
          <t>Brisbane</t>
        </is>
      </c>
      <c r="G138" s="2" t="inlineStr">
        <is>
          <t>Facebook</t>
        </is>
      </c>
      <c r="H138" s="2" t="inlineStr"/>
      <c r="I138" s="4" t="inlineStr">
        <is>
          <t>https://www.facebook.com/SuburbanSocialNeighbourhoodBarandKitchen/</t>
        </is>
      </c>
      <c r="J138" s="2" t="inlineStr"/>
      <c r="K138" s="2" t="inlineStr"/>
      <c r="L138" s="2" t="inlineStr">
        <is>
          <t>no website listed, only social media (verify on Google Maps)</t>
        </is>
      </c>
      <c r="M138" s="2" t="inlineStr">
        <is>
          <t>Hi Suburban Social team! [one real detail from their page]. We're AceAds, a web design studio. We couldn't find a website for Suburban Social, only your Facebook. We'd be happy to make you a free preview of what a website could look like. Want one? No cost, no obligation.</t>
        </is>
      </c>
      <c r="N138" s="4" t="inlineStr">
        <is>
          <t>Open map</t>
        </is>
      </c>
      <c r="O138" s="2" t="inlineStr">
        <is>
          <t>Not contacted</t>
        </is>
      </c>
      <c r="P138" s="2" t="inlineStr"/>
      <c r="Q138" s="2" t="inlineStr"/>
      <c r="R138" s="2" t="inlineStr"/>
      <c r="S138" s="2" t="inlineStr"/>
    </row>
    <row r="139">
      <c r="A139" s="2" t="n">
        <v>138</v>
      </c>
      <c r="B139" s="5" t="inlineStr">
        <is>
          <t>VERIFY FIRST</t>
        </is>
      </c>
      <c r="C139" s="2" t="inlineStr">
        <is>
          <t>No website found</t>
        </is>
      </c>
      <c r="D139" s="2" t="inlineStr">
        <is>
          <t>Brookfield Hair Studio</t>
        </is>
      </c>
      <c r="E139" s="2" t="inlineStr">
        <is>
          <t>barber or hairdresser</t>
        </is>
      </c>
      <c r="F139" s="2" t="inlineStr">
        <is>
          <t>Brisbane</t>
        </is>
      </c>
      <c r="G139" s="2" t="inlineStr">
        <is>
          <t>Facebook</t>
        </is>
      </c>
      <c r="H139" s="2" t="inlineStr"/>
      <c r="I139" s="4" t="inlineStr">
        <is>
          <t>https://www.facebook.com/brookfieldhairstudio</t>
        </is>
      </c>
      <c r="J139" s="2" t="inlineStr">
        <is>
          <t>+61 7 3374 1088</t>
        </is>
      </c>
      <c r="K139" s="2" t="inlineStr"/>
      <c r="L139" s="2" t="inlineStr">
        <is>
          <t>no website listed, only social media (verify on Google Maps)</t>
        </is>
      </c>
      <c r="M139" s="2" t="inlineStr">
        <is>
          <t>Hi Brookfield Hair Studio team! [one real detail from their page]. We're AceAds, a web design studio. We couldn't find a website for Brookfield Hair Studio, only your Facebook. We'd be happy to make you a free preview of what a website could look like. Want one? No cost, no obligation.</t>
        </is>
      </c>
      <c r="N139" s="4" t="inlineStr">
        <is>
          <t>Open map</t>
        </is>
      </c>
      <c r="O139" s="2" t="inlineStr">
        <is>
          <t>Not contacted</t>
        </is>
      </c>
      <c r="P139" s="2" t="inlineStr"/>
      <c r="Q139" s="2" t="inlineStr"/>
      <c r="R139" s="2" t="inlineStr"/>
      <c r="S139" s="2" t="inlineStr"/>
    </row>
    <row r="140">
      <c r="A140" s="2" t="n">
        <v>139</v>
      </c>
      <c r="B140" s="5" t="inlineStr">
        <is>
          <t>VERIFY FIRST</t>
        </is>
      </c>
      <c r="C140" s="2" t="inlineStr">
        <is>
          <t>No website found</t>
        </is>
      </c>
      <c r="D140" s="2" t="inlineStr">
        <is>
          <t>Charlie Parrella Hairdresser</t>
        </is>
      </c>
      <c r="E140" s="2" t="inlineStr">
        <is>
          <t>barber or hairdresser</t>
        </is>
      </c>
      <c r="F140" s="2" t="inlineStr">
        <is>
          <t>Brisbane</t>
        </is>
      </c>
      <c r="G140" s="2" t="inlineStr">
        <is>
          <t>Facebook</t>
        </is>
      </c>
      <c r="H140" s="2" t="inlineStr"/>
      <c r="I140" s="4" t="inlineStr">
        <is>
          <t>https://www.facebook.com/483499168383610</t>
        </is>
      </c>
      <c r="J140" s="2" t="inlineStr">
        <is>
          <t>+61 424 039 183</t>
        </is>
      </c>
      <c r="K140" s="2" t="inlineStr"/>
      <c r="L140" s="2" t="inlineStr">
        <is>
          <t>no website listed, only social media (verify on Google Maps)</t>
        </is>
      </c>
      <c r="M140" s="2" t="inlineStr">
        <is>
          <t>Hi Charlie Parrella Hairdresser team! [one real detail from their page]. We're AceAds, a web design studio. We couldn't find a website for Charlie Parrella Hairdresser, only your Facebook. We'd be happy to make you a free preview of what a website could look like. Want one? No cost, no obligation.</t>
        </is>
      </c>
      <c r="N140" s="4" t="inlineStr">
        <is>
          <t>Open map</t>
        </is>
      </c>
      <c r="O140" s="2" t="inlineStr">
        <is>
          <t>Not contacted</t>
        </is>
      </c>
      <c r="P140" s="2" t="inlineStr"/>
      <c r="Q140" s="2" t="inlineStr"/>
      <c r="R140" s="2" t="inlineStr"/>
      <c r="S140" s="2" t="inlineStr"/>
    </row>
    <row r="141">
      <c r="A141" s="2" t="n">
        <v>140</v>
      </c>
      <c r="B141" s="5" t="inlineStr">
        <is>
          <t>VERIFY FIRST</t>
        </is>
      </c>
      <c r="C141" s="2" t="inlineStr">
        <is>
          <t>No website found</t>
        </is>
      </c>
      <c r="D141" s="2" t="inlineStr">
        <is>
          <t>Eddy’s Barber Shop</t>
        </is>
      </c>
      <c r="E141" s="2" t="inlineStr">
        <is>
          <t>barber or hairdresser</t>
        </is>
      </c>
      <c r="F141" s="2" t="inlineStr">
        <is>
          <t>Brisbane</t>
        </is>
      </c>
      <c r="G141" s="2" t="inlineStr">
        <is>
          <t>Facebook</t>
        </is>
      </c>
      <c r="H141" s="2" t="inlineStr"/>
      <c r="I141" s="4" t="inlineStr">
        <is>
          <t>https://www.facebook.com/Moorooka/</t>
        </is>
      </c>
      <c r="J141" s="2" t="inlineStr"/>
      <c r="K141" s="2" t="inlineStr"/>
      <c r="L141" s="2" t="inlineStr">
        <is>
          <t>no website listed, only social media (verify on Google Maps)</t>
        </is>
      </c>
      <c r="M141" s="2" t="inlineStr">
        <is>
          <t>Hi Eddy’s Barber Shop team! [one real detail from their page]. We're AceAds, a web design studio. We couldn't find a website for Eddy’s Barber Shop, only your Facebook. We'd be happy to make you a free preview of what a website could look like. Want one? No cost, no obligation.</t>
        </is>
      </c>
      <c r="N141" s="4" t="inlineStr">
        <is>
          <t>Open map</t>
        </is>
      </c>
      <c r="O141" s="2" t="inlineStr">
        <is>
          <t>Not contacted</t>
        </is>
      </c>
      <c r="P141" s="2" t="inlineStr"/>
      <c r="Q141" s="2" t="inlineStr"/>
      <c r="R141" s="2" t="inlineStr"/>
      <c r="S141" s="2" t="inlineStr"/>
    </row>
    <row r="142">
      <c r="A142" s="2" t="n">
        <v>141</v>
      </c>
      <c r="B142" s="5" t="inlineStr">
        <is>
          <t>VERIFY FIRST</t>
        </is>
      </c>
      <c r="C142" s="2" t="inlineStr">
        <is>
          <t>No website found</t>
        </is>
      </c>
      <c r="D142" s="2" t="inlineStr">
        <is>
          <t>Hair to be</t>
        </is>
      </c>
      <c r="E142" s="2" t="inlineStr">
        <is>
          <t>barber or hairdresser</t>
        </is>
      </c>
      <c r="F142" s="2" t="inlineStr">
        <is>
          <t>Brisbane</t>
        </is>
      </c>
      <c r="G142" s="2" t="inlineStr">
        <is>
          <t>Instagram</t>
        </is>
      </c>
      <c r="H142" s="4" t="inlineStr">
        <is>
          <t>https://www.instagram.com/hairtobeaustralia/</t>
        </is>
      </c>
      <c r="I142" s="2" t="inlineStr"/>
      <c r="J142" s="2" t="inlineStr">
        <is>
          <t>+61 7 3134 2526</t>
        </is>
      </c>
      <c r="K142" s="2" t="inlineStr"/>
      <c r="L142" s="2" t="inlineStr">
        <is>
          <t>no website listed, only social media (verify on Google Maps)</t>
        </is>
      </c>
      <c r="M142" s="2" t="inlineStr">
        <is>
          <t>Hi Hair to be team! [one real detail from their page]. We're AceAds, a web design studio. We couldn't find a website for Hair to be, only your Instagram. We'd be happy to make you a free preview of what a website could look like. Want one? No cost, no obligation.</t>
        </is>
      </c>
      <c r="N142" s="4" t="inlineStr">
        <is>
          <t>Open map</t>
        </is>
      </c>
      <c r="O142" s="2" t="inlineStr">
        <is>
          <t>Not contacted</t>
        </is>
      </c>
      <c r="P142" s="2" t="inlineStr"/>
      <c r="Q142" s="2" t="inlineStr"/>
      <c r="R142" s="2" t="inlineStr"/>
      <c r="S142" s="2" t="inlineStr"/>
    </row>
    <row r="143">
      <c r="A143" s="2" t="n">
        <v>142</v>
      </c>
      <c r="B143" s="5" t="inlineStr">
        <is>
          <t>VERIFY FIRST</t>
        </is>
      </c>
      <c r="C143" s="2" t="inlineStr">
        <is>
          <t>No website found</t>
        </is>
      </c>
      <c r="D143" s="2" t="inlineStr">
        <is>
          <t>Hikari Hair Studio</t>
        </is>
      </c>
      <c r="E143" s="2" t="inlineStr">
        <is>
          <t>barber or hairdresser</t>
        </is>
      </c>
      <c r="F143" s="2" t="inlineStr">
        <is>
          <t>Brisbane</t>
        </is>
      </c>
      <c r="G143" s="2" t="inlineStr">
        <is>
          <t>Facebook</t>
        </is>
      </c>
      <c r="H143" s="2" t="inlineStr"/>
      <c r="I143" s="4" t="inlineStr">
        <is>
          <t>https://www.facebook.com/hikarihairstudio</t>
        </is>
      </c>
      <c r="J143" s="2" t="inlineStr"/>
      <c r="K143" s="2" t="inlineStr"/>
      <c r="L143" s="2" t="inlineStr">
        <is>
          <t>no website listed, only social media (verify on Google Maps)</t>
        </is>
      </c>
      <c r="M143" s="2" t="inlineStr">
        <is>
          <t>Hi Hikari Hair Studio team! [one real detail from their page]. We're AceAds, a web design studio. We couldn't find a website for Hikari Hair Studio, only your Facebook. We'd be happy to make you a free preview of what a website could look like. Want one? No cost, no obligation.</t>
        </is>
      </c>
      <c r="N143" s="4" t="inlineStr">
        <is>
          <t>Open map</t>
        </is>
      </c>
      <c r="O143" s="2" t="inlineStr">
        <is>
          <t>Not contacted</t>
        </is>
      </c>
      <c r="P143" s="2" t="inlineStr"/>
      <c r="Q143" s="2" t="inlineStr"/>
      <c r="R143" s="2" t="inlineStr"/>
      <c r="S143" s="2" t="inlineStr"/>
    </row>
    <row r="144">
      <c r="A144" s="2" t="n">
        <v>143</v>
      </c>
      <c r="B144" s="5" t="inlineStr">
        <is>
          <t>VERIFY FIRST</t>
        </is>
      </c>
      <c r="C144" s="2" t="inlineStr">
        <is>
          <t>No website found</t>
        </is>
      </c>
      <c r="D144" s="2" t="inlineStr">
        <is>
          <t>Jack's Barber</t>
        </is>
      </c>
      <c r="E144" s="2" t="inlineStr">
        <is>
          <t>barber or hairdresser</t>
        </is>
      </c>
      <c r="F144" s="2" t="inlineStr">
        <is>
          <t>Brisbane</t>
        </is>
      </c>
      <c r="G144" s="2" t="inlineStr">
        <is>
          <t>Facebook</t>
        </is>
      </c>
      <c r="H144" s="2" t="inlineStr"/>
      <c r="I144" s="4" t="inlineStr">
        <is>
          <t>https://www.facebook.com/jacksbarber4171</t>
        </is>
      </c>
      <c r="J144" s="2" t="inlineStr">
        <is>
          <t>+61 7 3399 9900</t>
        </is>
      </c>
      <c r="K144" s="2" t="inlineStr"/>
      <c r="L144" s="2" t="inlineStr">
        <is>
          <t>no website listed, only social media (verify on Google Maps)</t>
        </is>
      </c>
      <c r="M144" s="2" t="inlineStr">
        <is>
          <t>Hi Jack's Barber team! [one real detail from their page]. We're AceAds, a web design studio. We couldn't find a website for Jack's Barber, only your Facebook. We'd be happy to make you a free preview of what a website could look like. Want one? No cost, no obligation.</t>
        </is>
      </c>
      <c r="N144" s="4" t="inlineStr">
        <is>
          <t>Open map</t>
        </is>
      </c>
      <c r="O144" s="2" t="inlineStr">
        <is>
          <t>Not contacted</t>
        </is>
      </c>
      <c r="P144" s="2" t="inlineStr"/>
      <c r="Q144" s="2" t="inlineStr"/>
      <c r="R144" s="2" t="inlineStr"/>
      <c r="S144" s="2" t="inlineStr"/>
    </row>
    <row r="145">
      <c r="A145" s="2" t="n">
        <v>144</v>
      </c>
      <c r="B145" s="5" t="inlineStr">
        <is>
          <t>VERIFY FIRST</t>
        </is>
      </c>
      <c r="C145" s="2" t="inlineStr">
        <is>
          <t>No website found</t>
        </is>
      </c>
      <c r="D145" s="2" t="inlineStr">
        <is>
          <t>Jules &amp; Ginger</t>
        </is>
      </c>
      <c r="E145" s="2" t="inlineStr">
        <is>
          <t>barber or hairdresser</t>
        </is>
      </c>
      <c r="F145" s="2" t="inlineStr">
        <is>
          <t>Brisbane</t>
        </is>
      </c>
      <c r="G145" s="2" t="inlineStr">
        <is>
          <t>Facebook</t>
        </is>
      </c>
      <c r="H145" s="2" t="inlineStr"/>
      <c r="I145" s="4" t="inlineStr">
        <is>
          <t>https://www.facebook.com/julesandginger</t>
        </is>
      </c>
      <c r="J145" s="2" t="inlineStr"/>
      <c r="K145" s="2" t="inlineStr"/>
      <c r="L145" s="2" t="inlineStr">
        <is>
          <t>no website listed, only social media (verify on Google Maps)</t>
        </is>
      </c>
      <c r="M145" s="2" t="inlineStr">
        <is>
          <t>Hi Jules &amp; Ginger team! [one real detail from their page]. We're AceAds, a web design studio. We couldn't find a website for Jules &amp; Ginger, only your Facebook. We'd be happy to make you a free preview of what a website could look like. Want one? No cost, no obligation.</t>
        </is>
      </c>
      <c r="N145" s="4" t="inlineStr">
        <is>
          <t>Open map</t>
        </is>
      </c>
      <c r="O145" s="2" t="inlineStr">
        <is>
          <t>Not contacted</t>
        </is>
      </c>
      <c r="P145" s="2" t="inlineStr"/>
      <c r="Q145" s="2" t="inlineStr"/>
      <c r="R145" s="2" t="inlineStr"/>
      <c r="S145" s="2" t="inlineStr"/>
    </row>
    <row r="146">
      <c r="A146" s="2" t="n">
        <v>145</v>
      </c>
      <c r="B146" s="5" t="inlineStr">
        <is>
          <t>VERIFY FIRST</t>
        </is>
      </c>
      <c r="C146" s="2" t="inlineStr">
        <is>
          <t>No website found</t>
        </is>
      </c>
      <c r="D146" s="2" t="inlineStr">
        <is>
          <t>Kaija Hairdresser</t>
        </is>
      </c>
      <c r="E146" s="2" t="inlineStr">
        <is>
          <t>barber or hairdresser</t>
        </is>
      </c>
      <c r="F146" s="2" t="inlineStr">
        <is>
          <t>Brisbane</t>
        </is>
      </c>
      <c r="G146" s="2" t="inlineStr">
        <is>
          <t>Facebook</t>
        </is>
      </c>
      <c r="H146" s="2" t="inlineStr"/>
      <c r="I146" s="4" t="inlineStr">
        <is>
          <t>https://www.facebook.com/p/Kaija-hairdressing-make-up--100054313728630/</t>
        </is>
      </c>
      <c r="J146" s="2" t="inlineStr">
        <is>
          <t>+61 414 568 084</t>
        </is>
      </c>
      <c r="K146" s="2" t="inlineStr"/>
      <c r="L146" s="2" t="inlineStr">
        <is>
          <t>no website listed, only social media (verify on Google Maps)</t>
        </is>
      </c>
      <c r="M146" s="2" t="inlineStr">
        <is>
          <t>Hi Kaija Hairdresser team! [one real detail from their page]. We're AceAds, a web design studio. We couldn't find a website for Kaija Hairdresser, only your Facebook. We'd be happy to make you a free preview of what a website could look like. Want one? No cost, no obligation.</t>
        </is>
      </c>
      <c r="N146" s="4" t="inlineStr">
        <is>
          <t>Open map</t>
        </is>
      </c>
      <c r="O146" s="2" t="inlineStr">
        <is>
          <t>Not contacted</t>
        </is>
      </c>
      <c r="P146" s="2" t="inlineStr"/>
      <c r="Q146" s="2" t="inlineStr"/>
      <c r="R146" s="2" t="inlineStr"/>
      <c r="S146" s="2" t="inlineStr"/>
    </row>
    <row r="147">
      <c r="A147" s="2" t="n">
        <v>146</v>
      </c>
      <c r="B147" s="5" t="inlineStr">
        <is>
          <t>VERIFY FIRST</t>
        </is>
      </c>
      <c r="C147" s="2" t="inlineStr">
        <is>
          <t>No website found</t>
        </is>
      </c>
      <c r="D147" s="2" t="inlineStr">
        <is>
          <t>MC Barbers</t>
        </is>
      </c>
      <c r="E147" s="2" t="inlineStr">
        <is>
          <t>barber or hairdresser</t>
        </is>
      </c>
      <c r="F147" s="2" t="inlineStr">
        <is>
          <t>Brisbane</t>
        </is>
      </c>
      <c r="G147" s="2" t="inlineStr">
        <is>
          <t>Facebook</t>
        </is>
      </c>
      <c r="H147" s="2" t="inlineStr"/>
      <c r="I147" s="4" t="inlineStr">
        <is>
          <t>https://www.facebook.com/Mcbarbers2021</t>
        </is>
      </c>
      <c r="J147" s="2" t="inlineStr"/>
      <c r="K147" s="2" t="inlineStr"/>
      <c r="L147" s="2" t="inlineStr">
        <is>
          <t>no website listed, only social media (verify on Google Maps)</t>
        </is>
      </c>
      <c r="M147" s="2" t="inlineStr">
        <is>
          <t>Hi MC Barbers team! [one real detail from their page]. We're AceAds, a web design studio. We couldn't find a website for MC Barbers, only your Facebook. We'd be happy to make you a free preview of what a website could look like. Want one? No cost, no obligation.</t>
        </is>
      </c>
      <c r="N147" s="4" t="inlineStr">
        <is>
          <t>Open map</t>
        </is>
      </c>
      <c r="O147" s="2" t="inlineStr">
        <is>
          <t>Not contacted</t>
        </is>
      </c>
      <c r="P147" s="2" t="inlineStr"/>
      <c r="Q147" s="2" t="inlineStr"/>
      <c r="R147" s="2" t="inlineStr"/>
      <c r="S147" s="2" t="inlineStr"/>
    </row>
    <row r="148">
      <c r="A148" s="2" t="n">
        <v>147</v>
      </c>
      <c r="B148" s="5" t="inlineStr">
        <is>
          <t>VERIFY FIRST</t>
        </is>
      </c>
      <c r="C148" s="2" t="inlineStr">
        <is>
          <t>No website found</t>
        </is>
      </c>
      <c r="D148" s="2" t="inlineStr">
        <is>
          <t>OU Hair</t>
        </is>
      </c>
      <c r="E148" s="2" t="inlineStr">
        <is>
          <t>barber or hairdresser</t>
        </is>
      </c>
      <c r="F148" s="2" t="inlineStr">
        <is>
          <t>Brisbane</t>
        </is>
      </c>
      <c r="G148" s="2" t="inlineStr">
        <is>
          <t>Instagram</t>
        </is>
      </c>
      <c r="H148" s="4" t="inlineStr">
        <is>
          <t>https://www.instagram.com/ouhair_rochedale/?hl=en</t>
        </is>
      </c>
      <c r="I148" s="4" t="inlineStr">
        <is>
          <t>https://www.facebook.com/ouhairRochedale</t>
        </is>
      </c>
      <c r="J148" s="2" t="inlineStr"/>
      <c r="K148" s="2" t="inlineStr"/>
      <c r="L148" s="2" t="inlineStr">
        <is>
          <t>no website listed, only social media (verify on Google Maps)</t>
        </is>
      </c>
      <c r="M148" s="2" t="inlineStr">
        <is>
          <t>Hi OU Hair team! [one real detail from their page]. We're AceAds, a web design studio. We couldn't find a website for OU Hair, only your Instagram. We'd be happy to make you a free preview of what a website could look like. Want one? No cost, no obligation.</t>
        </is>
      </c>
      <c r="N148" s="4" t="inlineStr">
        <is>
          <t>Open map</t>
        </is>
      </c>
      <c r="O148" s="2" t="inlineStr">
        <is>
          <t>Not contacted</t>
        </is>
      </c>
      <c r="P148" s="2" t="inlineStr"/>
      <c r="Q148" s="2" t="inlineStr"/>
      <c r="R148" s="2" t="inlineStr"/>
      <c r="S148" s="2" t="inlineStr"/>
    </row>
    <row r="149">
      <c r="A149" s="2" t="n">
        <v>148</v>
      </c>
      <c r="B149" s="5" t="inlineStr">
        <is>
          <t>VERIFY FIRST</t>
        </is>
      </c>
      <c r="C149" s="2" t="inlineStr">
        <is>
          <t>No website found</t>
        </is>
      </c>
      <c r="D149" s="2" t="inlineStr">
        <is>
          <t>Saba Hair Studio</t>
        </is>
      </c>
      <c r="E149" s="2" t="inlineStr">
        <is>
          <t>barber or hairdresser</t>
        </is>
      </c>
      <c r="F149" s="2" t="inlineStr">
        <is>
          <t>Brisbane</t>
        </is>
      </c>
      <c r="G149" s="2" t="inlineStr">
        <is>
          <t>Facebook</t>
        </is>
      </c>
      <c r="H149" s="2" t="inlineStr"/>
      <c r="I149" s="4" t="inlineStr">
        <is>
          <t>https://www.facebook.com/people/Saba-hair-studio/100083090384553/</t>
        </is>
      </c>
      <c r="J149" s="2" t="inlineStr"/>
      <c r="K149" s="2" t="inlineStr"/>
      <c r="L149" s="2" t="inlineStr">
        <is>
          <t>no website listed, only social media (verify on Google Maps)</t>
        </is>
      </c>
      <c r="M149" s="2" t="inlineStr">
        <is>
          <t>Hi Saba Hair Studio team! [one real detail from their page]. We're AceAds, a web design studio. We couldn't find a website for Saba Hair Studio, only your Facebook. We'd be happy to make you a free preview of what a website could look like. Want one? No cost, no obligation.</t>
        </is>
      </c>
      <c r="N149" s="4" t="inlineStr">
        <is>
          <t>Open map</t>
        </is>
      </c>
      <c r="O149" s="2" t="inlineStr">
        <is>
          <t>Not contacted</t>
        </is>
      </c>
      <c r="P149" s="2" t="inlineStr"/>
      <c r="Q149" s="2" t="inlineStr"/>
      <c r="R149" s="2" t="inlineStr"/>
      <c r="S149" s="2" t="inlineStr"/>
    </row>
    <row r="150">
      <c r="A150" s="2" t="n">
        <v>149</v>
      </c>
      <c r="B150" s="5" t="inlineStr">
        <is>
          <t>VERIFY FIRST</t>
        </is>
      </c>
      <c r="C150" s="2" t="inlineStr">
        <is>
          <t>No website found</t>
        </is>
      </c>
      <c r="D150" s="2" t="inlineStr">
        <is>
          <t>Stranz Hair Design</t>
        </is>
      </c>
      <c r="E150" s="2" t="inlineStr">
        <is>
          <t>barber or hairdresser</t>
        </is>
      </c>
      <c r="F150" s="2" t="inlineStr">
        <is>
          <t>Brisbane</t>
        </is>
      </c>
      <c r="G150" s="2" t="inlineStr">
        <is>
          <t>Facebook</t>
        </is>
      </c>
      <c r="H150" s="2" t="inlineStr"/>
      <c r="I150" s="4" t="inlineStr">
        <is>
          <t>https://www.facebook.com/stranzhairdesignbulimba/</t>
        </is>
      </c>
      <c r="J150" s="2" t="inlineStr">
        <is>
          <t>+61 7 3399 7699</t>
        </is>
      </c>
      <c r="K150" s="2" t="inlineStr"/>
      <c r="L150" s="2" t="inlineStr">
        <is>
          <t>no website listed, only social media (verify on Google Maps)</t>
        </is>
      </c>
      <c r="M150" s="2" t="inlineStr">
        <is>
          <t>Hi Stranz Hair Design team! [one real detail from their page]. We're AceAds, a web design studio. We couldn't find a website for Stranz Hair Design, only your Facebook. We'd be happy to make you a free preview of what a website could look like. Want one? No cost, no obligation.</t>
        </is>
      </c>
      <c r="N150" s="4" t="inlineStr">
        <is>
          <t>Open map</t>
        </is>
      </c>
      <c r="O150" s="2" t="inlineStr">
        <is>
          <t>Not contacted</t>
        </is>
      </c>
      <c r="P150" s="2" t="inlineStr"/>
      <c r="Q150" s="2" t="inlineStr"/>
      <c r="R150" s="2" t="inlineStr"/>
      <c r="S150" s="2" t="inlineStr"/>
    </row>
    <row r="151">
      <c r="A151" s="2" t="n">
        <v>150</v>
      </c>
      <c r="B151" s="5" t="inlineStr">
        <is>
          <t>VERIFY FIRST</t>
        </is>
      </c>
      <c r="C151" s="2" t="inlineStr">
        <is>
          <t>No website found</t>
        </is>
      </c>
      <c r="D151" s="2" t="inlineStr">
        <is>
          <t>The Secret Hair Color</t>
        </is>
      </c>
      <c r="E151" s="2" t="inlineStr">
        <is>
          <t>barber or hairdresser</t>
        </is>
      </c>
      <c r="F151" s="2" t="inlineStr">
        <is>
          <t>Brisbane</t>
        </is>
      </c>
      <c r="G151" s="2" t="inlineStr">
        <is>
          <t>Facebook</t>
        </is>
      </c>
      <c r="H151" s="2" t="inlineStr"/>
      <c r="I151" s="4" t="inlineStr">
        <is>
          <t>https://www.facebook.com/thesecrethaircolor/</t>
        </is>
      </c>
      <c r="J151" s="2" t="inlineStr">
        <is>
          <t>+61 422 522 311</t>
        </is>
      </c>
      <c r="K151" s="2" t="inlineStr"/>
      <c r="L151" s="2" t="inlineStr">
        <is>
          <t>no website listed, only social media (verify on Google Maps)</t>
        </is>
      </c>
      <c r="M151" s="2" t="inlineStr">
        <is>
          <t>Hi The Secret Hair Color team! [one real detail from their page]. We're AceAds, a web design studio. We couldn't find a website for The Secret Hair Color, only your Facebook. We'd be happy to make you a free preview of what a website could look like. Want one? No cost, no obligation.</t>
        </is>
      </c>
      <c r="N151" s="4" t="inlineStr">
        <is>
          <t>Open map</t>
        </is>
      </c>
      <c r="O151" s="2" t="inlineStr">
        <is>
          <t>Not contacted</t>
        </is>
      </c>
      <c r="P151" s="2" t="inlineStr"/>
      <c r="Q151" s="2" t="inlineStr"/>
      <c r="R151" s="2" t="inlineStr"/>
      <c r="S151" s="2" t="inlineStr"/>
    </row>
    <row r="152">
      <c r="A152" s="2" t="n">
        <v>151</v>
      </c>
      <c r="B152" s="5" t="inlineStr">
        <is>
          <t>VERIFY FIRST</t>
        </is>
      </c>
      <c r="C152" s="2" t="inlineStr">
        <is>
          <t>No website found</t>
        </is>
      </c>
      <c r="D152" s="2" t="inlineStr">
        <is>
          <t>9889 Nails and Beauty</t>
        </is>
      </c>
      <c r="E152" s="2" t="inlineStr">
        <is>
          <t>beauty salon</t>
        </is>
      </c>
      <c r="F152" s="2" t="inlineStr">
        <is>
          <t>Brisbane</t>
        </is>
      </c>
      <c r="G152" s="2" t="inlineStr">
        <is>
          <t>Facebook</t>
        </is>
      </c>
      <c r="H152" s="2" t="inlineStr"/>
      <c r="I152" s="4" t="inlineStr">
        <is>
          <t>https://www.facebook.com/9889nailsandbeauty</t>
        </is>
      </c>
      <c r="J152" s="2" t="inlineStr"/>
      <c r="K152" s="2" t="inlineStr"/>
      <c r="L152" s="2" t="inlineStr">
        <is>
          <t>no website listed, only social media (verify on Google Maps)</t>
        </is>
      </c>
      <c r="M152" s="2" t="inlineStr">
        <is>
          <t>Hi 9889 Nails and Beauty team! [one real detail from their page]. We're AceAds, a web design studio. We couldn't find a website for 9889 Nails and Beauty, only your Facebook. We'd be happy to make you a free preview of what a website could look like. Want one? No cost, no obligation.</t>
        </is>
      </c>
      <c r="N152" s="4" t="inlineStr">
        <is>
          <t>Open map</t>
        </is>
      </c>
      <c r="O152" s="2" t="inlineStr">
        <is>
          <t>Not contacted</t>
        </is>
      </c>
      <c r="P152" s="2" t="inlineStr"/>
      <c r="Q152" s="2" t="inlineStr"/>
      <c r="R152" s="2" t="inlineStr"/>
      <c r="S152" s="2" t="inlineStr"/>
    </row>
    <row r="153">
      <c r="A153" s="2" t="n">
        <v>152</v>
      </c>
      <c r="B153" s="5" t="inlineStr">
        <is>
          <t>VERIFY FIRST</t>
        </is>
      </c>
      <c r="C153" s="2" t="inlineStr">
        <is>
          <t>No website found</t>
        </is>
      </c>
      <c r="D153" s="2" t="inlineStr">
        <is>
          <t>Isabis Hair</t>
        </is>
      </c>
      <c r="E153" s="2" t="inlineStr">
        <is>
          <t>beauty salon</t>
        </is>
      </c>
      <c r="F153" s="2" t="inlineStr">
        <is>
          <t>Brisbane</t>
        </is>
      </c>
      <c r="G153" s="2" t="inlineStr">
        <is>
          <t>Facebook</t>
        </is>
      </c>
      <c r="H153" s="2" t="inlineStr"/>
      <c r="I153" s="4" t="inlineStr">
        <is>
          <t>https://www.facebook.com/isabishair</t>
        </is>
      </c>
      <c r="J153" s="2" t="inlineStr"/>
      <c r="K153" s="2" t="inlineStr"/>
      <c r="L153" s="2" t="inlineStr">
        <is>
          <t>no website listed, only social media (verify on Google Maps)</t>
        </is>
      </c>
      <c r="M153" s="2" t="inlineStr">
        <is>
          <t>Hi Isabis Hair team! [one real detail from their page]. We're AceAds, a web design studio. We couldn't find a website for Isabis Hair, only your Facebook. We'd be happy to make you a free preview of what a website could look like. Want one? No cost, no obligation.</t>
        </is>
      </c>
      <c r="N153" s="4" t="inlineStr">
        <is>
          <t>Open map</t>
        </is>
      </c>
      <c r="O153" s="2" t="inlineStr">
        <is>
          <t>Not contacted</t>
        </is>
      </c>
      <c r="P153" s="2" t="inlineStr"/>
      <c r="Q153" s="2" t="inlineStr"/>
      <c r="R153" s="2" t="inlineStr"/>
      <c r="S153" s="2" t="inlineStr"/>
    </row>
    <row r="154">
      <c r="A154" s="2" t="n">
        <v>153</v>
      </c>
      <c r="B154" s="5" t="inlineStr">
        <is>
          <t>VERIFY FIRST</t>
        </is>
      </c>
      <c r="C154" s="2" t="inlineStr">
        <is>
          <t>No website found</t>
        </is>
      </c>
      <c r="D154" s="2" t="inlineStr">
        <is>
          <t>Nails59</t>
        </is>
      </c>
      <c r="E154" s="2" t="inlineStr">
        <is>
          <t>beauty salon</t>
        </is>
      </c>
      <c r="F154" s="2" t="inlineStr">
        <is>
          <t>Brisbane</t>
        </is>
      </c>
      <c r="G154" s="2" t="inlineStr">
        <is>
          <t>Instagram</t>
        </is>
      </c>
      <c r="H154" s="4" t="inlineStr">
        <is>
          <t>https://www.instagram.com/nails59_rochedale/</t>
        </is>
      </c>
      <c r="I154" s="2" t="inlineStr"/>
      <c r="J154" s="2" t="inlineStr">
        <is>
          <t>+61 424 399 993</t>
        </is>
      </c>
      <c r="K154" s="2" t="inlineStr"/>
      <c r="L154" s="2" t="inlineStr">
        <is>
          <t>no website listed, only social media (verify on Google Maps)</t>
        </is>
      </c>
      <c r="M154" s="2" t="inlineStr">
        <is>
          <t>Hi Nails59 team! [one real detail from their page]. We're AceAds, a web design studio. We couldn't find a website for Nails59, only your Instagram. We'd be happy to make you a free preview of what a website could look like. Want one? No cost, no obligation.</t>
        </is>
      </c>
      <c r="N154" s="4" t="inlineStr">
        <is>
          <t>Open map</t>
        </is>
      </c>
      <c r="O154" s="2" t="inlineStr">
        <is>
          <t>Not contacted</t>
        </is>
      </c>
      <c r="P154" s="2" t="inlineStr"/>
      <c r="Q154" s="2" t="inlineStr"/>
      <c r="R154" s="2" t="inlineStr"/>
      <c r="S154" s="2" t="inlineStr"/>
    </row>
    <row r="155">
      <c r="A155" s="2" t="n">
        <v>154</v>
      </c>
      <c r="B155" s="5" t="inlineStr">
        <is>
          <t>VERIFY FIRST</t>
        </is>
      </c>
      <c r="C155" s="2" t="inlineStr">
        <is>
          <t>No website found</t>
        </is>
      </c>
      <c r="D155" s="2" t="inlineStr">
        <is>
          <t>Satisfied Nail</t>
        </is>
      </c>
      <c r="E155" s="2" t="inlineStr">
        <is>
          <t>beauty salon</t>
        </is>
      </c>
      <c r="F155" s="2" t="inlineStr">
        <is>
          <t>Brisbane</t>
        </is>
      </c>
      <c r="G155" s="2" t="inlineStr">
        <is>
          <t>Facebook</t>
        </is>
      </c>
      <c r="H155" s="2" t="inlineStr"/>
      <c r="I155" s="4" t="inlineStr">
        <is>
          <t>https://www.facebook.com/satisfiednail/</t>
        </is>
      </c>
      <c r="J155" s="2" t="inlineStr"/>
      <c r="K155" s="2" t="inlineStr"/>
      <c r="L155" s="2" t="inlineStr">
        <is>
          <t>no website listed, only social media (verify on Google Maps)</t>
        </is>
      </c>
      <c r="M155" s="2" t="inlineStr">
        <is>
          <t>Hi Satisfied Nail team! [one real detail from their page]. We're AceAds, a web design studio. We couldn't find a website for Satisfied Nail, only your Facebook. We'd be happy to make you a free preview of what a website could look like. Want one? No cost, no obligation.</t>
        </is>
      </c>
      <c r="N155" s="4" t="inlineStr">
        <is>
          <t>Open map</t>
        </is>
      </c>
      <c r="O155" s="2" t="inlineStr">
        <is>
          <t>Not contacted</t>
        </is>
      </c>
      <c r="P155" s="2" t="inlineStr"/>
      <c r="Q155" s="2" t="inlineStr"/>
      <c r="R155" s="2" t="inlineStr"/>
      <c r="S155" s="2" t="inlineStr"/>
    </row>
    <row r="156">
      <c r="A156" s="2" t="n">
        <v>155</v>
      </c>
      <c r="B156" s="5" t="inlineStr">
        <is>
          <t>VERIFY FIRST</t>
        </is>
      </c>
      <c r="C156" s="2" t="inlineStr">
        <is>
          <t>No website found</t>
        </is>
      </c>
      <c r="D156" s="2" t="inlineStr">
        <is>
          <t>Brandons Shoe Repairs</t>
        </is>
      </c>
      <c r="E156" s="2" t="inlineStr">
        <is>
          <t>boutique</t>
        </is>
      </c>
      <c r="F156" s="2" t="inlineStr">
        <is>
          <t>Brisbane</t>
        </is>
      </c>
      <c r="G156" s="2" t="inlineStr">
        <is>
          <t>Facebook</t>
        </is>
      </c>
      <c r="H156" s="2" t="inlineStr"/>
      <c r="I156" s="4" t="inlineStr">
        <is>
          <t>https://www.facebook.com/people/Brandons-Shoe-Repairs/100057123895028/</t>
        </is>
      </c>
      <c r="J156" s="2" t="inlineStr">
        <is>
          <t>+61 7 3848 1856</t>
        </is>
      </c>
      <c r="K156" s="2" t="inlineStr"/>
      <c r="L156" s="2" t="inlineStr">
        <is>
          <t>no website listed, only social media (verify on Google Maps)</t>
        </is>
      </c>
      <c r="M156" s="2" t="inlineStr">
        <is>
          <t>Hi Brandons Shoe Repairs team! [one real detail from their page]. We're AceAds, a web design studio. We couldn't find a website for Brandons Shoe Repairs, only your Facebook. We'd be happy to make you a free preview of what a website could look like. Want one? No cost, no obligation.</t>
        </is>
      </c>
      <c r="N156" s="4" t="inlineStr">
        <is>
          <t>Open map</t>
        </is>
      </c>
      <c r="O156" s="2" t="inlineStr">
        <is>
          <t>Not contacted</t>
        </is>
      </c>
      <c r="P156" s="2" t="inlineStr"/>
      <c r="Q156" s="2" t="inlineStr"/>
      <c r="R156" s="2" t="inlineStr"/>
      <c r="S156" s="2" t="inlineStr"/>
    </row>
    <row r="157">
      <c r="A157" s="2" t="n">
        <v>156</v>
      </c>
      <c r="B157" s="5" t="inlineStr">
        <is>
          <t>VERIFY FIRST</t>
        </is>
      </c>
      <c r="C157" s="2" t="inlineStr">
        <is>
          <t>No website found</t>
        </is>
      </c>
      <c r="D157" s="2" t="inlineStr">
        <is>
          <t>Etcetera Leisure Plus</t>
        </is>
      </c>
      <c r="E157" s="2" t="inlineStr">
        <is>
          <t>boutique</t>
        </is>
      </c>
      <c r="F157" s="2" t="inlineStr">
        <is>
          <t>Brisbane</t>
        </is>
      </c>
      <c r="G157" s="2" t="inlineStr">
        <is>
          <t>Facebook</t>
        </is>
      </c>
      <c r="H157" s="2" t="inlineStr"/>
      <c r="I157" s="4" t="inlineStr">
        <is>
          <t>https://www.facebook.com/people/Etcetera-Leisure-Plus/61550838810039/</t>
        </is>
      </c>
      <c r="J157" s="2" t="inlineStr"/>
      <c r="K157" s="2" t="inlineStr"/>
      <c r="L157" s="2" t="inlineStr">
        <is>
          <t>no website listed, only social media (verify on Google Maps)</t>
        </is>
      </c>
      <c r="M157" s="2" t="inlineStr">
        <is>
          <t>Hi Etcetera Leisure Plus team! [one real detail from their page]. We're AceAds, a web design studio. We couldn't find a website for Etcetera Leisure Plus, only your Facebook. We'd be happy to make you a free preview of what a website could look like. Want one? No cost, no obligation.</t>
        </is>
      </c>
      <c r="N157" s="4" t="inlineStr">
        <is>
          <t>Open map</t>
        </is>
      </c>
      <c r="O157" s="2" t="inlineStr">
        <is>
          <t>Not contacted</t>
        </is>
      </c>
      <c r="P157" s="2" t="inlineStr"/>
      <c r="Q157" s="2" t="inlineStr"/>
      <c r="R157" s="2" t="inlineStr"/>
      <c r="S157" s="2" t="inlineStr"/>
    </row>
    <row r="158">
      <c r="A158" s="2" t="n">
        <v>157</v>
      </c>
      <c r="B158" s="5" t="inlineStr">
        <is>
          <t>VERIFY FIRST</t>
        </is>
      </c>
      <c r="C158" s="2" t="inlineStr">
        <is>
          <t>No website found</t>
        </is>
      </c>
      <c r="D158" s="2" t="inlineStr">
        <is>
          <t>Palmbee Capalaba HQ</t>
        </is>
      </c>
      <c r="E158" s="2" t="inlineStr">
        <is>
          <t>boutique</t>
        </is>
      </c>
      <c r="F158" s="2" t="inlineStr">
        <is>
          <t>Brisbane</t>
        </is>
      </c>
      <c r="G158" s="2" t="inlineStr">
        <is>
          <t>Instagram</t>
        </is>
      </c>
      <c r="H158" s="4" t="inlineStr">
        <is>
          <t>https://www.instagram.com/palmbeeaustralia</t>
        </is>
      </c>
      <c r="I158" s="4" t="inlineStr">
        <is>
          <t>https://www.facebook.com/palmbeexx</t>
        </is>
      </c>
      <c r="J158" s="2" t="inlineStr">
        <is>
          <t>+61 434 066 266</t>
        </is>
      </c>
      <c r="K158" s="2" t="inlineStr"/>
      <c r="L158" s="2" t="inlineStr">
        <is>
          <t>no website listed, only social media (verify on Google Maps)</t>
        </is>
      </c>
      <c r="M158" s="2" t="inlineStr">
        <is>
          <t>Hi Palmbee Capalaba HQ team! [one real detail from their page]. We're AceAds, a web design studio. We couldn't find a website for Palmbee Capalaba HQ, only your Instagram. We'd be happy to make you a free preview of what a website could look like. Want one? No cost, no obligation.</t>
        </is>
      </c>
      <c r="N158" s="4" t="inlineStr">
        <is>
          <t>Open map</t>
        </is>
      </c>
      <c r="O158" s="2" t="inlineStr">
        <is>
          <t>Not contacted</t>
        </is>
      </c>
      <c r="P158" s="2" t="inlineStr"/>
      <c r="Q158" s="2" t="inlineStr"/>
      <c r="R158" s="2" t="inlineStr"/>
      <c r="S158" s="2" t="inlineStr"/>
    </row>
    <row r="159">
      <c r="A159" s="2" t="n">
        <v>158</v>
      </c>
      <c r="B159" s="5" t="inlineStr">
        <is>
          <t>VERIFY FIRST</t>
        </is>
      </c>
      <c r="C159" s="2" t="inlineStr">
        <is>
          <t>No website found</t>
        </is>
      </c>
      <c r="D159" s="2" t="inlineStr">
        <is>
          <t>Studio M by Margarita</t>
        </is>
      </c>
      <c r="E159" s="2" t="inlineStr">
        <is>
          <t>boutique</t>
        </is>
      </c>
      <c r="F159" s="2" t="inlineStr">
        <is>
          <t>Brisbane</t>
        </is>
      </c>
      <c r="G159" s="2" t="inlineStr">
        <is>
          <t>Facebook</t>
        </is>
      </c>
      <c r="H159" s="2" t="inlineStr"/>
      <c r="I159" s="4" t="inlineStr">
        <is>
          <t>https://www.facebook.com/StudioMbyMargarita</t>
        </is>
      </c>
      <c r="J159" s="2" t="inlineStr"/>
      <c r="K159" s="2" t="inlineStr"/>
      <c r="L159" s="2" t="inlineStr">
        <is>
          <t>no website listed, only social media (verify on Google Maps)</t>
        </is>
      </c>
      <c r="M159" s="2" t="inlineStr">
        <is>
          <t>Hi Studio M by Margarita team! [one real detail from their page]. We're AceAds, a web design studio. We couldn't find a website for Studio M by Margarita, only your Facebook. We'd be happy to make you a free preview of what a website could look like. Want one? No cost, no obligation.</t>
        </is>
      </c>
      <c r="N159" s="4" t="inlineStr">
        <is>
          <t>Open map</t>
        </is>
      </c>
      <c r="O159" s="2" t="inlineStr">
        <is>
          <t>Not contacted</t>
        </is>
      </c>
      <c r="P159" s="2" t="inlineStr"/>
      <c r="Q159" s="2" t="inlineStr"/>
      <c r="R159" s="2" t="inlineStr"/>
      <c r="S159" s="2" t="inlineStr"/>
    </row>
    <row r="160">
      <c r="A160" s="2" t="n">
        <v>159</v>
      </c>
      <c r="B160" s="5" t="inlineStr">
        <is>
          <t>VERIFY FIRST</t>
        </is>
      </c>
      <c r="C160" s="2" t="inlineStr">
        <is>
          <t>No website found</t>
        </is>
      </c>
      <c r="D160" s="2" t="inlineStr">
        <is>
          <t>Abode Cafe</t>
        </is>
      </c>
      <c r="E160" s="2" t="inlineStr">
        <is>
          <t>cafe</t>
        </is>
      </c>
      <c r="F160" s="2" t="inlineStr">
        <is>
          <t>Brisbane</t>
        </is>
      </c>
      <c r="G160" s="2" t="inlineStr">
        <is>
          <t>Facebook</t>
        </is>
      </c>
      <c r="H160" s="2" t="inlineStr"/>
      <c r="I160" s="4" t="inlineStr">
        <is>
          <t>https://www.facebook.com/abodeonHillsdon</t>
        </is>
      </c>
      <c r="J160" s="2" t="inlineStr">
        <is>
          <t>+61 7 3371 9874</t>
        </is>
      </c>
      <c r="K160" s="2" t="inlineStr"/>
      <c r="L160" s="2" t="inlineStr">
        <is>
          <t>no website listed, only social media (verify on Google Maps)</t>
        </is>
      </c>
      <c r="M160" s="2" t="inlineStr">
        <is>
          <t>Hi Abode Cafe team! [one real detail from their page]. We're AceAds, a web design studio. We couldn't find a website for Abode Cafe, only your Facebook. We'd be happy to make you a free preview of what a website could look like. Want one? No cost, no obligation.</t>
        </is>
      </c>
      <c r="N160" s="4" t="inlineStr">
        <is>
          <t>Open map</t>
        </is>
      </c>
      <c r="O160" s="2" t="inlineStr">
        <is>
          <t>Not contacted</t>
        </is>
      </c>
      <c r="P160" s="2" t="inlineStr"/>
      <c r="Q160" s="2" t="inlineStr"/>
      <c r="R160" s="2" t="inlineStr"/>
      <c r="S160" s="2" t="inlineStr"/>
    </row>
    <row r="161">
      <c r="A161" s="2" t="n">
        <v>160</v>
      </c>
      <c r="B161" s="5" t="inlineStr">
        <is>
          <t>VERIFY FIRST</t>
        </is>
      </c>
      <c r="C161" s="2" t="inlineStr">
        <is>
          <t>No website found</t>
        </is>
      </c>
      <c r="D161" s="2" t="inlineStr">
        <is>
          <t>Augustus Espresso</t>
        </is>
      </c>
      <c r="E161" s="2" t="inlineStr">
        <is>
          <t>cafe</t>
        </is>
      </c>
      <c r="F161" s="2" t="inlineStr">
        <is>
          <t>Brisbane</t>
        </is>
      </c>
      <c r="G161" s="2" t="inlineStr">
        <is>
          <t>Facebook</t>
        </is>
      </c>
      <c r="H161" s="2" t="inlineStr"/>
      <c r="I161" s="4" t="inlineStr">
        <is>
          <t>https://www.facebook.com/Augustus.Espresso/</t>
        </is>
      </c>
      <c r="J161" s="2" t="inlineStr">
        <is>
          <t>+61 7 3902 0025</t>
        </is>
      </c>
      <c r="K161" s="2" t="inlineStr"/>
      <c r="L161" s="2" t="inlineStr">
        <is>
          <t>no website listed, only social media (verify on Google Maps)</t>
        </is>
      </c>
      <c r="M161" s="2" t="inlineStr">
        <is>
          <t>Hi Augustus Espresso team! [one real detail from their page]. We're AceAds, a web design studio. We couldn't find a website for Augustus Espresso, only your Facebook. We'd be happy to make you a free preview of what a website could look like. Want one? No cost, no obligation.</t>
        </is>
      </c>
      <c r="N161" s="4" t="inlineStr">
        <is>
          <t>Open map</t>
        </is>
      </c>
      <c r="O161" s="2" t="inlineStr">
        <is>
          <t>Not contacted</t>
        </is>
      </c>
      <c r="P161" s="2" t="inlineStr"/>
      <c r="Q161" s="2" t="inlineStr"/>
      <c r="R161" s="2" t="inlineStr"/>
      <c r="S161" s="2" t="inlineStr"/>
    </row>
    <row r="162">
      <c r="A162" s="2" t="n">
        <v>161</v>
      </c>
      <c r="B162" s="5" t="inlineStr">
        <is>
          <t>VERIFY FIRST</t>
        </is>
      </c>
      <c r="C162" s="2" t="inlineStr">
        <is>
          <t>No website found</t>
        </is>
      </c>
      <c r="D162" s="2" t="inlineStr">
        <is>
          <t>Av-A-Chat Cafe</t>
        </is>
      </c>
      <c r="E162" s="2" t="inlineStr">
        <is>
          <t>cafe</t>
        </is>
      </c>
      <c r="F162" s="2" t="inlineStr">
        <is>
          <t>Brisbane</t>
        </is>
      </c>
      <c r="G162" s="2" t="inlineStr">
        <is>
          <t>Facebook</t>
        </is>
      </c>
      <c r="H162" s="2" t="inlineStr"/>
      <c r="I162" s="4" t="inlineStr">
        <is>
          <t>https://www.facebook.com/vietnameseavachatcafe/</t>
        </is>
      </c>
      <c r="J162" s="2" t="inlineStr"/>
      <c r="K162" s="2" t="inlineStr"/>
      <c r="L162" s="2" t="inlineStr">
        <is>
          <t>no website listed, only social media (verify on Google Maps)</t>
        </is>
      </c>
      <c r="M162" s="2" t="inlineStr">
        <is>
          <t>Hi Av-A-Chat Cafe team! [one real detail from their page]. We're AceAds, a web design studio. We couldn't find a website for Av-A-Chat Cafe, only your Facebook. We'd be happy to make you a free preview of what a website could look like. Want one? No cost, no obligation.</t>
        </is>
      </c>
      <c r="N162" s="4" t="inlineStr">
        <is>
          <t>Open map</t>
        </is>
      </c>
      <c r="O162" s="2" t="inlineStr">
        <is>
          <t>Not contacted</t>
        </is>
      </c>
      <c r="P162" s="2" t="inlineStr"/>
      <c r="Q162" s="2" t="inlineStr"/>
      <c r="R162" s="2" t="inlineStr"/>
      <c r="S162" s="2" t="inlineStr"/>
    </row>
    <row r="163">
      <c r="A163" s="2" t="n">
        <v>162</v>
      </c>
      <c r="B163" s="5" t="inlineStr">
        <is>
          <t>VERIFY FIRST</t>
        </is>
      </c>
      <c r="C163" s="2" t="inlineStr">
        <is>
          <t>No website found</t>
        </is>
      </c>
      <c r="D163" s="2" t="inlineStr">
        <is>
          <t>Blue Poppy</t>
        </is>
      </c>
      <c r="E163" s="2" t="inlineStr">
        <is>
          <t>cafe</t>
        </is>
      </c>
      <c r="F163" s="2" t="inlineStr">
        <is>
          <t>Brisbane</t>
        </is>
      </c>
      <c r="G163" s="2" t="inlineStr">
        <is>
          <t>Facebook</t>
        </is>
      </c>
      <c r="H163" s="2" t="inlineStr"/>
      <c r="I163" s="4" t="inlineStr">
        <is>
          <t>http://facebook.com/thebluepoppy/</t>
        </is>
      </c>
      <c r="J163" s="2" t="inlineStr"/>
      <c r="K163" s="2" t="inlineStr"/>
      <c r="L163" s="2" t="inlineStr">
        <is>
          <t>no website listed, only social media (verify on Google Maps)</t>
        </is>
      </c>
      <c r="M163" s="2" t="inlineStr">
        <is>
          <t>Hi Blue Poppy team! [one real detail from their page]. We're AceAds, a web design studio. We couldn't find a website for Blue Poppy, only your Facebook. We'd be happy to make you a free preview of what a website could look like. Want one? No cost, no obligation.</t>
        </is>
      </c>
      <c r="N163" s="4" t="inlineStr">
        <is>
          <t>Open map</t>
        </is>
      </c>
      <c r="O163" s="2" t="inlineStr">
        <is>
          <t>Not contacted</t>
        </is>
      </c>
      <c r="P163" s="2" t="inlineStr"/>
      <c r="Q163" s="2" t="inlineStr"/>
      <c r="R163" s="2" t="inlineStr"/>
      <c r="S163" s="2" t="inlineStr"/>
    </row>
    <row r="164">
      <c r="A164" s="2" t="n">
        <v>163</v>
      </c>
      <c r="B164" s="5" t="inlineStr">
        <is>
          <t>VERIFY FIRST</t>
        </is>
      </c>
      <c r="C164" s="2" t="inlineStr">
        <is>
          <t>No website found</t>
        </is>
      </c>
      <c r="D164" s="2" t="inlineStr">
        <is>
          <t>Croix Croissant</t>
        </is>
      </c>
      <c r="E164" s="2" t="inlineStr">
        <is>
          <t>cafe</t>
        </is>
      </c>
      <c r="F164" s="2" t="inlineStr">
        <is>
          <t>Brisbane</t>
        </is>
      </c>
      <c r="G164" s="2" t="inlineStr">
        <is>
          <t>Instagram</t>
        </is>
      </c>
      <c r="H164" s="4" t="inlineStr">
        <is>
          <t>https://www.instagram.com/croixssant.bne</t>
        </is>
      </c>
      <c r="I164" s="2" t="inlineStr"/>
      <c r="J164" s="2" t="inlineStr"/>
      <c r="K164" s="2" t="inlineStr"/>
      <c r="L164" s="2" t="inlineStr">
        <is>
          <t>no website listed, only social media (verify on Google Maps)</t>
        </is>
      </c>
      <c r="M164" s="2" t="inlineStr">
        <is>
          <t>Hi Croix Croissant team! [one real detail from their page]. We're AceAds, a web design studio. We couldn't find a website for Croix Croissant, only your Instagram. We'd be happy to make you a free preview of what a website could look like. Want one? No cost, no obligation.</t>
        </is>
      </c>
      <c r="N164" s="4" t="inlineStr">
        <is>
          <t>Open map</t>
        </is>
      </c>
      <c r="O164" s="2" t="inlineStr">
        <is>
          <t>Not contacted</t>
        </is>
      </c>
      <c r="P164" s="2" t="inlineStr"/>
      <c r="Q164" s="2" t="inlineStr"/>
      <c r="R164" s="2" t="inlineStr"/>
      <c r="S164" s="2" t="inlineStr"/>
    </row>
    <row r="165">
      <c r="A165" s="2" t="n">
        <v>164</v>
      </c>
      <c r="B165" s="5" t="inlineStr">
        <is>
          <t>VERIFY FIRST</t>
        </is>
      </c>
      <c r="C165" s="2" t="inlineStr">
        <is>
          <t>No website found</t>
        </is>
      </c>
      <c r="D165" s="2" t="inlineStr">
        <is>
          <t>Death Star Canteen</t>
        </is>
      </c>
      <c r="E165" s="2" t="inlineStr">
        <is>
          <t>cafe</t>
        </is>
      </c>
      <c r="F165" s="2" t="inlineStr">
        <is>
          <t>Brisbane</t>
        </is>
      </c>
      <c r="G165" s="2" t="inlineStr">
        <is>
          <t>Instagram</t>
        </is>
      </c>
      <c r="H165" s="4" t="inlineStr">
        <is>
          <t>https://instagram.com/deathstarbrisbane</t>
        </is>
      </c>
      <c r="I165" s="4" t="inlineStr">
        <is>
          <t>https://facebook.com/deathstarcanteenbrisbane/</t>
        </is>
      </c>
      <c r="J165" s="2" t="inlineStr"/>
      <c r="K165" s="2" t="inlineStr"/>
      <c r="L165" s="2" t="inlineStr">
        <is>
          <t>no website listed, only social media (verify on Google Maps)</t>
        </is>
      </c>
      <c r="M165" s="2" t="inlineStr">
        <is>
          <t>Hi Death Star Canteen team! [one real detail from their page]. We're AceAds, a web design studio. We couldn't find a website for Death Star Canteen, only your Instagram. We'd be happy to make you a free preview of what a website could look like. Want one? No cost, no obligation.</t>
        </is>
      </c>
      <c r="N165" s="4" t="inlineStr">
        <is>
          <t>Open map</t>
        </is>
      </c>
      <c r="O165" s="2" t="inlineStr">
        <is>
          <t>Not contacted</t>
        </is>
      </c>
      <c r="P165" s="2" t="inlineStr"/>
      <c r="Q165" s="2" t="inlineStr"/>
      <c r="R165" s="2" t="inlineStr"/>
      <c r="S165" s="2" t="inlineStr"/>
    </row>
    <row r="166">
      <c r="A166" s="2" t="n">
        <v>165</v>
      </c>
      <c r="B166" s="5" t="inlineStr">
        <is>
          <t>VERIFY FIRST</t>
        </is>
      </c>
      <c r="C166" s="2" t="inlineStr">
        <is>
          <t>No website found</t>
        </is>
      </c>
      <c r="D166" s="2" t="inlineStr">
        <is>
          <t>Doc Brown</t>
        </is>
      </c>
      <c r="E166" s="2" t="inlineStr">
        <is>
          <t>cafe</t>
        </is>
      </c>
      <c r="F166" s="2" t="inlineStr">
        <is>
          <t>Brisbane</t>
        </is>
      </c>
      <c r="G166" s="2" t="inlineStr">
        <is>
          <t>Facebook</t>
        </is>
      </c>
      <c r="H166" s="2" t="inlineStr"/>
      <c r="I166" s="4" t="inlineStr">
        <is>
          <t>https://www.facebook.com/docbrowncafe</t>
        </is>
      </c>
      <c r="J166" s="2" t="inlineStr"/>
      <c r="K166" s="2" t="inlineStr"/>
      <c r="L166" s="2" t="inlineStr">
        <is>
          <t>no website listed, only social media (verify on Google Maps)</t>
        </is>
      </c>
      <c r="M166" s="2" t="inlineStr">
        <is>
          <t>Hi Doc Brown team! [one real detail from their page]. We're AceAds, a web design studio. We couldn't find a website for Doc Brown, only your Facebook. We'd be happy to make you a free preview of what a website could look like. Want one? No cost, no obligation.</t>
        </is>
      </c>
      <c r="N166" s="4" t="inlineStr">
        <is>
          <t>Open map</t>
        </is>
      </c>
      <c r="O166" s="2" t="inlineStr">
        <is>
          <t>Not contacted</t>
        </is>
      </c>
      <c r="P166" s="2" t="inlineStr"/>
      <c r="Q166" s="2" t="inlineStr"/>
      <c r="R166" s="2" t="inlineStr"/>
      <c r="S166" s="2" t="inlineStr"/>
    </row>
    <row r="167">
      <c r="A167" s="2" t="n">
        <v>166</v>
      </c>
      <c r="B167" s="5" t="inlineStr">
        <is>
          <t>VERIFY FIRST</t>
        </is>
      </c>
      <c r="C167" s="2" t="inlineStr">
        <is>
          <t>No website found</t>
        </is>
      </c>
      <c r="D167" s="2" t="inlineStr">
        <is>
          <t>Double Maker Coffee</t>
        </is>
      </c>
      <c r="E167" s="2" t="inlineStr">
        <is>
          <t>cafe</t>
        </is>
      </c>
      <c r="F167" s="2" t="inlineStr">
        <is>
          <t>Brisbane</t>
        </is>
      </c>
      <c r="G167" s="2" t="inlineStr">
        <is>
          <t>Facebook</t>
        </is>
      </c>
      <c r="H167" s="2" t="inlineStr"/>
      <c r="I167" s="4" t="inlineStr">
        <is>
          <t>https://www.facebook.com/DoubleMakerCoffee</t>
        </is>
      </c>
      <c r="J167" s="2" t="inlineStr"/>
      <c r="K167" s="2" t="inlineStr"/>
      <c r="L167" s="2" t="inlineStr">
        <is>
          <t>no website listed, only social media (verify on Google Maps)</t>
        </is>
      </c>
      <c r="M167" s="2" t="inlineStr">
        <is>
          <t>Hi Double Maker Coffee team! [one real detail from their page]. We're AceAds, a web design studio. We couldn't find a website for Double Maker Coffee, only your Facebook. We'd be happy to make you a free preview of what a website could look like. Want one? No cost, no obligation.</t>
        </is>
      </c>
      <c r="N167" s="4" t="inlineStr">
        <is>
          <t>Open map</t>
        </is>
      </c>
      <c r="O167" s="2" t="inlineStr">
        <is>
          <t>Not contacted</t>
        </is>
      </c>
      <c r="P167" s="2" t="inlineStr"/>
      <c r="Q167" s="2" t="inlineStr"/>
      <c r="R167" s="2" t="inlineStr"/>
      <c r="S167" s="2" t="inlineStr"/>
    </row>
    <row r="168">
      <c r="A168" s="2" t="n">
        <v>167</v>
      </c>
      <c r="B168" s="5" t="inlineStr">
        <is>
          <t>VERIFY FIRST</t>
        </is>
      </c>
      <c r="C168" s="2" t="inlineStr">
        <is>
          <t>No website found</t>
        </is>
      </c>
      <c r="D168" s="2" t="inlineStr">
        <is>
          <t>Farmhouse Cafe</t>
        </is>
      </c>
      <c r="E168" s="2" t="inlineStr">
        <is>
          <t>cafe</t>
        </is>
      </c>
      <c r="F168" s="2" t="inlineStr">
        <is>
          <t>Brisbane</t>
        </is>
      </c>
      <c r="G168" s="2" t="inlineStr">
        <is>
          <t>Instagram</t>
        </is>
      </c>
      <c r="H168" s="4" t="inlineStr">
        <is>
          <t>https://www.instagram.com/FARMHOUSEKEDRON</t>
        </is>
      </c>
      <c r="I168" s="4" t="inlineStr">
        <is>
          <t>https://www.facebook.com/farmhousekedron/</t>
        </is>
      </c>
      <c r="J168" s="2" t="inlineStr">
        <is>
          <t>+61 7 3861 1956</t>
        </is>
      </c>
      <c r="K168" s="2" t="inlineStr"/>
      <c r="L168" s="2" t="inlineStr">
        <is>
          <t>no website listed, only social media (verify on Google Maps)</t>
        </is>
      </c>
      <c r="M168" s="2" t="inlineStr">
        <is>
          <t>Hi Farmhouse Cafe team! [one real detail from their page]. We're AceAds, a web design studio. We couldn't find a website for Farmhouse Cafe, only your Instagram. We'd be happy to make you a free preview of what a website could look like. Want one? No cost, no obligation.</t>
        </is>
      </c>
      <c r="N168" s="4" t="inlineStr">
        <is>
          <t>Open map</t>
        </is>
      </c>
      <c r="O168" s="2" t="inlineStr">
        <is>
          <t>Not contacted</t>
        </is>
      </c>
      <c r="P168" s="2" t="inlineStr"/>
      <c r="Q168" s="2" t="inlineStr"/>
      <c r="R168" s="2" t="inlineStr"/>
      <c r="S168" s="2" t="inlineStr"/>
    </row>
    <row r="169">
      <c r="A169" s="2" t="n">
        <v>168</v>
      </c>
      <c r="B169" s="5" t="inlineStr">
        <is>
          <t>VERIFY FIRST</t>
        </is>
      </c>
      <c r="C169" s="2" t="inlineStr">
        <is>
          <t>No website found</t>
        </is>
      </c>
      <c r="D169" s="2" t="inlineStr">
        <is>
          <t>Fiddle Leaf</t>
        </is>
      </c>
      <c r="E169" s="2" t="inlineStr">
        <is>
          <t>cafe</t>
        </is>
      </c>
      <c r="F169" s="2" t="inlineStr">
        <is>
          <t>Brisbane</t>
        </is>
      </c>
      <c r="G169" s="2" t="inlineStr">
        <is>
          <t>Facebook</t>
        </is>
      </c>
      <c r="H169" s="2" t="inlineStr"/>
      <c r="I169" s="4" t="inlineStr">
        <is>
          <t>https://www.facebook.com/fiddleleafbrisbane</t>
        </is>
      </c>
      <c r="J169" s="2" t="inlineStr">
        <is>
          <t>+61 7 3902 1361</t>
        </is>
      </c>
      <c r="K169" s="2" t="inlineStr"/>
      <c r="L169" s="2" t="inlineStr">
        <is>
          <t>no website listed, only social media (verify on Google Maps)</t>
        </is>
      </c>
      <c r="M169" s="2" t="inlineStr">
        <is>
          <t>Hi Fiddle Leaf team! [one real detail from their page]. We're AceAds, a web design studio. We couldn't find a website for Fiddle Leaf, only your Facebook. We'd be happy to make you a free preview of what a website could look like. Want one? No cost, no obligation.</t>
        </is>
      </c>
      <c r="N169" s="4" t="inlineStr">
        <is>
          <t>Open map</t>
        </is>
      </c>
      <c r="O169" s="2" t="inlineStr">
        <is>
          <t>Not contacted</t>
        </is>
      </c>
      <c r="P169" s="2" t="inlineStr"/>
      <c r="Q169" s="2" t="inlineStr"/>
      <c r="R169" s="2" t="inlineStr"/>
      <c r="S169" s="2" t="inlineStr"/>
    </row>
    <row r="170">
      <c r="A170" s="2" t="n">
        <v>169</v>
      </c>
      <c r="B170" s="5" t="inlineStr">
        <is>
          <t>VERIFY FIRST</t>
        </is>
      </c>
      <c r="C170" s="2" t="inlineStr">
        <is>
          <t>No website found</t>
        </is>
      </c>
      <c r="D170" s="2" t="inlineStr">
        <is>
          <t>I DO</t>
        </is>
      </c>
      <c r="E170" s="2" t="inlineStr">
        <is>
          <t>cafe</t>
        </is>
      </c>
      <c r="F170" s="2" t="inlineStr">
        <is>
          <t>Brisbane</t>
        </is>
      </c>
      <c r="G170" s="2" t="inlineStr">
        <is>
          <t>Instagram</t>
        </is>
      </c>
      <c r="H170" s="4" t="inlineStr">
        <is>
          <t>https://www.instagram.com/idocafe_auchenflower</t>
        </is>
      </c>
      <c r="I170" s="2" t="inlineStr"/>
      <c r="J170" s="2" t="inlineStr">
        <is>
          <t>+61 493 713 688</t>
        </is>
      </c>
      <c r="K170" s="2" t="inlineStr"/>
      <c r="L170" s="2" t="inlineStr">
        <is>
          <t>no website listed, only social media (verify on Google Maps)</t>
        </is>
      </c>
      <c r="M170" s="2" t="inlineStr">
        <is>
          <t>Hi I DO team! [one real detail from their page]. We're AceAds, a web design studio. We couldn't find a website for I DO, only your Instagram. We'd be happy to make you a free preview of what a website could look like. Want one? No cost, no obligation.</t>
        </is>
      </c>
      <c r="N170" s="4" t="inlineStr">
        <is>
          <t>Open map</t>
        </is>
      </c>
      <c r="O170" s="2" t="inlineStr">
        <is>
          <t>Not contacted</t>
        </is>
      </c>
      <c r="P170" s="2" t="inlineStr"/>
      <c r="Q170" s="2" t="inlineStr"/>
      <c r="R170" s="2" t="inlineStr"/>
      <c r="S170" s="2" t="inlineStr"/>
    </row>
    <row r="171">
      <c r="A171" s="2" t="n">
        <v>170</v>
      </c>
      <c r="B171" s="5" t="inlineStr">
        <is>
          <t>VERIFY FIRST</t>
        </is>
      </c>
      <c r="C171" s="2" t="inlineStr">
        <is>
          <t>No website found</t>
        </is>
      </c>
      <c r="D171" s="2" t="inlineStr">
        <is>
          <t>La Familia Espesso Bar</t>
        </is>
      </c>
      <c r="E171" s="2" t="inlineStr">
        <is>
          <t>cafe</t>
        </is>
      </c>
      <c r="F171" s="2" t="inlineStr">
        <is>
          <t>Brisbane</t>
        </is>
      </c>
      <c r="G171" s="2" t="inlineStr">
        <is>
          <t>Facebook</t>
        </is>
      </c>
      <c r="H171" s="2" t="inlineStr"/>
      <c r="I171" s="4" t="inlineStr">
        <is>
          <t>https://www.facebook.com/lafamiliacoffeeco</t>
        </is>
      </c>
      <c r="J171" s="2" t="inlineStr">
        <is>
          <t>+61 434 901 366</t>
        </is>
      </c>
      <c r="K171" s="2" t="inlineStr"/>
      <c r="L171" s="2" t="inlineStr">
        <is>
          <t>no website listed, only social media (verify on Google Maps)</t>
        </is>
      </c>
      <c r="M171" s="2" t="inlineStr">
        <is>
          <t>Hi La Familia Espesso Bar team! [one real detail from their page]. We're AceAds, a web design studio. We couldn't find a website for La Familia Espesso Bar, only your Facebook. We'd be happy to make you a free preview of what a website could look like. Want one? No cost, no obligation.</t>
        </is>
      </c>
      <c r="N171" s="4" t="inlineStr">
        <is>
          <t>Open map</t>
        </is>
      </c>
      <c r="O171" s="2" t="inlineStr">
        <is>
          <t>Not contacted</t>
        </is>
      </c>
      <c r="P171" s="2" t="inlineStr"/>
      <c r="Q171" s="2" t="inlineStr"/>
      <c r="R171" s="2" t="inlineStr"/>
      <c r="S171" s="2" t="inlineStr"/>
    </row>
    <row r="172">
      <c r="A172" s="2" t="n">
        <v>171</v>
      </c>
      <c r="B172" s="5" t="inlineStr">
        <is>
          <t>VERIFY FIRST</t>
        </is>
      </c>
      <c r="C172" s="2" t="inlineStr">
        <is>
          <t>No website found</t>
        </is>
      </c>
      <c r="D172" s="2" t="inlineStr">
        <is>
          <t>Laneway 86</t>
        </is>
      </c>
      <c r="E172" s="2" t="inlineStr">
        <is>
          <t>cafe</t>
        </is>
      </c>
      <c r="F172" s="2" t="inlineStr">
        <is>
          <t>Brisbane</t>
        </is>
      </c>
      <c r="G172" s="2" t="inlineStr">
        <is>
          <t>Instagram</t>
        </is>
      </c>
      <c r="H172" s="4" t="inlineStr">
        <is>
          <t>https://www.instagram.com/laneway86/</t>
        </is>
      </c>
      <c r="I172" s="2" t="inlineStr"/>
      <c r="J172" s="2" t="inlineStr"/>
      <c r="K172" s="2" t="inlineStr"/>
      <c r="L172" s="2" t="inlineStr">
        <is>
          <t>no website listed, only social media (verify on Google Maps)</t>
        </is>
      </c>
      <c r="M172" s="2" t="inlineStr">
        <is>
          <t>Hi Laneway 86 team! [one real detail from their page]. We're AceAds, a web design studio. We couldn't find a website for Laneway 86, only your Instagram. We'd be happy to make you a free preview of what a website could look like. Want one? No cost, no obligation.</t>
        </is>
      </c>
      <c r="N172" s="4" t="inlineStr">
        <is>
          <t>Open map</t>
        </is>
      </c>
      <c r="O172" s="2" t="inlineStr">
        <is>
          <t>Not contacted</t>
        </is>
      </c>
      <c r="P172" s="2" t="inlineStr"/>
      <c r="Q172" s="2" t="inlineStr"/>
      <c r="R172" s="2" t="inlineStr"/>
      <c r="S172" s="2" t="inlineStr"/>
    </row>
    <row r="173">
      <c r="A173" s="2" t="n">
        <v>172</v>
      </c>
      <c r="B173" s="5" t="inlineStr">
        <is>
          <t>VERIFY FIRST</t>
        </is>
      </c>
      <c r="C173" s="2" t="inlineStr">
        <is>
          <t>No website found</t>
        </is>
      </c>
      <c r="D173" s="2" t="inlineStr">
        <is>
          <t>Le Cafe Ashgrove</t>
        </is>
      </c>
      <c r="E173" s="2" t="inlineStr">
        <is>
          <t>cafe</t>
        </is>
      </c>
      <c r="F173" s="2" t="inlineStr">
        <is>
          <t>Brisbane</t>
        </is>
      </c>
      <c r="G173" s="2" t="inlineStr">
        <is>
          <t>Facebook</t>
        </is>
      </c>
      <c r="H173" s="2" t="inlineStr"/>
      <c r="I173" s="4" t="inlineStr">
        <is>
          <t>https://www.facebook.com/Lecafeashgrove/</t>
        </is>
      </c>
      <c r="J173" s="2" t="inlineStr">
        <is>
          <t>+61 7 3366 6234</t>
        </is>
      </c>
      <c r="K173" s="2" t="inlineStr"/>
      <c r="L173" s="2" t="inlineStr">
        <is>
          <t>no website listed, only social media (verify on Google Maps)</t>
        </is>
      </c>
      <c r="M173" s="2" t="inlineStr">
        <is>
          <t>Hi Le Cafe Ashgrove team! [one real detail from their page]. We're AceAds, a web design studio. We couldn't find a website for Le Cafe Ashgrove, only your Facebook. We'd be happy to make you a free preview of what a website could look like. Want one? No cost, no obligation.</t>
        </is>
      </c>
      <c r="N173" s="4" t="inlineStr">
        <is>
          <t>Open map</t>
        </is>
      </c>
      <c r="O173" s="2" t="inlineStr">
        <is>
          <t>Not contacted</t>
        </is>
      </c>
      <c r="P173" s="2" t="inlineStr"/>
      <c r="Q173" s="2" t="inlineStr"/>
      <c r="R173" s="2" t="inlineStr"/>
      <c r="S173" s="2" t="inlineStr"/>
    </row>
    <row r="174">
      <c r="A174" s="2" t="n">
        <v>173</v>
      </c>
      <c r="B174" s="5" t="inlineStr">
        <is>
          <t>VERIFY FIRST</t>
        </is>
      </c>
      <c r="C174" s="2" t="inlineStr">
        <is>
          <t>No website found</t>
        </is>
      </c>
      <c r="D174" s="2" t="inlineStr">
        <is>
          <t>Make My Day</t>
        </is>
      </c>
      <c r="E174" s="2" t="inlineStr">
        <is>
          <t>cafe</t>
        </is>
      </c>
      <c r="F174" s="2" t="inlineStr">
        <is>
          <t>Brisbane</t>
        </is>
      </c>
      <c r="G174" s="2" t="inlineStr">
        <is>
          <t>Instagram</t>
        </is>
      </c>
      <c r="H174" s="4" t="inlineStr">
        <is>
          <t>https://www.instagram.com/makemyday.cafe</t>
        </is>
      </c>
      <c r="I174" s="2" t="inlineStr"/>
      <c r="J174" s="2" t="inlineStr"/>
      <c r="K174" s="2" t="inlineStr"/>
      <c r="L174" s="2" t="inlineStr">
        <is>
          <t>no website listed, only social media (verify on Google Maps)</t>
        </is>
      </c>
      <c r="M174" s="2" t="inlineStr">
        <is>
          <t>Hi Make My Day team! [one real detail from their page]. We're AceAds, a web design studio. We couldn't find a website for Make My Day, only your Instagram. We'd be happy to make you a free preview of what a website could look like. Want one? No cost, no obligation.</t>
        </is>
      </c>
      <c r="N174" s="4" t="inlineStr">
        <is>
          <t>Open map</t>
        </is>
      </c>
      <c r="O174" s="2" t="inlineStr">
        <is>
          <t>Not contacted</t>
        </is>
      </c>
      <c r="P174" s="2" t="inlineStr"/>
      <c r="Q174" s="2" t="inlineStr"/>
      <c r="R174" s="2" t="inlineStr"/>
      <c r="S174" s="2" t="inlineStr"/>
    </row>
    <row r="175">
      <c r="A175" s="2" t="n">
        <v>174</v>
      </c>
      <c r="B175" s="5" t="inlineStr">
        <is>
          <t>VERIFY FIRST</t>
        </is>
      </c>
      <c r="C175" s="2" t="inlineStr">
        <is>
          <t>No website found</t>
        </is>
      </c>
      <c r="D175" s="2" t="inlineStr">
        <is>
          <t>Manka Cafe</t>
        </is>
      </c>
      <c r="E175" s="2" t="inlineStr">
        <is>
          <t>cafe</t>
        </is>
      </c>
      <c r="F175" s="2" t="inlineStr">
        <is>
          <t>Brisbane</t>
        </is>
      </c>
      <c r="G175" s="2" t="inlineStr">
        <is>
          <t>Instagram</t>
        </is>
      </c>
      <c r="H175" s="4" t="inlineStr">
        <is>
          <t>https://www.instagram.com/manka_cafe</t>
        </is>
      </c>
      <c r="I175" s="2" t="inlineStr"/>
      <c r="J175" s="2" t="inlineStr"/>
      <c r="K175" s="2" t="inlineStr"/>
      <c r="L175" s="2" t="inlineStr">
        <is>
          <t>no website listed, only social media (verify on Google Maps)</t>
        </is>
      </c>
      <c r="M175" s="2" t="inlineStr">
        <is>
          <t>Hi Manka Cafe team! [one real detail from their page]. We're AceAds, a web design studio. We couldn't find a website for Manka Cafe, only your Instagram. We'd be happy to make you a free preview of what a website could look like. Want one? No cost, no obligation.</t>
        </is>
      </c>
      <c r="N175" s="4" t="inlineStr">
        <is>
          <t>Open map</t>
        </is>
      </c>
      <c r="O175" s="2" t="inlineStr">
        <is>
          <t>Not contacted</t>
        </is>
      </c>
      <c r="P175" s="2" t="inlineStr"/>
      <c r="Q175" s="2" t="inlineStr"/>
      <c r="R175" s="2" t="inlineStr"/>
      <c r="S175" s="2" t="inlineStr"/>
    </row>
    <row r="176">
      <c r="A176" s="2" t="n">
        <v>175</v>
      </c>
      <c r="B176" s="5" t="inlineStr">
        <is>
          <t>VERIFY FIRST</t>
        </is>
      </c>
      <c r="C176" s="2" t="inlineStr">
        <is>
          <t>No website found</t>
        </is>
      </c>
      <c r="D176" s="2" t="inlineStr">
        <is>
          <t>Mean Beanz Espresso</t>
        </is>
      </c>
      <c r="E176" s="2" t="inlineStr">
        <is>
          <t>cafe</t>
        </is>
      </c>
      <c r="F176" s="2" t="inlineStr">
        <is>
          <t>Brisbane</t>
        </is>
      </c>
      <c r="G176" s="2" t="inlineStr">
        <is>
          <t>Facebook</t>
        </is>
      </c>
      <c r="H176" s="2" t="inlineStr"/>
      <c r="I176" s="4" t="inlineStr">
        <is>
          <t>https://www.facebook.com/MeanBeanzEspresso</t>
        </is>
      </c>
      <c r="J176" s="2" t="inlineStr"/>
      <c r="K176" s="2" t="inlineStr"/>
      <c r="L176" s="2" t="inlineStr">
        <is>
          <t>no website listed, only social media (verify on Google Maps)</t>
        </is>
      </c>
      <c r="M176" s="2" t="inlineStr">
        <is>
          <t>Hi Mean Beanz Espresso team! [one real detail from their page]. We're AceAds, a web design studio. We couldn't find a website for Mean Beanz Espresso, only your Facebook. We'd be happy to make you a free preview of what a website could look like. Want one? No cost, no obligation.</t>
        </is>
      </c>
      <c r="N176" s="4" t="inlineStr">
        <is>
          <t>Open map</t>
        </is>
      </c>
      <c r="O176" s="2" t="inlineStr">
        <is>
          <t>Not contacted</t>
        </is>
      </c>
      <c r="P176" s="2" t="inlineStr"/>
      <c r="Q176" s="2" t="inlineStr"/>
      <c r="R176" s="2" t="inlineStr"/>
      <c r="S176" s="2" t="inlineStr"/>
    </row>
    <row r="177">
      <c r="A177" s="2" t="n">
        <v>176</v>
      </c>
      <c r="B177" s="5" t="inlineStr">
        <is>
          <t>VERIFY FIRST</t>
        </is>
      </c>
      <c r="C177" s="2" t="inlineStr">
        <is>
          <t>No website found</t>
        </is>
      </c>
      <c r="D177" s="2" t="inlineStr">
        <is>
          <t>Mow and Co.</t>
        </is>
      </c>
      <c r="E177" s="2" t="inlineStr">
        <is>
          <t>cafe</t>
        </is>
      </c>
      <c r="F177" s="2" t="inlineStr">
        <is>
          <t>Brisbane</t>
        </is>
      </c>
      <c r="G177" s="2" t="inlineStr">
        <is>
          <t>Instagram</t>
        </is>
      </c>
      <c r="H177" s="4" t="inlineStr">
        <is>
          <t>https://www.instagram.com/hellomowandco/</t>
        </is>
      </c>
      <c r="I177" s="2" t="inlineStr"/>
      <c r="J177" s="2" t="inlineStr"/>
      <c r="K177" s="2" t="inlineStr"/>
      <c r="L177" s="2" t="inlineStr">
        <is>
          <t>no website listed, only social media (verify on Google Maps)</t>
        </is>
      </c>
      <c r="M177" s="2" t="inlineStr">
        <is>
          <t>Hi Mow and Co. team! [one real detail from their page]. We're AceAds, a web design studio. We couldn't find a website for Mow and Co., only your Instagram. We'd be happy to make you a free preview of what a website could look like. Want one? No cost, no obligation.</t>
        </is>
      </c>
      <c r="N177" s="4" t="inlineStr">
        <is>
          <t>Open map</t>
        </is>
      </c>
      <c r="O177" s="2" t="inlineStr">
        <is>
          <t>Not contacted</t>
        </is>
      </c>
      <c r="P177" s="2" t="inlineStr"/>
      <c r="Q177" s="2" t="inlineStr"/>
      <c r="R177" s="2" t="inlineStr"/>
      <c r="S177" s="2" t="inlineStr"/>
    </row>
    <row r="178">
      <c r="A178" s="2" t="n">
        <v>177</v>
      </c>
      <c r="B178" s="5" t="inlineStr">
        <is>
          <t>VERIFY FIRST</t>
        </is>
      </c>
      <c r="C178" s="2" t="inlineStr">
        <is>
          <t>No website found</t>
        </is>
      </c>
      <c r="D178" s="2" t="inlineStr">
        <is>
          <t>Nurse Station Coffee and Juice Bar</t>
        </is>
      </c>
      <c r="E178" s="2" t="inlineStr">
        <is>
          <t>cafe</t>
        </is>
      </c>
      <c r="F178" s="2" t="inlineStr">
        <is>
          <t>Brisbane</t>
        </is>
      </c>
      <c r="G178" s="2" t="inlineStr">
        <is>
          <t>Instagram</t>
        </is>
      </c>
      <c r="H178" s="4" t="inlineStr">
        <is>
          <t>https://www.instagram.com/nursestationcafe</t>
        </is>
      </c>
      <c r="I178" s="4" t="inlineStr">
        <is>
          <t>https://www.facebook.com/nursestationcafe</t>
        </is>
      </c>
      <c r="J178" s="2" t="inlineStr">
        <is>
          <t>+61 7 3010 5722</t>
        </is>
      </c>
      <c r="K178" s="2" t="inlineStr"/>
      <c r="L178" s="2" t="inlineStr">
        <is>
          <t>no website listed, only social media (verify on Google Maps)</t>
        </is>
      </c>
      <c r="M178" s="2" t="inlineStr">
        <is>
          <t>Hi Nurse Station Coffee and Juice Bar team! [one real detail from their page]. We're AceAds, a web design studio. We couldn't find a website for Nurse Station Coffee and Juice Bar, only your Instagram. We'd be happy to make you a free preview of what a website could look like. Want one? No cost, no obligation.</t>
        </is>
      </c>
      <c r="N178" s="4" t="inlineStr">
        <is>
          <t>Open map</t>
        </is>
      </c>
      <c r="O178" s="2" t="inlineStr">
        <is>
          <t>Not contacted</t>
        </is>
      </c>
      <c r="P178" s="2" t="inlineStr"/>
      <c r="Q178" s="2" t="inlineStr"/>
      <c r="R178" s="2" t="inlineStr"/>
      <c r="S178" s="2" t="inlineStr"/>
    </row>
    <row r="179">
      <c r="A179" s="2" t="n">
        <v>178</v>
      </c>
      <c r="B179" s="5" t="inlineStr">
        <is>
          <t>VERIFY FIRST</t>
        </is>
      </c>
      <c r="C179" s="2" t="inlineStr">
        <is>
          <t>No website found</t>
        </is>
      </c>
      <c r="D179" s="2" t="inlineStr">
        <is>
          <t>Orange Tea Brisbane One</t>
        </is>
      </c>
      <c r="E179" s="2" t="inlineStr">
        <is>
          <t>cafe</t>
        </is>
      </c>
      <c r="F179" s="2" t="inlineStr">
        <is>
          <t>Brisbane</t>
        </is>
      </c>
      <c r="G179" s="2" t="inlineStr">
        <is>
          <t>Facebook</t>
        </is>
      </c>
      <c r="H179" s="2" t="inlineStr"/>
      <c r="I179" s="4" t="inlineStr">
        <is>
          <t>https://www.facebook.com/OrangeTeaAustralia</t>
        </is>
      </c>
      <c r="J179" s="2" t="inlineStr">
        <is>
          <t>+61 413 871 636</t>
        </is>
      </c>
      <c r="K179" s="2" t="inlineStr"/>
      <c r="L179" s="2" t="inlineStr">
        <is>
          <t>no website listed, only social media (verify on Google Maps)</t>
        </is>
      </c>
      <c r="M179" s="2" t="inlineStr">
        <is>
          <t>Hi Orange Tea Brisbane One team! [one real detail from their page]. We're AceAds, a web design studio. We couldn't find a website for Orange Tea Brisbane One, only your Facebook. We'd be happy to make you a free preview of what a website could look like. Want one? No cost, no obligation.</t>
        </is>
      </c>
      <c r="N179" s="4" t="inlineStr">
        <is>
          <t>Open map</t>
        </is>
      </c>
      <c r="O179" s="2" t="inlineStr">
        <is>
          <t>Not contacted</t>
        </is>
      </c>
      <c r="P179" s="2" t="inlineStr"/>
      <c r="Q179" s="2" t="inlineStr"/>
      <c r="R179" s="2" t="inlineStr"/>
      <c r="S179" s="2" t="inlineStr"/>
    </row>
    <row r="180">
      <c r="A180" s="2" t="n">
        <v>179</v>
      </c>
      <c r="B180" s="5" t="inlineStr">
        <is>
          <t>VERIFY FIRST</t>
        </is>
      </c>
      <c r="C180" s="2" t="inlineStr">
        <is>
          <t>No website found</t>
        </is>
      </c>
      <c r="D180" s="2" t="inlineStr">
        <is>
          <t>POD Espresso</t>
        </is>
      </c>
      <c r="E180" s="2" t="inlineStr">
        <is>
          <t>cafe</t>
        </is>
      </c>
      <c r="F180" s="2" t="inlineStr">
        <is>
          <t>Brisbane</t>
        </is>
      </c>
      <c r="G180" s="2" t="inlineStr">
        <is>
          <t>Facebook</t>
        </is>
      </c>
      <c r="H180" s="2" t="inlineStr"/>
      <c r="I180" s="4" t="inlineStr">
        <is>
          <t>https://www.facebook.com/podespresso/</t>
        </is>
      </c>
      <c r="J180" s="2" t="inlineStr">
        <is>
          <t>+61 435 273 186</t>
        </is>
      </c>
      <c r="K180" s="2" t="inlineStr"/>
      <c r="L180" s="2" t="inlineStr">
        <is>
          <t>no website listed, only social media (verify on Google Maps)</t>
        </is>
      </c>
      <c r="M180" s="2" t="inlineStr">
        <is>
          <t>Hi POD Espresso team! [one real detail from their page]. We're AceAds, a web design studio. We couldn't find a website for POD Espresso, only your Facebook. We'd be happy to make you a free preview of what a website could look like. Want one? No cost, no obligation.</t>
        </is>
      </c>
      <c r="N180" s="4" t="inlineStr">
        <is>
          <t>Open map</t>
        </is>
      </c>
      <c r="O180" s="2" t="inlineStr">
        <is>
          <t>Not contacted</t>
        </is>
      </c>
      <c r="P180" s="2" t="inlineStr"/>
      <c r="Q180" s="2" t="inlineStr"/>
      <c r="R180" s="2" t="inlineStr"/>
      <c r="S180" s="2" t="inlineStr"/>
    </row>
    <row r="181">
      <c r="A181" s="2" t="n">
        <v>180</v>
      </c>
      <c r="B181" s="5" t="inlineStr">
        <is>
          <t>VERIFY FIRST</t>
        </is>
      </c>
      <c r="C181" s="2" t="inlineStr">
        <is>
          <t>No website found</t>
        </is>
      </c>
      <c r="D181" s="2" t="inlineStr">
        <is>
          <t>Pure Shot Cafe</t>
        </is>
      </c>
      <c r="E181" s="2" t="inlineStr">
        <is>
          <t>cafe</t>
        </is>
      </c>
      <c r="F181" s="2" t="inlineStr">
        <is>
          <t>Brisbane</t>
        </is>
      </c>
      <c r="G181" s="2" t="inlineStr">
        <is>
          <t>Facebook</t>
        </is>
      </c>
      <c r="H181" s="2" t="inlineStr"/>
      <c r="I181" s="4" t="inlineStr">
        <is>
          <t>https://www.facebook.com/pureshotcafe</t>
        </is>
      </c>
      <c r="J181" s="2" t="inlineStr"/>
      <c r="K181" s="2" t="inlineStr"/>
      <c r="L181" s="2" t="inlineStr">
        <is>
          <t>no website listed, only social media (verify on Google Maps)</t>
        </is>
      </c>
      <c r="M181" s="2" t="inlineStr">
        <is>
          <t>Hi Pure Shot Cafe team! [one real detail from their page]. We're AceAds, a web design studio. We couldn't find a website for Pure Shot Cafe, only your Facebook. We'd be happy to make you a free preview of what a website could look like. Want one? No cost, no obligation.</t>
        </is>
      </c>
      <c r="N181" s="4" t="inlineStr">
        <is>
          <t>Open map</t>
        </is>
      </c>
      <c r="O181" s="2" t="inlineStr">
        <is>
          <t>Not contacted</t>
        </is>
      </c>
      <c r="P181" s="2" t="inlineStr"/>
      <c r="Q181" s="2" t="inlineStr"/>
      <c r="R181" s="2" t="inlineStr"/>
      <c r="S181" s="2" t="inlineStr"/>
    </row>
    <row r="182">
      <c r="A182" s="2" t="n">
        <v>181</v>
      </c>
      <c r="B182" s="5" t="inlineStr">
        <is>
          <t>VERIFY FIRST</t>
        </is>
      </c>
      <c r="C182" s="2" t="inlineStr">
        <is>
          <t>No website found</t>
        </is>
      </c>
      <c r="D182" s="2" t="inlineStr">
        <is>
          <t>Sips O'clock</t>
        </is>
      </c>
      <c r="E182" s="2" t="inlineStr">
        <is>
          <t>cafe</t>
        </is>
      </c>
      <c r="F182" s="2" t="inlineStr">
        <is>
          <t>Brisbane</t>
        </is>
      </c>
      <c r="G182" s="2" t="inlineStr">
        <is>
          <t>Instagram</t>
        </is>
      </c>
      <c r="H182" s="4" t="inlineStr">
        <is>
          <t>https://www.instagram.com/sipsoclock/</t>
        </is>
      </c>
      <c r="I182" s="2" t="inlineStr"/>
      <c r="J182" s="2" t="inlineStr"/>
      <c r="K182" s="2" t="inlineStr"/>
      <c r="L182" s="2" t="inlineStr">
        <is>
          <t>no website listed, only social media (verify on Google Maps)</t>
        </is>
      </c>
      <c r="M182" s="2" t="inlineStr">
        <is>
          <t>Hi Sips O'clock team! [one real detail from their page]. We're AceAds, a web design studio. We couldn't find a website for Sips O'clock, only your Instagram. We'd be happy to make you a free preview of what a website could look like. Want one? No cost, no obligation.</t>
        </is>
      </c>
      <c r="N182" s="4" t="inlineStr">
        <is>
          <t>Open map</t>
        </is>
      </c>
      <c r="O182" s="2" t="inlineStr">
        <is>
          <t>Not contacted</t>
        </is>
      </c>
      <c r="P182" s="2" t="inlineStr"/>
      <c r="Q182" s="2" t="inlineStr"/>
      <c r="R182" s="2" t="inlineStr"/>
      <c r="S182" s="2" t="inlineStr"/>
    </row>
    <row r="183">
      <c r="A183" s="2" t="n">
        <v>182</v>
      </c>
      <c r="B183" s="5" t="inlineStr">
        <is>
          <t>VERIFY FIRST</t>
        </is>
      </c>
      <c r="C183" s="2" t="inlineStr">
        <is>
          <t>No website found</t>
        </is>
      </c>
      <c r="D183" s="2" t="inlineStr">
        <is>
          <t>Snag &amp; Brown</t>
        </is>
      </c>
      <c r="E183" s="2" t="inlineStr">
        <is>
          <t>cafe</t>
        </is>
      </c>
      <c r="F183" s="2" t="inlineStr">
        <is>
          <t>Brisbane</t>
        </is>
      </c>
      <c r="G183" s="2" t="inlineStr">
        <is>
          <t>Facebook</t>
        </is>
      </c>
      <c r="H183" s="2" t="inlineStr"/>
      <c r="I183" s="4" t="inlineStr">
        <is>
          <t>https://www.facebook.com/snagandbrownannerley/</t>
        </is>
      </c>
      <c r="J183" s="2" t="inlineStr">
        <is>
          <t>+61 7 3848 8139</t>
        </is>
      </c>
      <c r="K183" s="2" t="inlineStr"/>
      <c r="L183" s="2" t="inlineStr">
        <is>
          <t>no website listed, only social media (verify on Google Maps)</t>
        </is>
      </c>
      <c r="M183" s="2" t="inlineStr">
        <is>
          <t>Hi Snag &amp; Brown team! [one real detail from their page]. We're AceAds, a web design studio. We couldn't find a website for Snag &amp; Brown, only your Facebook. We'd be happy to make you a free preview of what a website could look like. Want one? No cost, no obligation.</t>
        </is>
      </c>
      <c r="N183" s="4" t="inlineStr">
        <is>
          <t>Open map</t>
        </is>
      </c>
      <c r="O183" s="2" t="inlineStr">
        <is>
          <t>Not contacted</t>
        </is>
      </c>
      <c r="P183" s="2" t="inlineStr"/>
      <c r="Q183" s="2" t="inlineStr"/>
      <c r="R183" s="2" t="inlineStr"/>
      <c r="S183" s="2" t="inlineStr"/>
    </row>
    <row r="184">
      <c r="A184" s="2" t="n">
        <v>183</v>
      </c>
      <c r="B184" s="5" t="inlineStr">
        <is>
          <t>VERIFY FIRST</t>
        </is>
      </c>
      <c r="C184" s="2" t="inlineStr">
        <is>
          <t>No website found</t>
        </is>
      </c>
      <c r="D184" s="2" t="inlineStr">
        <is>
          <t>Snug Cafe</t>
        </is>
      </c>
      <c r="E184" s="2" t="inlineStr">
        <is>
          <t>cafe</t>
        </is>
      </c>
      <c r="F184" s="2" t="inlineStr">
        <is>
          <t>Brisbane</t>
        </is>
      </c>
      <c r="G184" s="2" t="inlineStr">
        <is>
          <t>Instagram</t>
        </is>
      </c>
      <c r="H184" s="4" t="inlineStr">
        <is>
          <t>https://www.instagram.com/snug.bne</t>
        </is>
      </c>
      <c r="I184" s="2" t="inlineStr"/>
      <c r="J184" s="2" t="inlineStr"/>
      <c r="K184" s="2" t="inlineStr"/>
      <c r="L184" s="2" t="inlineStr">
        <is>
          <t>no website listed, only social media (verify on Google Maps)</t>
        </is>
      </c>
      <c r="M184" s="2" t="inlineStr">
        <is>
          <t>Hi Snug Cafe team! [one real detail from their page]. We're AceAds, a web design studio. We couldn't find a website for Snug Cafe, only your Instagram. We'd be happy to make you a free preview of what a website could look like. Want one? No cost, no obligation.</t>
        </is>
      </c>
      <c r="N184" s="4" t="inlineStr">
        <is>
          <t>Open map</t>
        </is>
      </c>
      <c r="O184" s="2" t="inlineStr">
        <is>
          <t>Not contacted</t>
        </is>
      </c>
      <c r="P184" s="2" t="inlineStr"/>
      <c r="Q184" s="2" t="inlineStr"/>
      <c r="R184" s="2" t="inlineStr"/>
      <c r="S184" s="2" t="inlineStr"/>
    </row>
    <row r="185">
      <c r="A185" s="2" t="n">
        <v>184</v>
      </c>
      <c r="B185" s="5" t="inlineStr">
        <is>
          <t>VERIFY FIRST</t>
        </is>
      </c>
      <c r="C185" s="2" t="inlineStr">
        <is>
          <t>No website found</t>
        </is>
      </c>
      <c r="D185" s="2" t="inlineStr">
        <is>
          <t>Studio Solo and Co</t>
        </is>
      </c>
      <c r="E185" s="2" t="inlineStr">
        <is>
          <t>cafe</t>
        </is>
      </c>
      <c r="F185" s="2" t="inlineStr">
        <is>
          <t>Brisbane</t>
        </is>
      </c>
      <c r="G185" s="2" t="inlineStr">
        <is>
          <t>Facebook</t>
        </is>
      </c>
      <c r="H185" s="2" t="inlineStr"/>
      <c r="I185" s="4" t="inlineStr">
        <is>
          <t>https://www.facebook.com/p/Studio-Solo-Co-100063505363434/</t>
        </is>
      </c>
      <c r="J185" s="2" t="inlineStr"/>
      <c r="K185" s="2" t="inlineStr"/>
      <c r="L185" s="2" t="inlineStr">
        <is>
          <t>no website listed, only social media (verify on Google Maps)</t>
        </is>
      </c>
      <c r="M185" s="2" t="inlineStr">
        <is>
          <t>Hi Studio Solo and Co team! [one real detail from their page]. We're AceAds, a web design studio. We couldn't find a website for Studio Solo and Co, only your Facebook. We'd be happy to make you a free preview of what a website could look like. Want one? No cost, no obligation.</t>
        </is>
      </c>
      <c r="N185" s="4" t="inlineStr">
        <is>
          <t>Open map</t>
        </is>
      </c>
      <c r="O185" s="2" t="inlineStr">
        <is>
          <t>Not contacted</t>
        </is>
      </c>
      <c r="P185" s="2" t="inlineStr"/>
      <c r="Q185" s="2" t="inlineStr"/>
      <c r="R185" s="2" t="inlineStr"/>
      <c r="S185" s="2" t="inlineStr"/>
    </row>
    <row r="186">
      <c r="A186" s="2" t="n">
        <v>185</v>
      </c>
      <c r="B186" s="5" t="inlineStr">
        <is>
          <t>VERIFY FIRST</t>
        </is>
      </c>
      <c r="C186" s="2" t="inlineStr">
        <is>
          <t>No website found</t>
        </is>
      </c>
      <c r="D186" s="2" t="inlineStr">
        <is>
          <t>The Baristorian</t>
        </is>
      </c>
      <c r="E186" s="2" t="inlineStr">
        <is>
          <t>cafe</t>
        </is>
      </c>
      <c r="F186" s="2" t="inlineStr">
        <is>
          <t>Brisbane</t>
        </is>
      </c>
      <c r="G186" s="2" t="inlineStr">
        <is>
          <t>Facebook</t>
        </is>
      </c>
      <c r="H186" s="2" t="inlineStr"/>
      <c r="I186" s="4" t="inlineStr">
        <is>
          <t>https://www.facebook.com/TheBaristorian/</t>
        </is>
      </c>
      <c r="J186" s="2" t="inlineStr"/>
      <c r="K186" s="2" t="inlineStr"/>
      <c r="L186" s="2" t="inlineStr">
        <is>
          <t>no website listed, only social media (verify on Google Maps)</t>
        </is>
      </c>
      <c r="M186" s="2" t="inlineStr">
        <is>
          <t>Hi The Baristorian team! [one real detail from their page]. We're AceAds, a web design studio. We couldn't find a website for The Baristorian, only your Facebook. We'd be happy to make you a free preview of what a website could look like. Want one? No cost, no obligation.</t>
        </is>
      </c>
      <c r="N186" s="4" t="inlineStr">
        <is>
          <t>Open map</t>
        </is>
      </c>
      <c r="O186" s="2" t="inlineStr">
        <is>
          <t>Not contacted</t>
        </is>
      </c>
      <c r="P186" s="2" t="inlineStr"/>
      <c r="Q186" s="2" t="inlineStr"/>
      <c r="R186" s="2" t="inlineStr"/>
      <c r="S186" s="2" t="inlineStr"/>
    </row>
    <row r="187">
      <c r="A187" s="2" t="n">
        <v>186</v>
      </c>
      <c r="B187" s="5" t="inlineStr">
        <is>
          <t>VERIFY FIRST</t>
        </is>
      </c>
      <c r="C187" s="2" t="inlineStr">
        <is>
          <t>No website found</t>
        </is>
      </c>
      <c r="D187" s="2" t="inlineStr">
        <is>
          <t>Upbeat</t>
        </is>
      </c>
      <c r="E187" s="2" t="inlineStr">
        <is>
          <t>cafe</t>
        </is>
      </c>
      <c r="F187" s="2" t="inlineStr">
        <is>
          <t>Brisbane</t>
        </is>
      </c>
      <c r="G187" s="2" t="inlineStr">
        <is>
          <t>Instagram</t>
        </is>
      </c>
      <c r="H187" s="4" t="inlineStr">
        <is>
          <t>https://www.instagram.com/upbeat.cafe_/</t>
        </is>
      </c>
      <c r="I187" s="4" t="inlineStr">
        <is>
          <t>https://www.facebook.com/people/Upbeat-Cafe/61578887307099/</t>
        </is>
      </c>
      <c r="J187" s="2" t="inlineStr"/>
      <c r="K187" s="2" t="inlineStr"/>
      <c r="L187" s="2" t="inlineStr">
        <is>
          <t>no website listed, only social media (verify on Google Maps)</t>
        </is>
      </c>
      <c r="M187" s="2" t="inlineStr">
        <is>
          <t>Hi Upbeat team! [one real detail from their page]. We're AceAds, a web design studio. We couldn't find a website for Upbeat, only your Instagram. We'd be happy to make you a free preview of what a website could look like. Want one? No cost, no obligation.</t>
        </is>
      </c>
      <c r="N187" s="4" t="inlineStr">
        <is>
          <t>Open map</t>
        </is>
      </c>
      <c r="O187" s="2" t="inlineStr">
        <is>
          <t>Not contacted</t>
        </is>
      </c>
      <c r="P187" s="2" t="inlineStr"/>
      <c r="Q187" s="2" t="inlineStr"/>
      <c r="R187" s="2" t="inlineStr"/>
      <c r="S187" s="2" t="inlineStr"/>
    </row>
    <row r="188">
      <c r="A188" s="2" t="n">
        <v>187</v>
      </c>
      <c r="B188" s="5" t="inlineStr">
        <is>
          <t>VERIFY FIRST</t>
        </is>
      </c>
      <c r="C188" s="2" t="inlineStr">
        <is>
          <t>No website found</t>
        </is>
      </c>
      <c r="D188" s="2" t="inlineStr">
        <is>
          <t>Vito's Cucina &amp; Bar Ascot</t>
        </is>
      </c>
      <c r="E188" s="2" t="inlineStr">
        <is>
          <t>cafe</t>
        </is>
      </c>
      <c r="F188" s="2" t="inlineStr">
        <is>
          <t>Brisbane</t>
        </is>
      </c>
      <c r="G188" s="2" t="inlineStr">
        <is>
          <t>Facebook</t>
        </is>
      </c>
      <c r="H188" s="2" t="inlineStr"/>
      <c r="I188" s="4" t="inlineStr">
        <is>
          <t>https://www.facebook.com/vitosascot/</t>
        </is>
      </c>
      <c r="J188" s="2" t="inlineStr"/>
      <c r="K188" s="2" t="inlineStr"/>
      <c r="L188" s="2" t="inlineStr">
        <is>
          <t>no website listed, only social media (verify on Google Maps)</t>
        </is>
      </c>
      <c r="M188" s="2" t="inlineStr">
        <is>
          <t>Hi Vito's Cucina &amp; Bar Ascot team! [one real detail from their page]. We're AceAds, a web design studio. We couldn't find a website for Vito's Cucina &amp; Bar Ascot, only your Facebook. We'd be happy to make you a free preview of what a website could look like. Want one? No cost, no obligation.</t>
        </is>
      </c>
      <c r="N188" s="4" t="inlineStr">
        <is>
          <t>Open map</t>
        </is>
      </c>
      <c r="O188" s="2" t="inlineStr">
        <is>
          <t>Not contacted</t>
        </is>
      </c>
      <c r="P188" s="2" t="inlineStr"/>
      <c r="Q188" s="2" t="inlineStr"/>
      <c r="R188" s="2" t="inlineStr"/>
      <c r="S188" s="2" t="inlineStr"/>
    </row>
    <row r="189">
      <c r="A189" s="2" t="n">
        <v>188</v>
      </c>
      <c r="B189" s="5" t="inlineStr">
        <is>
          <t>VERIFY FIRST</t>
        </is>
      </c>
      <c r="C189" s="2" t="inlineStr">
        <is>
          <t>No website found</t>
        </is>
      </c>
      <c r="D189" s="2" t="inlineStr">
        <is>
          <t>York St Espresso Bar</t>
        </is>
      </c>
      <c r="E189" s="2" t="inlineStr">
        <is>
          <t>cafe</t>
        </is>
      </c>
      <c r="F189" s="2" t="inlineStr">
        <is>
          <t>Brisbane</t>
        </is>
      </c>
      <c r="G189" s="2" t="inlineStr">
        <is>
          <t>Facebook</t>
        </is>
      </c>
      <c r="H189" s="2" t="inlineStr"/>
      <c r="I189" s="4" t="inlineStr">
        <is>
          <t>https://www.facebook.com/yorkstreetespressobar/</t>
        </is>
      </c>
      <c r="J189" s="2" t="inlineStr">
        <is>
          <t>+61 433 463 420</t>
        </is>
      </c>
      <c r="K189" s="2" t="inlineStr"/>
      <c r="L189" s="2" t="inlineStr">
        <is>
          <t>no website listed, only social media (verify on Google Maps)</t>
        </is>
      </c>
      <c r="M189" s="2" t="inlineStr">
        <is>
          <t>Hi York St Espresso Bar team! [one real detail from their page]. We're AceAds, a web design studio. We couldn't find a website for York St Espresso Bar, only your Facebook. We'd be happy to make you a free preview of what a website could look like. Want one? No cost, no obligation.</t>
        </is>
      </c>
      <c r="N189" s="4" t="inlineStr">
        <is>
          <t>Open map</t>
        </is>
      </c>
      <c r="O189" s="2" t="inlineStr">
        <is>
          <t>Not contacted</t>
        </is>
      </c>
      <c r="P189" s="2" t="inlineStr"/>
      <c r="Q189" s="2" t="inlineStr"/>
      <c r="R189" s="2" t="inlineStr"/>
      <c r="S189" s="2" t="inlineStr"/>
    </row>
    <row r="190">
      <c r="A190" s="2" t="n">
        <v>189</v>
      </c>
      <c r="B190" s="5" t="inlineStr">
        <is>
          <t>VERIFY FIRST</t>
        </is>
      </c>
      <c r="C190" s="2" t="inlineStr">
        <is>
          <t>No website found</t>
        </is>
      </c>
      <c r="D190" s="2" t="inlineStr">
        <is>
          <t>Zmirk Co.</t>
        </is>
      </c>
      <c r="E190" s="2" t="inlineStr">
        <is>
          <t>cafe</t>
        </is>
      </c>
      <c r="F190" s="2" t="inlineStr">
        <is>
          <t>Brisbane</t>
        </is>
      </c>
      <c r="G190" s="2" t="inlineStr">
        <is>
          <t>Instagram</t>
        </is>
      </c>
      <c r="H190" s="4" t="inlineStr">
        <is>
          <t>https://www.instagram.com/zmirk.bne</t>
        </is>
      </c>
      <c r="I190" s="2" t="inlineStr"/>
      <c r="J190" s="2" t="inlineStr"/>
      <c r="K190" s="2" t="inlineStr"/>
      <c r="L190" s="2" t="inlineStr">
        <is>
          <t>no website listed, only social media (verify on Google Maps)</t>
        </is>
      </c>
      <c r="M190" s="2" t="inlineStr">
        <is>
          <t>Hi Zmirk Co. team! [one real detail from their page]. We're AceAds, a web design studio. We couldn't find a website for Zmirk Co., only your Instagram. We'd be happy to make you a free preview of what a website could look like. Want one? No cost, no obligation.</t>
        </is>
      </c>
      <c r="N190" s="4" t="inlineStr">
        <is>
          <t>Open map</t>
        </is>
      </c>
      <c r="O190" s="2" t="inlineStr">
        <is>
          <t>Not contacted</t>
        </is>
      </c>
      <c r="P190" s="2" t="inlineStr"/>
      <c r="Q190" s="2" t="inlineStr"/>
      <c r="R190" s="2" t="inlineStr"/>
      <c r="S190" s="2" t="inlineStr"/>
    </row>
    <row r="191">
      <c r="A191" s="2" t="n">
        <v>190</v>
      </c>
      <c r="B191" s="5" t="inlineStr">
        <is>
          <t>VERIFY FIRST</t>
        </is>
      </c>
      <c r="C191" s="2" t="inlineStr">
        <is>
          <t>No website found</t>
        </is>
      </c>
      <c r="D191" s="2" t="inlineStr">
        <is>
          <t>Meadowbrook Early Learning Centre</t>
        </is>
      </c>
      <c r="E191" s="2" t="inlineStr">
        <is>
          <t>childcare</t>
        </is>
      </c>
      <c r="F191" s="2" t="inlineStr">
        <is>
          <t>Brisbane</t>
        </is>
      </c>
      <c r="G191" s="2" t="inlineStr">
        <is>
          <t>Facebook</t>
        </is>
      </c>
      <c r="H191" s="2" t="inlineStr"/>
      <c r="I191" s="4" t="inlineStr">
        <is>
          <t>https://www.facebook.com/meadowbrookelc/</t>
        </is>
      </c>
      <c r="J191" s="2" t="inlineStr"/>
      <c r="K191" s="2" t="inlineStr"/>
      <c r="L191" s="2" t="inlineStr">
        <is>
          <t>no website listed, only social media (verify on Google Maps)</t>
        </is>
      </c>
      <c r="M191" s="2" t="inlineStr">
        <is>
          <t>Hi Meadowbrook Early Learning Centre team! [one real detail from their page]. We're AceAds, a web design studio. We couldn't find a website for Meadowbrook Early Learning Centre, only your Facebook. We'd be happy to make you a free preview of what a website could look like. Want one? No cost, no obligation.</t>
        </is>
      </c>
      <c r="N191" s="4" t="inlineStr">
        <is>
          <t>Open map</t>
        </is>
      </c>
      <c r="O191" s="2" t="inlineStr">
        <is>
          <t>Not contacted</t>
        </is>
      </c>
      <c r="P191" s="2" t="inlineStr"/>
      <c r="Q191" s="2" t="inlineStr"/>
      <c r="R191" s="2" t="inlineStr"/>
      <c r="S191" s="2" t="inlineStr"/>
    </row>
    <row r="192">
      <c r="A192" s="2" t="n">
        <v>191</v>
      </c>
      <c r="B192" s="5" t="inlineStr">
        <is>
          <t>VERIFY FIRST</t>
        </is>
      </c>
      <c r="C192" s="2" t="inlineStr">
        <is>
          <t>No website found</t>
        </is>
      </c>
      <c r="D192" s="2" t="inlineStr">
        <is>
          <t>Banyo Meat Service</t>
        </is>
      </c>
      <c r="E192" s="2" t="inlineStr">
        <is>
          <t>deli or specialty food</t>
        </is>
      </c>
      <c r="F192" s="2" t="inlineStr">
        <is>
          <t>Brisbane</t>
        </is>
      </c>
      <c r="G192" s="2" t="inlineStr">
        <is>
          <t>Facebook</t>
        </is>
      </c>
      <c r="H192" s="2" t="inlineStr"/>
      <c r="I192" s="4" t="inlineStr">
        <is>
          <t>https://www.facebook.com/Banyo-meat-service-328382267317004/</t>
        </is>
      </c>
      <c r="J192" s="2" t="inlineStr"/>
      <c r="K192" s="2" t="inlineStr"/>
      <c r="L192" s="2" t="inlineStr">
        <is>
          <t>no website listed, only social media (verify on Google Maps)</t>
        </is>
      </c>
      <c r="M192" s="2" t="inlineStr">
        <is>
          <t>Hi Banyo Meat Service team! [one real detail from their page]. We're AceAds, a web design studio. We couldn't find a website for Banyo Meat Service, only your Facebook. We'd be happy to make you a free preview of what a website could look like. Want one? No cost, no obligation.</t>
        </is>
      </c>
      <c r="N192" s="4" t="inlineStr">
        <is>
          <t>Open map</t>
        </is>
      </c>
      <c r="O192" s="2" t="inlineStr">
        <is>
          <t>Not contacted</t>
        </is>
      </c>
      <c r="P192" s="2" t="inlineStr"/>
      <c r="Q192" s="2" t="inlineStr"/>
      <c r="R192" s="2" t="inlineStr"/>
      <c r="S192" s="2" t="inlineStr"/>
    </row>
    <row r="193">
      <c r="A193" s="2" t="n">
        <v>192</v>
      </c>
      <c r="B193" s="5" t="inlineStr">
        <is>
          <t>VERIFY FIRST</t>
        </is>
      </c>
      <c r="C193" s="2" t="inlineStr">
        <is>
          <t>No website found</t>
        </is>
      </c>
      <c r="D193" s="2" t="inlineStr">
        <is>
          <t>Bellas Fruit Market</t>
        </is>
      </c>
      <c r="E193" s="2" t="inlineStr">
        <is>
          <t>deli or specialty food</t>
        </is>
      </c>
      <c r="F193" s="2" t="inlineStr">
        <is>
          <t>Brisbane</t>
        </is>
      </c>
      <c r="G193" s="2" t="inlineStr">
        <is>
          <t>Facebook</t>
        </is>
      </c>
      <c r="H193" s="2" t="inlineStr"/>
      <c r="I193" s="4" t="inlineStr">
        <is>
          <t>https://facebook.com/pages/Bellas-Fruit-Market/316006148423409</t>
        </is>
      </c>
      <c r="J193" s="2" t="inlineStr">
        <is>
          <t>+61 7 3341 1095</t>
        </is>
      </c>
      <c r="K193" s="2" t="inlineStr"/>
      <c r="L193" s="2" t="inlineStr">
        <is>
          <t>no website listed, only social media (verify on Google Maps)</t>
        </is>
      </c>
      <c r="M193" s="2" t="inlineStr">
        <is>
          <t>Hi Bellas Fruit Market team! [one real detail from their page]. We're AceAds, a web design studio. We couldn't find a website for Bellas Fruit Market, only your Facebook. We'd be happy to make you a free preview of what a website could look like. Want one? No cost, no obligation.</t>
        </is>
      </c>
      <c r="N193" s="4" t="inlineStr">
        <is>
          <t>Open map</t>
        </is>
      </c>
      <c r="O193" s="2" t="inlineStr">
        <is>
          <t>Not contacted</t>
        </is>
      </c>
      <c r="P193" s="2" t="inlineStr"/>
      <c r="Q193" s="2" t="inlineStr"/>
      <c r="R193" s="2" t="inlineStr"/>
      <c r="S193" s="2" t="inlineStr"/>
    </row>
    <row r="194">
      <c r="A194" s="2" t="n">
        <v>193</v>
      </c>
      <c r="B194" s="5" t="inlineStr">
        <is>
          <t>VERIFY FIRST</t>
        </is>
      </c>
      <c r="C194" s="2" t="inlineStr">
        <is>
          <t>No website found</t>
        </is>
      </c>
      <c r="D194" s="2" t="inlineStr">
        <is>
          <t>Biltong Deli</t>
        </is>
      </c>
      <c r="E194" s="2" t="inlineStr">
        <is>
          <t>deli or specialty food</t>
        </is>
      </c>
      <c r="F194" s="2" t="inlineStr">
        <is>
          <t>Brisbane</t>
        </is>
      </c>
      <c r="G194" s="2" t="inlineStr">
        <is>
          <t>Facebook</t>
        </is>
      </c>
      <c r="H194" s="2" t="inlineStr"/>
      <c r="I194" s="4" t="inlineStr">
        <is>
          <t>https://www.facebook.com/SouthAfricanBiltongDeli/</t>
        </is>
      </c>
      <c r="J194" s="2" t="inlineStr"/>
      <c r="K194" s="2" t="inlineStr"/>
      <c r="L194" s="2" t="inlineStr">
        <is>
          <t>no website listed, only social media (verify on Google Maps)</t>
        </is>
      </c>
      <c r="M194" s="2" t="inlineStr">
        <is>
          <t>Hi Biltong Deli team! [one real detail from their page]. We're AceAds, a web design studio. We couldn't find a website for Biltong Deli, only your Facebook. We'd be happy to make you a free preview of what a website could look like. Want one? No cost, no obligation.</t>
        </is>
      </c>
      <c r="N194" s="4" t="inlineStr">
        <is>
          <t>Open map</t>
        </is>
      </c>
      <c r="O194" s="2" t="inlineStr">
        <is>
          <t>Not contacted</t>
        </is>
      </c>
      <c r="P194" s="2" t="inlineStr"/>
      <c r="Q194" s="2" t="inlineStr"/>
      <c r="R194" s="2" t="inlineStr"/>
      <c r="S194" s="2" t="inlineStr"/>
    </row>
    <row r="195">
      <c r="A195" s="2" t="n">
        <v>194</v>
      </c>
      <c r="B195" s="5" t="inlineStr">
        <is>
          <t>VERIFY FIRST</t>
        </is>
      </c>
      <c r="C195" s="2" t="inlineStr">
        <is>
          <t>No website found</t>
        </is>
      </c>
      <c r="D195" s="2" t="inlineStr">
        <is>
          <t>Greengrocers Pantry</t>
        </is>
      </c>
      <c r="E195" s="2" t="inlineStr">
        <is>
          <t>deli or specialty food</t>
        </is>
      </c>
      <c r="F195" s="2" t="inlineStr">
        <is>
          <t>Brisbane</t>
        </is>
      </c>
      <c r="G195" s="2" t="inlineStr">
        <is>
          <t>Facebook</t>
        </is>
      </c>
      <c r="H195" s="2" t="inlineStr"/>
      <c r="I195" s="4" t="inlineStr">
        <is>
          <t>https://www.facebook.com/greengrocerspantry/</t>
        </is>
      </c>
      <c r="J195" s="2" t="inlineStr"/>
      <c r="K195" s="2" t="inlineStr"/>
      <c r="L195" s="2" t="inlineStr">
        <is>
          <t>no website listed, only social media (verify on Google Maps)</t>
        </is>
      </c>
      <c r="M195" s="2" t="inlineStr">
        <is>
          <t>Hi Greengrocers Pantry team! [one real detail from their page]. We're AceAds, a web design studio. We couldn't find a website for Greengrocers Pantry, only your Facebook. We'd be happy to make you a free preview of what a website could look like. Want one? No cost, no obligation.</t>
        </is>
      </c>
      <c r="N195" s="4" t="inlineStr">
        <is>
          <t>Open map</t>
        </is>
      </c>
      <c r="O195" s="2" t="inlineStr">
        <is>
          <t>Not contacted</t>
        </is>
      </c>
      <c r="P195" s="2" t="inlineStr"/>
      <c r="Q195" s="2" t="inlineStr"/>
      <c r="R195" s="2" t="inlineStr"/>
      <c r="S195" s="2" t="inlineStr"/>
    </row>
    <row r="196">
      <c r="A196" s="2" t="n">
        <v>195</v>
      </c>
      <c r="B196" s="5" t="inlineStr">
        <is>
          <t>VERIFY FIRST</t>
        </is>
      </c>
      <c r="C196" s="2" t="inlineStr">
        <is>
          <t>No website found</t>
        </is>
      </c>
      <c r="D196" s="2" t="inlineStr">
        <is>
          <t>Health &amp; Nutrition</t>
        </is>
      </c>
      <c r="E196" s="2" t="inlineStr">
        <is>
          <t>deli or specialty food</t>
        </is>
      </c>
      <c r="F196" s="2" t="inlineStr">
        <is>
          <t>Brisbane</t>
        </is>
      </c>
      <c r="G196" s="2" t="inlineStr">
        <is>
          <t>Facebook</t>
        </is>
      </c>
      <c r="H196" s="2" t="inlineStr"/>
      <c r="I196" s="4" t="inlineStr">
        <is>
          <t>https://www.facebook.com/people/Kenmore-Health-Nutrition/100063567670771/</t>
        </is>
      </c>
      <c r="J196" s="2" t="inlineStr"/>
      <c r="K196" s="2" t="inlineStr"/>
      <c r="L196" s="2" t="inlineStr">
        <is>
          <t>no website listed, only social media (verify on Google Maps)</t>
        </is>
      </c>
      <c r="M196" s="2" t="inlineStr">
        <is>
          <t>Hi Health &amp; Nutrition team! [one real detail from their page]. We're AceAds, a web design studio. We couldn't find a website for Health &amp; Nutrition, only your Facebook. We'd be happy to make you a free preview of what a website could look like. Want one? No cost, no obligation.</t>
        </is>
      </c>
      <c r="N196" s="4" t="inlineStr">
        <is>
          <t>Open map</t>
        </is>
      </c>
      <c r="O196" s="2" t="inlineStr">
        <is>
          <t>Not contacted</t>
        </is>
      </c>
      <c r="P196" s="2" t="inlineStr"/>
      <c r="Q196" s="2" t="inlineStr"/>
      <c r="R196" s="2" t="inlineStr"/>
      <c r="S196" s="2" t="inlineStr"/>
    </row>
    <row r="197">
      <c r="A197" s="2" t="n">
        <v>196</v>
      </c>
      <c r="B197" s="5" t="inlineStr">
        <is>
          <t>VERIFY FIRST</t>
        </is>
      </c>
      <c r="C197" s="2" t="inlineStr">
        <is>
          <t>No website found</t>
        </is>
      </c>
      <c r="D197" s="2" t="inlineStr">
        <is>
          <t>Kenmore Fresh</t>
        </is>
      </c>
      <c r="E197" s="2" t="inlineStr">
        <is>
          <t>deli or specialty food</t>
        </is>
      </c>
      <c r="F197" s="2" t="inlineStr">
        <is>
          <t>Brisbane</t>
        </is>
      </c>
      <c r="G197" s="2" t="inlineStr">
        <is>
          <t>Facebook</t>
        </is>
      </c>
      <c r="H197" s="2" t="inlineStr"/>
      <c r="I197" s="4" t="inlineStr">
        <is>
          <t>https://www.facebook.com/kenmorefresh/</t>
        </is>
      </c>
      <c r="J197" s="2" t="inlineStr"/>
      <c r="K197" s="2" t="inlineStr"/>
      <c r="L197" s="2" t="inlineStr">
        <is>
          <t>no website listed, only social media (verify on Google Maps)</t>
        </is>
      </c>
      <c r="M197" s="2" t="inlineStr">
        <is>
          <t>Hi Kenmore Fresh team! [one real detail from their page]. We're AceAds, a web design studio. We couldn't find a website for Kenmore Fresh, only your Facebook. We'd be happy to make you a free preview of what a website could look like. Want one? No cost, no obligation.</t>
        </is>
      </c>
      <c r="N197" s="4" t="inlineStr">
        <is>
          <t>Open map</t>
        </is>
      </c>
      <c r="O197" s="2" t="inlineStr">
        <is>
          <t>Not contacted</t>
        </is>
      </c>
      <c r="P197" s="2" t="inlineStr"/>
      <c r="Q197" s="2" t="inlineStr"/>
      <c r="R197" s="2" t="inlineStr"/>
      <c r="S197" s="2" t="inlineStr"/>
    </row>
    <row r="198">
      <c r="A198" s="2" t="n">
        <v>197</v>
      </c>
      <c r="B198" s="5" t="inlineStr">
        <is>
          <t>VERIFY FIRST</t>
        </is>
      </c>
      <c r="C198" s="2" t="inlineStr">
        <is>
          <t>No website found</t>
        </is>
      </c>
      <c r="D198" s="2" t="inlineStr">
        <is>
          <t>Microlot Coffee House</t>
        </is>
      </c>
      <c r="E198" s="2" t="inlineStr">
        <is>
          <t>deli or specialty food</t>
        </is>
      </c>
      <c r="F198" s="2" t="inlineStr">
        <is>
          <t>Brisbane</t>
        </is>
      </c>
      <c r="G198" s="2" t="inlineStr">
        <is>
          <t>Facebook</t>
        </is>
      </c>
      <c r="H198" s="2" t="inlineStr"/>
      <c r="I198" s="4" t="inlineStr">
        <is>
          <t>https://www.facebook.com/pages/Microlot-Coffee-House/532108803616296</t>
        </is>
      </c>
      <c r="J198" s="2" t="inlineStr"/>
      <c r="K198" s="2" t="inlineStr"/>
      <c r="L198" s="2" t="inlineStr">
        <is>
          <t>no website listed, only social media (verify on Google Maps)</t>
        </is>
      </c>
      <c r="M198" s="2" t="inlineStr">
        <is>
          <t>Hi Microlot Coffee House team! [one real detail from their page]. We're AceAds, a web design studio. We couldn't find a website for Microlot Coffee House, only your Facebook. We'd be happy to make you a free preview of what a website could look like. Want one? No cost, no obligation.</t>
        </is>
      </c>
      <c r="N198" s="4" t="inlineStr">
        <is>
          <t>Open map</t>
        </is>
      </c>
      <c r="O198" s="2" t="inlineStr">
        <is>
          <t>Not contacted</t>
        </is>
      </c>
      <c r="P198" s="2" t="inlineStr"/>
      <c r="Q198" s="2" t="inlineStr"/>
      <c r="R198" s="2" t="inlineStr"/>
      <c r="S198" s="2" t="inlineStr"/>
    </row>
    <row r="199">
      <c r="A199" s="2" t="n">
        <v>198</v>
      </c>
      <c r="B199" s="5" t="inlineStr">
        <is>
          <t>VERIFY FIRST</t>
        </is>
      </c>
      <c r="C199" s="2" t="inlineStr">
        <is>
          <t>No website found</t>
        </is>
      </c>
      <c r="D199" s="2" t="inlineStr">
        <is>
          <t>Nundah Fruit Market</t>
        </is>
      </c>
      <c r="E199" s="2" t="inlineStr">
        <is>
          <t>deli or specialty food</t>
        </is>
      </c>
      <c r="F199" s="2" t="inlineStr">
        <is>
          <t>Brisbane</t>
        </is>
      </c>
      <c r="G199" s="2" t="inlineStr">
        <is>
          <t>Facebook</t>
        </is>
      </c>
      <c r="H199" s="2" t="inlineStr"/>
      <c r="I199" s="4" t="inlineStr">
        <is>
          <t>https://www.facebook.com/p/Nundah-Fruit-Market-61564367108912/</t>
        </is>
      </c>
      <c r="J199" s="2" t="inlineStr"/>
      <c r="K199" s="2" t="inlineStr"/>
      <c r="L199" s="2" t="inlineStr">
        <is>
          <t>no website listed, only social media (verify on Google Maps)</t>
        </is>
      </c>
      <c r="M199" s="2" t="inlineStr">
        <is>
          <t>Hi Nundah Fruit Market team! [one real detail from their page]. We're AceAds, a web design studio. We couldn't find a website for Nundah Fruit Market, only your Facebook. We'd be happy to make you a free preview of what a website could look like. Want one? No cost, no obligation.</t>
        </is>
      </c>
      <c r="N199" s="4" t="inlineStr">
        <is>
          <t>Open map</t>
        </is>
      </c>
      <c r="O199" s="2" t="inlineStr">
        <is>
          <t>Not contacted</t>
        </is>
      </c>
      <c r="P199" s="2" t="inlineStr"/>
      <c r="Q199" s="2" t="inlineStr"/>
      <c r="R199" s="2" t="inlineStr"/>
      <c r="S199" s="2" t="inlineStr"/>
    </row>
    <row r="200">
      <c r="A200" s="2" t="n">
        <v>199</v>
      </c>
      <c r="B200" s="5" t="inlineStr">
        <is>
          <t>VERIFY FIRST</t>
        </is>
      </c>
      <c r="C200" s="2" t="inlineStr">
        <is>
          <t>No website found</t>
        </is>
      </c>
      <c r="D200" s="2" t="inlineStr">
        <is>
          <t>Top Cut Butchery Quality Meats</t>
        </is>
      </c>
      <c r="E200" s="2" t="inlineStr">
        <is>
          <t>deli or specialty food</t>
        </is>
      </c>
      <c r="F200" s="2" t="inlineStr">
        <is>
          <t>Brisbane</t>
        </is>
      </c>
      <c r="G200" s="2" t="inlineStr">
        <is>
          <t>Facebook</t>
        </is>
      </c>
      <c r="H200" s="2" t="inlineStr"/>
      <c r="I200" s="4" t="inlineStr">
        <is>
          <t>https://www.facebook.com/p/Top-Cut-Butcher-100064321140937/</t>
        </is>
      </c>
      <c r="J200" s="2" t="inlineStr">
        <is>
          <t>+61 7 3133 2570</t>
        </is>
      </c>
      <c r="K200" s="2" t="inlineStr"/>
      <c r="L200" s="2" t="inlineStr">
        <is>
          <t>no website listed, only social media (verify on Google Maps)</t>
        </is>
      </c>
      <c r="M200" s="2" t="inlineStr">
        <is>
          <t>Hi Top Cut Butchery Quality Meats team! [one real detail from their page]. We're AceAds, a web design studio. We couldn't find a website for Top Cut Butchery Quality Meats, only your Facebook. We'd be happy to make you a free preview of what a website could look like. Want one? No cost, no obligation.</t>
        </is>
      </c>
      <c r="N200" s="4" t="inlineStr">
        <is>
          <t>Open map</t>
        </is>
      </c>
      <c r="O200" s="2" t="inlineStr">
        <is>
          <t>Not contacted</t>
        </is>
      </c>
      <c r="P200" s="2" t="inlineStr"/>
      <c r="Q200" s="2" t="inlineStr"/>
      <c r="R200" s="2" t="inlineStr"/>
      <c r="S200" s="2" t="inlineStr"/>
    </row>
    <row r="201">
      <c r="A201" s="2" t="n">
        <v>200</v>
      </c>
      <c r="B201" s="5" t="inlineStr">
        <is>
          <t>VERIFY FIRST</t>
        </is>
      </c>
      <c r="C201" s="2" t="inlineStr">
        <is>
          <t>No website found</t>
        </is>
      </c>
      <c r="D201" s="2" t="inlineStr">
        <is>
          <t>Wavell Heights Gourmet Meats</t>
        </is>
      </c>
      <c r="E201" s="2" t="inlineStr">
        <is>
          <t>deli or specialty food</t>
        </is>
      </c>
      <c r="F201" s="2" t="inlineStr">
        <is>
          <t>Brisbane</t>
        </is>
      </c>
      <c r="G201" s="2" t="inlineStr">
        <is>
          <t>Facebook</t>
        </is>
      </c>
      <c r="H201" s="2" t="inlineStr"/>
      <c r="I201" s="4" t="inlineStr">
        <is>
          <t>https://www.facebook.com/wavellgourmetmeats</t>
        </is>
      </c>
      <c r="J201" s="2" t="inlineStr"/>
      <c r="K201" s="2" t="inlineStr"/>
      <c r="L201" s="2" t="inlineStr">
        <is>
          <t>no website listed, only social media (verify on Google Maps)</t>
        </is>
      </c>
      <c r="M201" s="2" t="inlineStr">
        <is>
          <t>Hi Wavell Heights Gourmet Meats team! [one real detail from their page]. We're AceAds, a web design studio. We couldn't find a website for Wavell Heights Gourmet Meats, only your Facebook. We'd be happy to make you a free preview of what a website could look like. Want one? No cost, no obligation.</t>
        </is>
      </c>
      <c r="N201" s="4" t="inlineStr">
        <is>
          <t>Open map</t>
        </is>
      </c>
      <c r="O201" s="2" t="inlineStr">
        <is>
          <t>Not contacted</t>
        </is>
      </c>
      <c r="P201" s="2" t="inlineStr"/>
      <c r="Q201" s="2" t="inlineStr"/>
      <c r="R201" s="2" t="inlineStr"/>
      <c r="S201" s="2" t="inlineStr"/>
    </row>
    <row r="202">
      <c r="A202" s="2" t="n">
        <v>201</v>
      </c>
      <c r="B202" s="5" t="inlineStr">
        <is>
          <t>VERIFY FIRST</t>
        </is>
      </c>
      <c r="C202" s="2" t="inlineStr">
        <is>
          <t>No website found</t>
        </is>
      </c>
      <c r="D202" s="2" t="inlineStr">
        <is>
          <t>Flowers by Louise</t>
        </is>
      </c>
      <c r="E202" s="2" t="inlineStr">
        <is>
          <t>florist</t>
        </is>
      </c>
      <c r="F202" s="2" t="inlineStr">
        <is>
          <t>Brisbane</t>
        </is>
      </c>
      <c r="G202" s="2" t="inlineStr">
        <is>
          <t>Facebook</t>
        </is>
      </c>
      <c r="H202" s="2" t="inlineStr"/>
      <c r="I202" s="4" t="inlineStr">
        <is>
          <t>https://www.facebook.com/Flowers-by-Louise-Inspired-by-you-113504464161306/</t>
        </is>
      </c>
      <c r="J202" s="2" t="inlineStr">
        <is>
          <t>+61 485 093 748</t>
        </is>
      </c>
      <c r="K202" s="2" t="inlineStr"/>
      <c r="L202" s="2" t="inlineStr">
        <is>
          <t>no website listed, only social media (verify on Google Maps)</t>
        </is>
      </c>
      <c r="M202" s="2" t="inlineStr">
        <is>
          <t>Hi Flowers by Louise team! [one real detail from their page]. We're AceAds, a web design studio. We couldn't find a website for Flowers by Louise, only your Facebook. We'd be happy to make you a free preview of what a website could look like. Want one? No cost, no obligation.</t>
        </is>
      </c>
      <c r="N202" s="4" t="inlineStr">
        <is>
          <t>Open map</t>
        </is>
      </c>
      <c r="O202" s="2" t="inlineStr">
        <is>
          <t>Not contacted</t>
        </is>
      </c>
      <c r="P202" s="2" t="inlineStr"/>
      <c r="Q202" s="2" t="inlineStr"/>
      <c r="R202" s="2" t="inlineStr"/>
      <c r="S202" s="2" t="inlineStr"/>
    </row>
    <row r="203">
      <c r="A203" s="2" t="n">
        <v>202</v>
      </c>
      <c r="B203" s="5" t="inlineStr">
        <is>
          <t>VERIFY FIRST</t>
        </is>
      </c>
      <c r="C203" s="2" t="inlineStr">
        <is>
          <t>No website found</t>
        </is>
      </c>
      <c r="D203" s="2" t="inlineStr">
        <is>
          <t>Wedding N Florist</t>
        </is>
      </c>
      <c r="E203" s="2" t="inlineStr">
        <is>
          <t>florist</t>
        </is>
      </c>
      <c r="F203" s="2" t="inlineStr">
        <is>
          <t>Brisbane</t>
        </is>
      </c>
      <c r="G203" s="2" t="inlineStr">
        <is>
          <t>Facebook</t>
        </is>
      </c>
      <c r="H203" s="2" t="inlineStr"/>
      <c r="I203" s="4" t="inlineStr">
        <is>
          <t>https://www.facebook.com/profile.php?id=100066631573794</t>
        </is>
      </c>
      <c r="J203" s="2" t="inlineStr">
        <is>
          <t>+61 7 3206 4254</t>
        </is>
      </c>
      <c r="K203" s="2" t="inlineStr"/>
      <c r="L203" s="2" t="inlineStr">
        <is>
          <t>no website listed, only social media (verify on Google Maps)</t>
        </is>
      </c>
      <c r="M203" s="2" t="inlineStr">
        <is>
          <t>Hi Wedding N Florist team! [one real detail from their page]. We're AceAds, a web design studio. We couldn't find a website for Wedding N Florist, only your Facebook. We'd be happy to make you a free preview of what a website could look like. Want one? No cost, no obligation.</t>
        </is>
      </c>
      <c r="N203" s="4" t="inlineStr">
        <is>
          <t>Open map</t>
        </is>
      </c>
      <c r="O203" s="2" t="inlineStr">
        <is>
          <t>Not contacted</t>
        </is>
      </c>
      <c r="P203" s="2" t="inlineStr"/>
      <c r="Q203" s="2" t="inlineStr"/>
      <c r="R203" s="2" t="inlineStr"/>
      <c r="S203" s="2" t="inlineStr"/>
    </row>
    <row r="204">
      <c r="A204" s="2" t="n">
        <v>203</v>
      </c>
      <c r="B204" s="5" t="inlineStr">
        <is>
          <t>VERIFY FIRST</t>
        </is>
      </c>
      <c r="C204" s="2" t="inlineStr">
        <is>
          <t>No website found</t>
        </is>
      </c>
      <c r="D204" s="2" t="inlineStr">
        <is>
          <t>Delight for Gifts</t>
        </is>
      </c>
      <c r="E204" s="2" t="inlineStr">
        <is>
          <t>gift or homewares</t>
        </is>
      </c>
      <c r="F204" s="2" t="inlineStr">
        <is>
          <t>Brisbane</t>
        </is>
      </c>
      <c r="G204" s="2" t="inlineStr">
        <is>
          <t>Facebook</t>
        </is>
      </c>
      <c r="H204" s="2" t="inlineStr"/>
      <c r="I204" s="4" t="inlineStr">
        <is>
          <t>https://www.facebook.com/people/Delight-For-Gifts/100065206801946/</t>
        </is>
      </c>
      <c r="J204" s="2" t="inlineStr"/>
      <c r="K204" s="2" t="inlineStr"/>
      <c r="L204" s="2" t="inlineStr">
        <is>
          <t>no website listed, only social media (verify on Google Maps)</t>
        </is>
      </c>
      <c r="M204" s="2" t="inlineStr">
        <is>
          <t>Hi Delight for Gifts team! [one real detail from their page]. We're AceAds, a web design studio. We couldn't find a website for Delight for Gifts, only your Facebook. We'd be happy to make you a free preview of what a website could look like. Want one? No cost, no obligation.</t>
        </is>
      </c>
      <c r="N204" s="4" t="inlineStr">
        <is>
          <t>Open map</t>
        </is>
      </c>
      <c r="O204" s="2" t="inlineStr">
        <is>
          <t>Not contacted</t>
        </is>
      </c>
      <c r="P204" s="2" t="inlineStr"/>
      <c r="Q204" s="2" t="inlineStr"/>
      <c r="R204" s="2" t="inlineStr"/>
      <c r="S204" s="2" t="inlineStr"/>
    </row>
    <row r="205">
      <c r="A205" s="2" t="n">
        <v>204</v>
      </c>
      <c r="B205" s="5" t="inlineStr">
        <is>
          <t>VERIFY FIRST</t>
        </is>
      </c>
      <c r="C205" s="2" t="inlineStr">
        <is>
          <t>No website found</t>
        </is>
      </c>
      <c r="D205" s="2" t="inlineStr">
        <is>
          <t>Our Sun Room</t>
        </is>
      </c>
      <c r="E205" s="2" t="inlineStr">
        <is>
          <t>gift or homewares</t>
        </is>
      </c>
      <c r="F205" s="2" t="inlineStr">
        <is>
          <t>Brisbane</t>
        </is>
      </c>
      <c r="G205" s="2" t="inlineStr">
        <is>
          <t>Facebook</t>
        </is>
      </c>
      <c r="H205" s="2" t="inlineStr"/>
      <c r="I205" s="4" t="inlineStr">
        <is>
          <t>https://www.facebook.com/oursunroom/</t>
        </is>
      </c>
      <c r="J205" s="2" t="inlineStr"/>
      <c r="K205" s="2" t="inlineStr"/>
      <c r="L205" s="2" t="inlineStr">
        <is>
          <t>no website listed, only social media (verify on Google Maps)</t>
        </is>
      </c>
      <c r="M205" s="2" t="inlineStr">
        <is>
          <t>Hi Our Sun Room team! [one real detail from their page]. We're AceAds, a web design studio. We couldn't find a website for Our Sun Room, only your Facebook. We'd be happy to make you a free preview of what a website could look like. Want one? No cost, no obligation.</t>
        </is>
      </c>
      <c r="N205" s="4" t="inlineStr">
        <is>
          <t>Open map</t>
        </is>
      </c>
      <c r="O205" s="2" t="inlineStr">
        <is>
          <t>Not contacted</t>
        </is>
      </c>
      <c r="P205" s="2" t="inlineStr"/>
      <c r="Q205" s="2" t="inlineStr"/>
      <c r="R205" s="2" t="inlineStr"/>
      <c r="S205" s="2" t="inlineStr"/>
    </row>
    <row r="206">
      <c r="A206" s="2" t="n">
        <v>205</v>
      </c>
      <c r="B206" s="5" t="inlineStr">
        <is>
          <t>VERIFY FIRST</t>
        </is>
      </c>
      <c r="C206" s="2" t="inlineStr">
        <is>
          <t>No website found</t>
        </is>
      </c>
      <c r="D206" s="2" t="inlineStr">
        <is>
          <t>VIS</t>
        </is>
      </c>
      <c r="E206" s="2" t="inlineStr">
        <is>
          <t>gift or homewares</t>
        </is>
      </c>
      <c r="F206" s="2" t="inlineStr">
        <is>
          <t>Brisbane</t>
        </is>
      </c>
      <c r="G206" s="2" t="inlineStr">
        <is>
          <t>Instagram</t>
        </is>
      </c>
      <c r="H206" s="4" t="inlineStr">
        <is>
          <t>https://www.instagram.com/visgiftshop/?hl=en</t>
        </is>
      </c>
      <c r="I206" s="2" t="inlineStr"/>
      <c r="J206" s="2" t="inlineStr"/>
      <c r="K206" s="2" t="inlineStr"/>
      <c r="L206" s="2" t="inlineStr">
        <is>
          <t>no website listed, only social media (verify on Google Maps)</t>
        </is>
      </c>
      <c r="M206" s="2" t="inlineStr">
        <is>
          <t>Hi VIS team! [one real detail from their page]. We're AceAds, a web design studio. We couldn't find a website for VIS, only your Instagram. We'd be happy to make you a free preview of what a website could look like. Want one? No cost, no obligation.</t>
        </is>
      </c>
      <c r="N206" s="4" t="inlineStr">
        <is>
          <t>Open map</t>
        </is>
      </c>
      <c r="O206" s="2" t="inlineStr">
        <is>
          <t>Not contacted</t>
        </is>
      </c>
      <c r="P206" s="2" t="inlineStr"/>
      <c r="Q206" s="2" t="inlineStr"/>
      <c r="R206" s="2" t="inlineStr"/>
      <c r="S206" s="2" t="inlineStr"/>
    </row>
    <row r="207">
      <c r="A207" s="2" t="n">
        <v>206</v>
      </c>
      <c r="B207" s="5" t="inlineStr">
        <is>
          <t>VERIFY FIRST</t>
        </is>
      </c>
      <c r="C207" s="2" t="inlineStr">
        <is>
          <t>No website found</t>
        </is>
      </c>
      <c r="D207" s="2" t="inlineStr">
        <is>
          <t>Massage Health Centre</t>
        </is>
      </c>
      <c r="E207" s="2" t="inlineStr">
        <is>
          <t>massage or spa</t>
        </is>
      </c>
      <c r="F207" s="2" t="inlineStr">
        <is>
          <t>Brisbane</t>
        </is>
      </c>
      <c r="G207" s="2" t="inlineStr">
        <is>
          <t>Facebook</t>
        </is>
      </c>
      <c r="H207" s="2" t="inlineStr"/>
      <c r="I207" s="4" t="inlineStr">
        <is>
          <t>https://www.facebook.com/MassagehealthcentreHamilton/?_rdr</t>
        </is>
      </c>
      <c r="J207" s="2" t="inlineStr">
        <is>
          <t>+61 7 3122 1767</t>
        </is>
      </c>
      <c r="K207" s="2" t="inlineStr"/>
      <c r="L207" s="2" t="inlineStr">
        <is>
          <t>no website listed, only social media (verify on Google Maps)</t>
        </is>
      </c>
      <c r="M207" s="2" t="inlineStr">
        <is>
          <t>Hi Massage Health Centre team! [one real detail from their page]. We're AceAds, a web design studio. We couldn't find a website for Massage Health Centre, only your Facebook. We'd be happy to make you a free preview of what a website could look like. Want one? No cost, no obligation.</t>
        </is>
      </c>
      <c r="N207" s="4" t="inlineStr">
        <is>
          <t>Open map</t>
        </is>
      </c>
      <c r="O207" s="2" t="inlineStr">
        <is>
          <t>Not contacted</t>
        </is>
      </c>
      <c r="P207" s="2" t="inlineStr"/>
      <c r="Q207" s="2" t="inlineStr"/>
      <c r="R207" s="2" t="inlineStr"/>
      <c r="S207" s="2" t="inlineStr"/>
    </row>
    <row r="208">
      <c r="A208" s="2" t="n">
        <v>207</v>
      </c>
      <c r="B208" s="5" t="inlineStr">
        <is>
          <t>VERIFY FIRST</t>
        </is>
      </c>
      <c r="C208" s="2" t="inlineStr">
        <is>
          <t>No website found</t>
        </is>
      </c>
      <c r="D208" s="2" t="inlineStr">
        <is>
          <t>Soul Thai Massage</t>
        </is>
      </c>
      <c r="E208" s="2" t="inlineStr">
        <is>
          <t>massage or spa</t>
        </is>
      </c>
      <c r="F208" s="2" t="inlineStr">
        <is>
          <t>Brisbane</t>
        </is>
      </c>
      <c r="G208" s="2" t="inlineStr">
        <is>
          <t>Facebook</t>
        </is>
      </c>
      <c r="H208" s="2" t="inlineStr"/>
      <c r="I208" s="4" t="inlineStr">
        <is>
          <t>https://www.facebook.com/profile.php?id=100086356354712</t>
        </is>
      </c>
      <c r="J208" s="2" t="inlineStr"/>
      <c r="K208" s="2" t="inlineStr"/>
      <c r="L208" s="2" t="inlineStr">
        <is>
          <t>no website listed, only social media (verify on Google Maps)</t>
        </is>
      </c>
      <c r="M208" s="2" t="inlineStr">
        <is>
          <t>Hi Soul Thai Massage team! [one real detail from their page]. We're AceAds, a web design studio. We couldn't find a website for Soul Thai Massage, only your Facebook. We'd be happy to make you a free preview of what a website could look like. Want one? No cost, no obligation.</t>
        </is>
      </c>
      <c r="N208" s="4" t="inlineStr">
        <is>
          <t>Open map</t>
        </is>
      </c>
      <c r="O208" s="2" t="inlineStr">
        <is>
          <t>Not contacted</t>
        </is>
      </c>
      <c r="P208" s="2" t="inlineStr"/>
      <c r="Q208" s="2" t="inlineStr"/>
      <c r="R208" s="2" t="inlineStr"/>
      <c r="S208" s="2" t="inlineStr"/>
    </row>
    <row r="209">
      <c r="A209" s="2" t="n">
        <v>208</v>
      </c>
      <c r="B209" s="5" t="inlineStr">
        <is>
          <t>VERIFY FIRST</t>
        </is>
      </c>
      <c r="C209" s="2" t="inlineStr">
        <is>
          <t>No website found</t>
        </is>
      </c>
      <c r="D209" s="2" t="inlineStr">
        <is>
          <t>T Massage</t>
        </is>
      </c>
      <c r="E209" s="2" t="inlineStr">
        <is>
          <t>massage or spa</t>
        </is>
      </c>
      <c r="F209" s="2" t="inlineStr">
        <is>
          <t>Brisbane</t>
        </is>
      </c>
      <c r="G209" s="2" t="inlineStr">
        <is>
          <t>Facebook</t>
        </is>
      </c>
      <c r="H209" s="2" t="inlineStr"/>
      <c r="I209" s="4" t="inlineStr">
        <is>
          <t>https://www.facebook.com/T-Massage-100679675602823/</t>
        </is>
      </c>
      <c r="J209" s="2" t="inlineStr"/>
      <c r="K209" s="2" t="inlineStr"/>
      <c r="L209" s="2" t="inlineStr">
        <is>
          <t>no website listed, only social media (verify on Google Maps)</t>
        </is>
      </c>
      <c r="M209" s="2" t="inlineStr">
        <is>
          <t>Hi T Massage team! [one real detail from their page]. We're AceAds, a web design studio. We couldn't find a website for T Massage, only your Facebook. We'd be happy to make you a free preview of what a website could look like. Want one? No cost, no obligation.</t>
        </is>
      </c>
      <c r="N209" s="4" t="inlineStr">
        <is>
          <t>Open map</t>
        </is>
      </c>
      <c r="O209" s="2" t="inlineStr">
        <is>
          <t>Not contacted</t>
        </is>
      </c>
      <c r="P209" s="2" t="inlineStr"/>
      <c r="Q209" s="2" t="inlineStr"/>
      <c r="R209" s="2" t="inlineStr"/>
      <c r="S209" s="2" t="inlineStr"/>
    </row>
    <row r="210">
      <c r="A210" s="2" t="n">
        <v>209</v>
      </c>
      <c r="B210" s="5" t="inlineStr">
        <is>
          <t>VERIFY FIRST</t>
        </is>
      </c>
      <c r="C210" s="2" t="inlineStr">
        <is>
          <t>No website found</t>
        </is>
      </c>
      <c r="D210" s="2" t="inlineStr">
        <is>
          <t>KJ Safety Certificates/Roadworthy Certificates</t>
        </is>
      </c>
      <c r="E210" s="2" t="inlineStr">
        <is>
          <t>mechanic</t>
        </is>
      </c>
      <c r="F210" s="2" t="inlineStr">
        <is>
          <t>Brisbane</t>
        </is>
      </c>
      <c r="G210" s="2" t="inlineStr">
        <is>
          <t>Facebook</t>
        </is>
      </c>
      <c r="H210" s="2" t="inlineStr"/>
      <c r="I210" s="4" t="inlineStr">
        <is>
          <t>https://facebook.com/kjsafetycertificates/</t>
        </is>
      </c>
      <c r="J210" s="2" t="inlineStr">
        <is>
          <t>+61 490 801 133</t>
        </is>
      </c>
      <c r="K210" s="2" t="inlineStr"/>
      <c r="L210" s="2" t="inlineStr">
        <is>
          <t>no website listed, only social media (verify on Google Maps)</t>
        </is>
      </c>
      <c r="M210" s="2" t="inlineStr">
        <is>
          <t>Hi KJ Safety Certificates/Roadworthy Certificates team! [one real detail from their page]. We're AceAds, a web design studio. We couldn't find a website for KJ Safety Certificates/Roadworthy Certificates, only your Facebook. We'd be happy to make you a free preview of what a website could look like. Want one? No cost, no obligation.</t>
        </is>
      </c>
      <c r="N210" s="4" t="inlineStr">
        <is>
          <t>Open map</t>
        </is>
      </c>
      <c r="O210" s="2" t="inlineStr">
        <is>
          <t>Not contacted</t>
        </is>
      </c>
      <c r="P210" s="2" t="inlineStr"/>
      <c r="Q210" s="2" t="inlineStr"/>
      <c r="R210" s="2" t="inlineStr"/>
      <c r="S210" s="2" t="inlineStr"/>
    </row>
    <row r="211">
      <c r="A211" s="2" t="n">
        <v>210</v>
      </c>
      <c r="B211" s="5" t="inlineStr">
        <is>
          <t>VERIFY FIRST</t>
        </is>
      </c>
      <c r="C211" s="2" t="inlineStr">
        <is>
          <t>No website found</t>
        </is>
      </c>
      <c r="D211" s="2" t="inlineStr">
        <is>
          <t>Monster Tyres</t>
        </is>
      </c>
      <c r="E211" s="2" t="inlineStr">
        <is>
          <t>mechanic</t>
        </is>
      </c>
      <c r="F211" s="2" t="inlineStr">
        <is>
          <t>Brisbane</t>
        </is>
      </c>
      <c r="G211" s="2" t="inlineStr">
        <is>
          <t>Facebook</t>
        </is>
      </c>
      <c r="H211" s="2" t="inlineStr"/>
      <c r="I211" s="4" t="inlineStr">
        <is>
          <t>https://www.facebook.com/people/Monster-Tyres/100095017035749/</t>
        </is>
      </c>
      <c r="J211" s="2" t="inlineStr">
        <is>
          <t>+61 428 990 798</t>
        </is>
      </c>
      <c r="K211" s="2" t="inlineStr"/>
      <c r="L211" s="2" t="inlineStr">
        <is>
          <t>no website listed, only social media (verify on Google Maps)</t>
        </is>
      </c>
      <c r="M211" s="2" t="inlineStr">
        <is>
          <t>Hi Monster Tyres team! [one real detail from their page]. We're AceAds, a web design studio. We couldn't find a website for Monster Tyres, only your Facebook. We'd be happy to make you a free preview of what a website could look like. Want one? No cost, no obligation.</t>
        </is>
      </c>
      <c r="N211" s="4" t="inlineStr">
        <is>
          <t>Open map</t>
        </is>
      </c>
      <c r="O211" s="2" t="inlineStr">
        <is>
          <t>Not contacted</t>
        </is>
      </c>
      <c r="P211" s="2" t="inlineStr"/>
      <c r="Q211" s="2" t="inlineStr"/>
      <c r="R211" s="2" t="inlineStr"/>
      <c r="S211" s="2" t="inlineStr"/>
    </row>
    <row r="212">
      <c r="A212" s="2" t="n">
        <v>211</v>
      </c>
      <c r="B212" s="5" t="inlineStr">
        <is>
          <t>VERIFY FIRST</t>
        </is>
      </c>
      <c r="C212" s="2" t="inlineStr">
        <is>
          <t>No website found</t>
        </is>
      </c>
      <c r="D212" s="2" t="inlineStr">
        <is>
          <t>Sam Auto Care</t>
        </is>
      </c>
      <c r="E212" s="2" t="inlineStr">
        <is>
          <t>mechanic</t>
        </is>
      </c>
      <c r="F212" s="2" t="inlineStr">
        <is>
          <t>Brisbane</t>
        </is>
      </c>
      <c r="G212" s="2" t="inlineStr">
        <is>
          <t>Facebook</t>
        </is>
      </c>
      <c r="H212" s="2" t="inlineStr"/>
      <c r="I212" s="4" t="inlineStr">
        <is>
          <t>https://www.facebook.com/p/Sam-Auto-Care-100075669889000/</t>
        </is>
      </c>
      <c r="J212" s="2" t="inlineStr">
        <is>
          <t>+61 432 798 206</t>
        </is>
      </c>
      <c r="K212" s="2" t="inlineStr"/>
      <c r="L212" s="2" t="inlineStr">
        <is>
          <t>no website listed, only social media (verify on Google Maps)</t>
        </is>
      </c>
      <c r="M212" s="2" t="inlineStr">
        <is>
          <t>Hi Sam Auto Care team! [one real detail from their page]. We're AceAds, a web design studio. We couldn't find a website for Sam Auto Care, only your Facebook. We'd be happy to make you a free preview of what a website could look like. Want one? No cost, no obligation.</t>
        </is>
      </c>
      <c r="N212" s="4" t="inlineStr">
        <is>
          <t>Open map</t>
        </is>
      </c>
      <c r="O212" s="2" t="inlineStr">
        <is>
          <t>Not contacted</t>
        </is>
      </c>
      <c r="P212" s="2" t="inlineStr"/>
      <c r="Q212" s="2" t="inlineStr"/>
      <c r="R212" s="2" t="inlineStr"/>
      <c r="S212" s="2" t="inlineStr"/>
    </row>
    <row r="213">
      <c r="A213" s="2" t="n">
        <v>212</v>
      </c>
      <c r="B213" s="5" t="inlineStr">
        <is>
          <t>VERIFY FIRST</t>
        </is>
      </c>
      <c r="C213" s="2" t="inlineStr">
        <is>
          <t>No website found</t>
        </is>
      </c>
      <c r="D213" s="2" t="inlineStr">
        <is>
          <t>Aloha Hound</t>
        </is>
      </c>
      <c r="E213" s="2" t="inlineStr">
        <is>
          <t>pet business</t>
        </is>
      </c>
      <c r="F213" s="2" t="inlineStr">
        <is>
          <t>Brisbane</t>
        </is>
      </c>
      <c r="G213" s="2" t="inlineStr">
        <is>
          <t>Facebook</t>
        </is>
      </c>
      <c r="H213" s="2" t="inlineStr"/>
      <c r="I213" s="4" t="inlineStr">
        <is>
          <t>https://m.facebook.com/alohahound/</t>
        </is>
      </c>
      <c r="J213" s="2" t="inlineStr">
        <is>
          <t>+61 493 449 752</t>
        </is>
      </c>
      <c r="K213" s="2" t="inlineStr"/>
      <c r="L213" s="2" t="inlineStr">
        <is>
          <t>no website listed, only social media (verify on Google Maps)</t>
        </is>
      </c>
      <c r="M213" s="2" t="inlineStr">
        <is>
          <t>Hi Aloha Hound team! [one real detail from their page]. We're AceAds, a web design studio. We couldn't find a website for Aloha Hound, only your Facebook. We'd be happy to make you a free preview of what a website could look like. Want one? No cost, no obligation.</t>
        </is>
      </c>
      <c r="N213" s="4" t="inlineStr">
        <is>
          <t>Open map</t>
        </is>
      </c>
      <c r="O213" s="2" t="inlineStr">
        <is>
          <t>Not contacted</t>
        </is>
      </c>
      <c r="P213" s="2" t="inlineStr"/>
      <c r="Q213" s="2" t="inlineStr"/>
      <c r="R213" s="2" t="inlineStr"/>
      <c r="S213" s="2" t="inlineStr"/>
    </row>
    <row r="214">
      <c r="A214" s="2" t="n">
        <v>213</v>
      </c>
      <c r="B214" s="5" t="inlineStr">
        <is>
          <t>VERIFY FIRST</t>
        </is>
      </c>
      <c r="C214" s="2" t="inlineStr">
        <is>
          <t>No website found</t>
        </is>
      </c>
      <c r="D214" s="2" t="inlineStr">
        <is>
          <t>Redlands Produce</t>
        </is>
      </c>
      <c r="E214" s="2" t="inlineStr">
        <is>
          <t>pet business</t>
        </is>
      </c>
      <c r="F214" s="2" t="inlineStr">
        <is>
          <t>Brisbane</t>
        </is>
      </c>
      <c r="G214" s="2" t="inlineStr">
        <is>
          <t>Facebook</t>
        </is>
      </c>
      <c r="H214" s="2" t="inlineStr"/>
      <c r="I214" s="4" t="inlineStr">
        <is>
          <t>https://www.facebook.com/RedlandsProduce/</t>
        </is>
      </c>
      <c r="J214" s="2" t="inlineStr">
        <is>
          <t>+61 7 3206 0069</t>
        </is>
      </c>
      <c r="K214" s="2" t="inlineStr"/>
      <c r="L214" s="2" t="inlineStr">
        <is>
          <t>no website listed, only social media (verify on Google Maps)</t>
        </is>
      </c>
      <c r="M214" s="2" t="inlineStr">
        <is>
          <t>Hi Redlands Produce team! [one real detail from their page]. We're AceAds, a web design studio. We couldn't find a website for Redlands Produce, only your Facebook. We'd be happy to make you a free preview of what a website could look like. Want one? No cost, no obligation.</t>
        </is>
      </c>
      <c r="N214" s="4" t="inlineStr">
        <is>
          <t>Open map</t>
        </is>
      </c>
      <c r="O214" s="2" t="inlineStr">
        <is>
          <t>Not contacted</t>
        </is>
      </c>
      <c r="P214" s="2" t="inlineStr"/>
      <c r="Q214" s="2" t="inlineStr"/>
      <c r="R214" s="2" t="inlineStr"/>
      <c r="S214" s="2" t="inlineStr"/>
    </row>
    <row r="215">
      <c r="A215" s="2" t="n">
        <v>214</v>
      </c>
      <c r="B215" s="5" t="inlineStr">
        <is>
          <t>VERIFY FIRST</t>
        </is>
      </c>
      <c r="C215" s="2" t="inlineStr">
        <is>
          <t>No website found</t>
        </is>
      </c>
      <c r="D215" s="2" t="inlineStr">
        <is>
          <t>Tiny Tots Physiotherapy - Kathryn Shutt</t>
        </is>
      </c>
      <c r="E215" s="2" t="inlineStr">
        <is>
          <t>physiotherapist</t>
        </is>
      </c>
      <c r="F215" s="2" t="inlineStr">
        <is>
          <t>Brisbane</t>
        </is>
      </c>
      <c r="G215" s="2" t="inlineStr">
        <is>
          <t>Facebook</t>
        </is>
      </c>
      <c r="H215" s="2" t="inlineStr"/>
      <c r="I215" s="4" t="inlineStr">
        <is>
          <t>https://www.facebook.com/profile.php?id=100044607326097</t>
        </is>
      </c>
      <c r="J215" s="2" t="inlineStr">
        <is>
          <t>+61 402 092 729</t>
        </is>
      </c>
      <c r="K215" s="2" t="inlineStr"/>
      <c r="L215" s="2" t="inlineStr">
        <is>
          <t>no website listed, only social media (verify on Google Maps)</t>
        </is>
      </c>
      <c r="M215" s="2" t="inlineStr">
        <is>
          <t>Hi Tiny Tots Physiotherapy - Kathryn Shutt team! [one real detail from their page]. We're AceAds, a web design studio. We couldn't find a website for Tiny Tots Physiotherapy - Kathryn Shutt, only your Facebook. We'd be happy to make you a free preview of what a website could look like. Want one? No cost, no obligation.</t>
        </is>
      </c>
      <c r="N215" s="4" t="inlineStr">
        <is>
          <t>Open map</t>
        </is>
      </c>
      <c r="O215" s="2" t="inlineStr">
        <is>
          <t>Not contacted</t>
        </is>
      </c>
      <c r="P215" s="2" t="inlineStr"/>
      <c r="Q215" s="2" t="inlineStr"/>
      <c r="R215" s="2" t="inlineStr"/>
      <c r="S215" s="2" t="inlineStr"/>
    </row>
    <row r="216">
      <c r="A216" s="2" t="n">
        <v>215</v>
      </c>
      <c r="B216" s="5" t="inlineStr">
        <is>
          <t>VERIFY FIRST</t>
        </is>
      </c>
      <c r="C216" s="2" t="inlineStr">
        <is>
          <t>No website found</t>
        </is>
      </c>
      <c r="D216" s="2" t="inlineStr">
        <is>
          <t>Asia Canteen</t>
        </is>
      </c>
      <c r="E216" s="2" t="inlineStr">
        <is>
          <t>restaurant</t>
        </is>
      </c>
      <c r="F216" s="2" t="inlineStr">
        <is>
          <t>Brisbane</t>
        </is>
      </c>
      <c r="G216" s="2" t="inlineStr">
        <is>
          <t>Facebook</t>
        </is>
      </c>
      <c r="H216" s="2" t="inlineStr"/>
      <c r="I216" s="4" t="inlineStr">
        <is>
          <t>https://www.facebook.com/people/Asia-Canteen/100063772110992/</t>
        </is>
      </c>
      <c r="J216" s="2" t="inlineStr">
        <is>
          <t>+61 7 3351 0668</t>
        </is>
      </c>
      <c r="K216" s="2" t="inlineStr"/>
      <c r="L216" s="2" t="inlineStr">
        <is>
          <t>no website listed, only social media (verify on Google Maps)</t>
        </is>
      </c>
      <c r="M216" s="2" t="inlineStr">
        <is>
          <t>Hi Asia Canteen team! [one real detail from their page]. We're AceAds, a web design studio. We couldn't find a website for Asia Canteen, only your Facebook. We'd be happy to make you a free preview of what a website could look like. Want one? No cost, no obligation.</t>
        </is>
      </c>
      <c r="N216" s="4" t="inlineStr">
        <is>
          <t>Open map</t>
        </is>
      </c>
      <c r="O216" s="2" t="inlineStr">
        <is>
          <t>Not contacted</t>
        </is>
      </c>
      <c r="P216" s="2" t="inlineStr"/>
      <c r="Q216" s="2" t="inlineStr"/>
      <c r="R216" s="2" t="inlineStr"/>
      <c r="S216" s="2" t="inlineStr"/>
    </row>
    <row r="217">
      <c r="A217" s="2" t="n">
        <v>216</v>
      </c>
      <c r="B217" s="5" t="inlineStr">
        <is>
          <t>VERIFY FIRST</t>
        </is>
      </c>
      <c r="C217" s="2" t="inlineStr">
        <is>
          <t>No website found</t>
        </is>
      </c>
      <c r="D217" s="2" t="inlineStr">
        <is>
          <t>Ben's Burgers</t>
        </is>
      </c>
      <c r="E217" s="2" t="inlineStr">
        <is>
          <t>restaurant</t>
        </is>
      </c>
      <c r="F217" s="2" t="inlineStr">
        <is>
          <t>Brisbane</t>
        </is>
      </c>
      <c r="G217" s="2" t="inlineStr">
        <is>
          <t>Facebook</t>
        </is>
      </c>
      <c r="H217" s="2" t="inlineStr"/>
      <c r="I217" s="4" t="inlineStr">
        <is>
          <t>https://www.facebook.com/bensburgers</t>
        </is>
      </c>
      <c r="J217" s="2" t="inlineStr"/>
      <c r="K217" s="2" t="inlineStr"/>
      <c r="L217" s="2" t="inlineStr">
        <is>
          <t>no website listed, only social media (verify on Google Maps)</t>
        </is>
      </c>
      <c r="M217" s="2" t="inlineStr">
        <is>
          <t>Hi Ben's Burgers team! [one real detail from their page]. We're AceAds, a web design studio. We couldn't find a website for Ben's Burgers, only your Facebook. We'd be happy to make you a free preview of what a website could look like. Want one? No cost, no obligation.</t>
        </is>
      </c>
      <c r="N217" s="4" t="inlineStr">
        <is>
          <t>Open map</t>
        </is>
      </c>
      <c r="O217" s="2" t="inlineStr">
        <is>
          <t>Not contacted</t>
        </is>
      </c>
      <c r="P217" s="2" t="inlineStr"/>
      <c r="Q217" s="2" t="inlineStr"/>
      <c r="R217" s="2" t="inlineStr"/>
      <c r="S217" s="2" t="inlineStr"/>
    </row>
    <row r="218">
      <c r="A218" s="2" t="n">
        <v>217</v>
      </c>
      <c r="B218" s="5" t="inlineStr">
        <is>
          <t>VERIFY FIRST</t>
        </is>
      </c>
      <c r="C218" s="2" t="inlineStr">
        <is>
          <t>No website found</t>
        </is>
      </c>
      <c r="D218" s="2" t="inlineStr">
        <is>
          <t>Buncha Buncha</t>
        </is>
      </c>
      <c r="E218" s="2" t="inlineStr">
        <is>
          <t>restaurant</t>
        </is>
      </c>
      <c r="F218" s="2" t="inlineStr">
        <is>
          <t>Brisbane</t>
        </is>
      </c>
      <c r="G218" s="2" t="inlineStr">
        <is>
          <t>Facebook</t>
        </is>
      </c>
      <c r="H218" s="2" t="inlineStr"/>
      <c r="I218" s="4" t="inlineStr">
        <is>
          <t>https://m.facebook.com/BunchaBunchaQLD/</t>
        </is>
      </c>
      <c r="J218" s="2" t="inlineStr"/>
      <c r="K218" s="2" t="inlineStr"/>
      <c r="L218" s="2" t="inlineStr">
        <is>
          <t>no website listed, only social media (verify on Google Maps)</t>
        </is>
      </c>
      <c r="M218" s="2" t="inlineStr">
        <is>
          <t>Hi Buncha Buncha team! [one real detail from their page]. We're AceAds, a web design studio. We couldn't find a website for Buncha Buncha, only your Facebook. We'd be happy to make you a free preview of what a website could look like. Want one? No cost, no obligation.</t>
        </is>
      </c>
      <c r="N218" s="4" t="inlineStr">
        <is>
          <t>Open map</t>
        </is>
      </c>
      <c r="O218" s="2" t="inlineStr">
        <is>
          <t>Not contacted</t>
        </is>
      </c>
      <c r="P218" s="2" t="inlineStr"/>
      <c r="Q218" s="2" t="inlineStr"/>
      <c r="R218" s="2" t="inlineStr"/>
      <c r="S218" s="2" t="inlineStr"/>
    </row>
    <row r="219">
      <c r="A219" s="2" t="n">
        <v>218</v>
      </c>
      <c r="B219" s="5" t="inlineStr">
        <is>
          <t>VERIFY FIRST</t>
        </is>
      </c>
      <c r="C219" s="2" t="inlineStr">
        <is>
          <t>No website found</t>
        </is>
      </c>
      <c r="D219" s="2" t="inlineStr">
        <is>
          <t>Ho Choi</t>
        </is>
      </c>
      <c r="E219" s="2" t="inlineStr">
        <is>
          <t>restaurant</t>
        </is>
      </c>
      <c r="F219" s="2" t="inlineStr">
        <is>
          <t>Brisbane</t>
        </is>
      </c>
      <c r="G219" s="2" t="inlineStr">
        <is>
          <t>Facebook</t>
        </is>
      </c>
      <c r="H219" s="2" t="inlineStr"/>
      <c r="I219" s="4" t="inlineStr">
        <is>
          <t>https://www.facebook.com/p/Ho-Choi-Licensed-Restaurant-100040303334335/</t>
        </is>
      </c>
      <c r="J219" s="2" t="inlineStr">
        <is>
          <t>+61 7 3848 3785</t>
        </is>
      </c>
      <c r="K219" s="2" t="inlineStr"/>
      <c r="L219" s="2" t="inlineStr">
        <is>
          <t>no website listed, only social media (verify on Google Maps)</t>
        </is>
      </c>
      <c r="M219" s="2" t="inlineStr">
        <is>
          <t>Hi Ho Choi team! [one real detail from their page]. We're AceAds, a web design studio. We couldn't find a website for Ho Choi, only your Facebook. We'd be happy to make you a free preview of what a website could look like. Want one? No cost, no obligation.</t>
        </is>
      </c>
      <c r="N219" s="4" t="inlineStr">
        <is>
          <t>Open map</t>
        </is>
      </c>
      <c r="O219" s="2" t="inlineStr">
        <is>
          <t>Not contacted</t>
        </is>
      </c>
      <c r="P219" s="2" t="inlineStr"/>
      <c r="Q219" s="2" t="inlineStr"/>
      <c r="R219" s="2" t="inlineStr"/>
      <c r="S219" s="2" t="inlineStr"/>
    </row>
    <row r="220">
      <c r="A220" s="2" t="n">
        <v>219</v>
      </c>
      <c r="B220" s="5" t="inlineStr">
        <is>
          <t>VERIFY FIRST</t>
        </is>
      </c>
      <c r="C220" s="2" t="inlineStr">
        <is>
          <t>No website found</t>
        </is>
      </c>
      <c r="D220" s="2" t="inlineStr">
        <is>
          <t>Latin Manna</t>
        </is>
      </c>
      <c r="E220" s="2" t="inlineStr">
        <is>
          <t>restaurant</t>
        </is>
      </c>
      <c r="F220" s="2" t="inlineStr">
        <is>
          <t>Brisbane</t>
        </is>
      </c>
      <c r="G220" s="2" t="inlineStr">
        <is>
          <t>Facebook</t>
        </is>
      </c>
      <c r="H220" s="2" t="inlineStr"/>
      <c r="I220" s="4" t="inlineStr">
        <is>
          <t>https://www.facebook.com/LATIN.MANNA</t>
        </is>
      </c>
      <c r="J220" s="2" t="inlineStr">
        <is>
          <t>+61 414 769 609</t>
        </is>
      </c>
      <c r="K220" s="2" t="inlineStr"/>
      <c r="L220" s="2" t="inlineStr">
        <is>
          <t>no website listed, only social media (verify on Google Maps)</t>
        </is>
      </c>
      <c r="M220" s="2" t="inlineStr">
        <is>
          <t>Hi Latin Manna team! [one real detail from their page]. We're AceAds, a web design studio. We couldn't find a website for Latin Manna, only your Facebook. We'd be happy to make you a free preview of what a website could look like. Want one? No cost, no obligation.</t>
        </is>
      </c>
      <c r="N220" s="4" t="inlineStr">
        <is>
          <t>Open map</t>
        </is>
      </c>
      <c r="O220" s="2" t="inlineStr">
        <is>
          <t>Not contacted</t>
        </is>
      </c>
      <c r="P220" s="2" t="inlineStr"/>
      <c r="Q220" s="2" t="inlineStr"/>
      <c r="R220" s="2" t="inlineStr"/>
      <c r="S220" s="2" t="inlineStr"/>
    </row>
    <row r="221">
      <c r="A221" s="2" t="n">
        <v>220</v>
      </c>
      <c r="B221" s="5" t="inlineStr">
        <is>
          <t>VERIFY FIRST</t>
        </is>
      </c>
      <c r="C221" s="2" t="inlineStr">
        <is>
          <t>No website found</t>
        </is>
      </c>
      <c r="D221" s="2" t="inlineStr">
        <is>
          <t>Nekoland Ramen &amp; Bar</t>
        </is>
      </c>
      <c r="E221" s="2" t="inlineStr">
        <is>
          <t>restaurant</t>
        </is>
      </c>
      <c r="F221" s="2" t="inlineStr">
        <is>
          <t>Brisbane</t>
        </is>
      </c>
      <c r="G221" s="2" t="inlineStr">
        <is>
          <t>Instagram</t>
        </is>
      </c>
      <c r="H221" s="4" t="inlineStr">
        <is>
          <t>https://www.instagram.com/nekoland.westend</t>
        </is>
      </c>
      <c r="I221" s="2" t="inlineStr"/>
      <c r="J221" s="2" t="inlineStr">
        <is>
          <t>+61 414 771 918</t>
        </is>
      </c>
      <c r="K221" s="2" t="inlineStr"/>
      <c r="L221" s="2" t="inlineStr">
        <is>
          <t>no website listed, only social media (verify on Google Maps)</t>
        </is>
      </c>
      <c r="M221" s="2" t="inlineStr">
        <is>
          <t>Hi Nekoland Ramen &amp; Bar team! [one real detail from their page]. We're AceAds, a web design studio. We couldn't find a website for Nekoland Ramen &amp; Bar, only your Instagram. We'd be happy to make you a free preview of what a website could look like. Want one? No cost, no obligation.</t>
        </is>
      </c>
      <c r="N221" s="4" t="inlineStr">
        <is>
          <t>Open map</t>
        </is>
      </c>
      <c r="O221" s="2" t="inlineStr">
        <is>
          <t>Not contacted</t>
        </is>
      </c>
      <c r="P221" s="2" t="inlineStr"/>
      <c r="Q221" s="2" t="inlineStr"/>
      <c r="R221" s="2" t="inlineStr"/>
      <c r="S221" s="2" t="inlineStr"/>
    </row>
    <row r="222">
      <c r="A222" s="2" t="n">
        <v>221</v>
      </c>
      <c r="B222" s="5" t="inlineStr">
        <is>
          <t>VERIFY FIRST</t>
        </is>
      </c>
      <c r="C222" s="2" t="inlineStr">
        <is>
          <t>No website found</t>
        </is>
      </c>
      <c r="D222" s="2" t="inlineStr">
        <is>
          <t>Passion Sushi</t>
        </is>
      </c>
      <c r="E222" s="2" t="inlineStr">
        <is>
          <t>restaurant</t>
        </is>
      </c>
      <c r="F222" s="2" t="inlineStr">
        <is>
          <t>Brisbane</t>
        </is>
      </c>
      <c r="G222" s="2" t="inlineStr">
        <is>
          <t>Facebook</t>
        </is>
      </c>
      <c r="H222" s="2" t="inlineStr"/>
      <c r="I222" s="4" t="inlineStr">
        <is>
          <t>https://www.facebook.com/passionsushi.com.au</t>
        </is>
      </c>
      <c r="J222" s="2" t="inlineStr"/>
      <c r="K222" s="2" t="inlineStr"/>
      <c r="L222" s="2" t="inlineStr">
        <is>
          <t>no website listed, only social media (verify on Google Maps)</t>
        </is>
      </c>
      <c r="M222" s="2" t="inlineStr">
        <is>
          <t>Hi Passion Sushi team! [one real detail from their page]. We're AceAds, a web design studio. We couldn't find a website for Passion Sushi, only your Facebook. We'd be happy to make you a free preview of what a website could look like. Want one? No cost, no obligation.</t>
        </is>
      </c>
      <c r="N222" s="4" t="inlineStr">
        <is>
          <t>Open map</t>
        </is>
      </c>
      <c r="O222" s="2" t="inlineStr">
        <is>
          <t>Not contacted</t>
        </is>
      </c>
      <c r="P222" s="2" t="inlineStr"/>
      <c r="Q222" s="2" t="inlineStr"/>
      <c r="R222" s="2" t="inlineStr"/>
      <c r="S222" s="2" t="inlineStr"/>
    </row>
    <row r="223">
      <c r="A223" s="2" t="n">
        <v>222</v>
      </c>
      <c r="B223" s="5" t="inlineStr">
        <is>
          <t>VERIFY FIRST</t>
        </is>
      </c>
      <c r="C223" s="2" t="inlineStr">
        <is>
          <t>No website found</t>
        </is>
      </c>
      <c r="D223" s="2" t="inlineStr">
        <is>
          <t>Stickybeak</t>
        </is>
      </c>
      <c r="E223" s="2" t="inlineStr">
        <is>
          <t>restaurant</t>
        </is>
      </c>
      <c r="F223" s="2" t="inlineStr">
        <is>
          <t>Brisbane</t>
        </is>
      </c>
      <c r="G223" s="2" t="inlineStr">
        <is>
          <t>Instagram</t>
        </is>
      </c>
      <c r="H223" s="4" t="inlineStr">
        <is>
          <t>https://www.instagram.com/Stickybeakwinebar</t>
        </is>
      </c>
      <c r="I223" s="2" t="inlineStr"/>
      <c r="J223" s="2" t="inlineStr"/>
      <c r="K223" s="2" t="inlineStr"/>
      <c r="L223" s="2" t="inlineStr">
        <is>
          <t>no website listed, only social media (verify on Google Maps)</t>
        </is>
      </c>
      <c r="M223" s="2" t="inlineStr">
        <is>
          <t>Hi Stickybeak team! [one real detail from their page]. We're AceAds, a web design studio. We couldn't find a website for Stickybeak, only your Instagram. We'd be happy to make you a free preview of what a website could look like. Want one? No cost, no obligation.</t>
        </is>
      </c>
      <c r="N223" s="4" t="inlineStr">
        <is>
          <t>Open map</t>
        </is>
      </c>
      <c r="O223" s="2" t="inlineStr">
        <is>
          <t>Not contacted</t>
        </is>
      </c>
      <c r="P223" s="2" t="inlineStr"/>
      <c r="Q223" s="2" t="inlineStr"/>
      <c r="R223" s="2" t="inlineStr"/>
      <c r="S223" s="2" t="inlineStr"/>
    </row>
    <row r="224">
      <c r="A224" s="2" t="n">
        <v>223</v>
      </c>
      <c r="B224" s="5" t="inlineStr">
        <is>
          <t>VERIFY FIRST</t>
        </is>
      </c>
      <c r="C224" s="2" t="inlineStr">
        <is>
          <t>No website found</t>
        </is>
      </c>
      <c r="D224" s="2" t="inlineStr">
        <is>
          <t>The White House Waterford</t>
        </is>
      </c>
      <c r="E224" s="2" t="inlineStr">
        <is>
          <t>restaurant</t>
        </is>
      </c>
      <c r="F224" s="2" t="inlineStr">
        <is>
          <t>Brisbane</t>
        </is>
      </c>
      <c r="G224" s="2" t="inlineStr">
        <is>
          <t>Facebook</t>
        </is>
      </c>
      <c r="H224" s="2" t="inlineStr"/>
      <c r="I224" s="4" t="inlineStr">
        <is>
          <t>https://www.facebook.com/The Whitehouse Waterford</t>
        </is>
      </c>
      <c r="J224" s="2" t="inlineStr"/>
      <c r="K224" s="2" t="inlineStr"/>
      <c r="L224" s="2" t="inlineStr">
        <is>
          <t>no website listed, only social media (verify on Google Maps)</t>
        </is>
      </c>
      <c r="M224" s="2" t="inlineStr">
        <is>
          <t>Hi The White House Waterford team! [one real detail from their page]. We're AceAds, a web design studio. We couldn't find a website for The White House Waterford, only your Facebook. We'd be happy to make you a free preview of what a website could look like. Want one? No cost, no obligation.</t>
        </is>
      </c>
      <c r="N224" s="4" t="inlineStr">
        <is>
          <t>Open map</t>
        </is>
      </c>
      <c r="O224" s="2" t="inlineStr">
        <is>
          <t>Not contacted</t>
        </is>
      </c>
      <c r="P224" s="2" t="inlineStr"/>
      <c r="Q224" s="2" t="inlineStr"/>
      <c r="R224" s="2" t="inlineStr"/>
      <c r="S224" s="2" t="inlineStr"/>
    </row>
    <row r="225">
      <c r="A225" s="2" t="n">
        <v>224</v>
      </c>
      <c r="B225" s="5" t="inlineStr">
        <is>
          <t>VERIFY FIRST</t>
        </is>
      </c>
      <c r="C225" s="2" t="inlineStr">
        <is>
          <t>No website found</t>
        </is>
      </c>
      <c r="D225" s="2" t="inlineStr">
        <is>
          <t>Wara Wara</t>
        </is>
      </c>
      <c r="E225" s="2" t="inlineStr">
        <is>
          <t>restaurant</t>
        </is>
      </c>
      <c r="F225" s="2" t="inlineStr">
        <is>
          <t>Brisbane</t>
        </is>
      </c>
      <c r="G225" s="2" t="inlineStr">
        <is>
          <t>Facebook</t>
        </is>
      </c>
      <c r="H225" s="2" t="inlineStr"/>
      <c r="I225" s="4" t="inlineStr">
        <is>
          <t>https://www.facebook.com/warawarabrisbane</t>
        </is>
      </c>
      <c r="J225" s="2" t="inlineStr"/>
      <c r="K225" s="2" t="inlineStr"/>
      <c r="L225" s="2" t="inlineStr">
        <is>
          <t>no website listed, only social media (verify on Google Maps)</t>
        </is>
      </c>
      <c r="M225" s="2" t="inlineStr">
        <is>
          <t>Hi Wara Wara team! [one real detail from their page]. We're AceAds, a web design studio. We couldn't find a website for Wara Wara, only your Facebook. We'd be happy to make you a free preview of what a website could look like. Want one? No cost, no obligation.</t>
        </is>
      </c>
      <c r="N225" s="4" t="inlineStr">
        <is>
          <t>Open map</t>
        </is>
      </c>
      <c r="O225" s="2" t="inlineStr">
        <is>
          <t>Not contacted</t>
        </is>
      </c>
      <c r="P225" s="2" t="inlineStr"/>
      <c r="Q225" s="2" t="inlineStr"/>
      <c r="R225" s="2" t="inlineStr"/>
      <c r="S225" s="2" t="inlineStr"/>
    </row>
    <row r="226">
      <c r="A226" s="2" t="n">
        <v>225</v>
      </c>
      <c r="B226" s="5" t="inlineStr">
        <is>
          <t>VERIFY FIRST</t>
        </is>
      </c>
      <c r="C226" s="2" t="inlineStr">
        <is>
          <t>No website found</t>
        </is>
      </c>
      <c r="D226" s="2" t="inlineStr">
        <is>
          <t>Clove</t>
        </is>
      </c>
      <c r="E226" s="2" t="inlineStr">
        <is>
          <t>takeaway</t>
        </is>
      </c>
      <c r="F226" s="2" t="inlineStr">
        <is>
          <t>Brisbane</t>
        </is>
      </c>
      <c r="G226" s="2" t="inlineStr">
        <is>
          <t>Facebook</t>
        </is>
      </c>
      <c r="H226" s="2" t="inlineStr"/>
      <c r="I226" s="4" t="inlineStr">
        <is>
          <t>https://facebook.com/pages/category/Restaurant/CLOVE-WEST-END-107877521487899/</t>
        </is>
      </c>
      <c r="J226" s="2" t="inlineStr"/>
      <c r="K226" s="2" t="inlineStr"/>
      <c r="L226" s="2" t="inlineStr">
        <is>
          <t>no website listed, only social media (verify on Google Maps)</t>
        </is>
      </c>
      <c r="M226" s="2" t="inlineStr">
        <is>
          <t>Hi Clove team! [one real detail from their page]. We're AceAds, a web design studio. We couldn't find a website for Clove, only your Facebook. We'd be happy to make you a free preview of what a website could look like. Want one? No cost, no obligation.</t>
        </is>
      </c>
      <c r="N226" s="4" t="inlineStr">
        <is>
          <t>Open map</t>
        </is>
      </c>
      <c r="O226" s="2" t="inlineStr">
        <is>
          <t>Not contacted</t>
        </is>
      </c>
      <c r="P226" s="2" t="inlineStr"/>
      <c r="Q226" s="2" t="inlineStr"/>
      <c r="R226" s="2" t="inlineStr"/>
      <c r="S226" s="2" t="inlineStr"/>
    </row>
    <row r="227">
      <c r="A227" s="2" t="n">
        <v>226</v>
      </c>
      <c r="B227" s="5" t="inlineStr">
        <is>
          <t>VERIFY FIRST</t>
        </is>
      </c>
      <c r="C227" s="2" t="inlineStr">
        <is>
          <t>No website found</t>
        </is>
      </c>
      <c r="D227" s="2" t="inlineStr">
        <is>
          <t>King of the Wings</t>
        </is>
      </c>
      <c r="E227" s="2" t="inlineStr">
        <is>
          <t>takeaway</t>
        </is>
      </c>
      <c r="F227" s="2" t="inlineStr">
        <is>
          <t>Brisbane</t>
        </is>
      </c>
      <c r="G227" s="2" t="inlineStr">
        <is>
          <t>Facebook</t>
        </is>
      </c>
      <c r="H227" s="2" t="inlineStr"/>
      <c r="I227" s="4" t="inlineStr">
        <is>
          <t>https://www.facebook.com/kingofthewingsbrisbane/</t>
        </is>
      </c>
      <c r="J227" s="2" t="inlineStr">
        <is>
          <t>+61 7 3607 2032</t>
        </is>
      </c>
      <c r="K227" s="2" t="inlineStr"/>
      <c r="L227" s="2" t="inlineStr">
        <is>
          <t>no website listed, only social media (verify on Google Maps)</t>
        </is>
      </c>
      <c r="M227" s="2" t="inlineStr">
        <is>
          <t>Hi King of the Wings team! [one real detail from their page]. We're AceAds, a web design studio. We couldn't find a website for King of the Wings, only your Facebook. We'd be happy to make you a free preview of what a website could look like. Want one? No cost, no obligation.</t>
        </is>
      </c>
      <c r="N227" s="4" t="inlineStr">
        <is>
          <t>Open map</t>
        </is>
      </c>
      <c r="O227" s="2" t="inlineStr">
        <is>
          <t>Not contacted</t>
        </is>
      </c>
      <c r="P227" s="2" t="inlineStr"/>
      <c r="Q227" s="2" t="inlineStr"/>
      <c r="R227" s="2" t="inlineStr"/>
      <c r="S227" s="2" t="inlineStr"/>
    </row>
    <row r="228">
      <c r="A228" s="2" t="n">
        <v>227</v>
      </c>
      <c r="B228" s="5" t="inlineStr">
        <is>
          <t>VERIFY FIRST</t>
        </is>
      </c>
      <c r="C228" s="2" t="inlineStr">
        <is>
          <t>No website found</t>
        </is>
      </c>
      <c r="D228" s="2" t="inlineStr">
        <is>
          <t>Lily &amp; Lala Kebab</t>
        </is>
      </c>
      <c r="E228" s="2" t="inlineStr">
        <is>
          <t>takeaway</t>
        </is>
      </c>
      <c r="F228" s="2" t="inlineStr">
        <is>
          <t>Brisbane</t>
        </is>
      </c>
      <c r="G228" s="2" t="inlineStr">
        <is>
          <t>Facebook</t>
        </is>
      </c>
      <c r="H228" s="2" t="inlineStr"/>
      <c r="I228" s="4" t="inlineStr">
        <is>
          <t>https://www.facebook.com/people/LilyLalas-Kebab/61568934639796/</t>
        </is>
      </c>
      <c r="J228" s="2" t="inlineStr"/>
      <c r="K228" s="2" t="inlineStr"/>
      <c r="L228" s="2" t="inlineStr">
        <is>
          <t>no website listed, only social media (verify on Google Maps)</t>
        </is>
      </c>
      <c r="M228" s="2" t="inlineStr">
        <is>
          <t>Hi Lily &amp; Lala Kebab team! [one real detail from their page]. We're AceAds, a web design studio. We couldn't find a website for Lily &amp; Lala Kebab, only your Facebook. We'd be happy to make you a free preview of what a website could look like. Want one? No cost, no obligation.</t>
        </is>
      </c>
      <c r="N228" s="4" t="inlineStr">
        <is>
          <t>Open map</t>
        </is>
      </c>
      <c r="O228" s="2" t="inlineStr">
        <is>
          <t>Not contacted</t>
        </is>
      </c>
      <c r="P228" s="2" t="inlineStr"/>
      <c r="Q228" s="2" t="inlineStr"/>
      <c r="R228" s="2" t="inlineStr"/>
      <c r="S228" s="2" t="inlineStr"/>
    </row>
    <row r="229">
      <c r="A229" s="2" t="n">
        <v>228</v>
      </c>
      <c r="B229" s="5" t="inlineStr">
        <is>
          <t>VERIFY FIRST</t>
        </is>
      </c>
      <c r="C229" s="2" t="inlineStr">
        <is>
          <t>No website found</t>
        </is>
      </c>
      <c r="D229" s="2" t="inlineStr">
        <is>
          <t>Mount Cotton Seafood</t>
        </is>
      </c>
      <c r="E229" s="2" t="inlineStr">
        <is>
          <t>takeaway</t>
        </is>
      </c>
      <c r="F229" s="2" t="inlineStr">
        <is>
          <t>Brisbane</t>
        </is>
      </c>
      <c r="G229" s="2" t="inlineStr">
        <is>
          <t>Facebook</t>
        </is>
      </c>
      <c r="H229" s="2" t="inlineStr"/>
      <c r="I229" s="4" t="inlineStr">
        <is>
          <t>https://www.facebook.com/mountcottonseafood</t>
        </is>
      </c>
      <c r="J229" s="2" t="inlineStr"/>
      <c r="K229" s="2" t="inlineStr"/>
      <c r="L229" s="2" t="inlineStr">
        <is>
          <t>no website listed, only social media (verify on Google Maps)</t>
        </is>
      </c>
      <c r="M229" s="2" t="inlineStr">
        <is>
          <t>Hi Mount Cotton Seafood team! [one real detail from their page]. We're AceAds, a web design studio. We couldn't find a website for Mount Cotton Seafood, only your Facebook. We'd be happy to make you a free preview of what a website could look like. Want one? No cost, no obligation.</t>
        </is>
      </c>
      <c r="N229" s="4" t="inlineStr">
        <is>
          <t>Open map</t>
        </is>
      </c>
      <c r="O229" s="2" t="inlineStr">
        <is>
          <t>Not contacted</t>
        </is>
      </c>
      <c r="P229" s="2" t="inlineStr"/>
      <c r="Q229" s="2" t="inlineStr"/>
      <c r="R229" s="2" t="inlineStr"/>
      <c r="S229" s="2" t="inlineStr"/>
    </row>
    <row r="230">
      <c r="A230" s="2" t="n">
        <v>229</v>
      </c>
      <c r="B230" s="5" t="inlineStr">
        <is>
          <t>VERIFY FIRST</t>
        </is>
      </c>
      <c r="C230" s="2" t="inlineStr">
        <is>
          <t>No website found</t>
        </is>
      </c>
      <c r="D230" s="2" t="inlineStr">
        <is>
          <t>Nessie's Fish Bite</t>
        </is>
      </c>
      <c r="E230" s="2" t="inlineStr">
        <is>
          <t>takeaway</t>
        </is>
      </c>
      <c r="F230" s="2" t="inlineStr">
        <is>
          <t>Brisbane</t>
        </is>
      </c>
      <c r="G230" s="2" t="inlineStr">
        <is>
          <t>Facebook</t>
        </is>
      </c>
      <c r="H230" s="2" t="inlineStr"/>
      <c r="I230" s="4" t="inlineStr">
        <is>
          <t>http://www.facebook.com/nessiesfishbite</t>
        </is>
      </c>
      <c r="J230" s="2" t="inlineStr">
        <is>
          <t>+61 7 3491 8838</t>
        </is>
      </c>
      <c r="K230" s="2" t="inlineStr"/>
      <c r="L230" s="2" t="inlineStr">
        <is>
          <t>no website listed, only social media (verify on Google Maps)</t>
        </is>
      </c>
      <c r="M230" s="2" t="inlineStr">
        <is>
          <t>Hi Nessie's Fish Bite team! [one real detail from their page]. We're AceAds, a web design studio. We couldn't find a website for Nessie's Fish Bite, only your Facebook. We'd be happy to make you a free preview of what a website could look like. Want one? No cost, no obligation.</t>
        </is>
      </c>
      <c r="N230" s="4" t="inlineStr">
        <is>
          <t>Open map</t>
        </is>
      </c>
      <c r="O230" s="2" t="inlineStr">
        <is>
          <t>Not contacted</t>
        </is>
      </c>
      <c r="P230" s="2" t="inlineStr"/>
      <c r="Q230" s="2" t="inlineStr"/>
      <c r="R230" s="2" t="inlineStr"/>
      <c r="S230" s="2" t="inlineStr"/>
    </row>
    <row r="231">
      <c r="A231" s="2" t="n">
        <v>230</v>
      </c>
      <c r="B231" s="5" t="inlineStr">
        <is>
          <t>VERIFY FIRST</t>
        </is>
      </c>
      <c r="C231" s="2" t="inlineStr">
        <is>
          <t>No website found</t>
        </is>
      </c>
      <c r="D231" s="2" t="inlineStr">
        <is>
          <t>Red Hill Seafoods</t>
        </is>
      </c>
      <c r="E231" s="2" t="inlineStr">
        <is>
          <t>takeaway</t>
        </is>
      </c>
      <c r="F231" s="2" t="inlineStr">
        <is>
          <t>Brisbane</t>
        </is>
      </c>
      <c r="G231" s="2" t="inlineStr">
        <is>
          <t>Facebook</t>
        </is>
      </c>
      <c r="H231" s="2" t="inlineStr"/>
      <c r="I231" s="4" t="inlineStr">
        <is>
          <t>https://www.facebook.com/RedHillSeafood</t>
        </is>
      </c>
      <c r="J231" s="2" t="inlineStr">
        <is>
          <t>+61 7 3369 1424</t>
        </is>
      </c>
      <c r="K231" s="2" t="inlineStr"/>
      <c r="L231" s="2" t="inlineStr">
        <is>
          <t>no website listed, only social media (verify on Google Maps)</t>
        </is>
      </c>
      <c r="M231" s="2" t="inlineStr">
        <is>
          <t>Hi Red Hill Seafoods team! [one real detail from their page]. We're AceAds, a web design studio. We couldn't find a website for Red Hill Seafoods, only your Facebook. We'd be happy to make you a free preview of what a website could look like. Want one? No cost, no obligation.</t>
        </is>
      </c>
      <c r="N231" s="4" t="inlineStr">
        <is>
          <t>Open map</t>
        </is>
      </c>
      <c r="O231" s="2" t="inlineStr">
        <is>
          <t>Not contacted</t>
        </is>
      </c>
      <c r="P231" s="2" t="inlineStr"/>
      <c r="Q231" s="2" t="inlineStr"/>
      <c r="R231" s="2" t="inlineStr"/>
      <c r="S231" s="2" t="inlineStr"/>
    </row>
    <row r="232">
      <c r="A232" s="2" t="n">
        <v>231</v>
      </c>
      <c r="B232" s="5" t="inlineStr">
        <is>
          <t>VERIFY FIRST</t>
        </is>
      </c>
      <c r="C232" s="2" t="inlineStr">
        <is>
          <t>No website found</t>
        </is>
      </c>
      <c r="D232" s="2" t="inlineStr">
        <is>
          <t>Rocklea Kebab and Pizza</t>
        </is>
      </c>
      <c r="E232" s="2" t="inlineStr">
        <is>
          <t>takeaway</t>
        </is>
      </c>
      <c r="F232" s="2" t="inlineStr">
        <is>
          <t>Brisbane</t>
        </is>
      </c>
      <c r="G232" s="2" t="inlineStr">
        <is>
          <t>Facebook</t>
        </is>
      </c>
      <c r="H232" s="2" t="inlineStr"/>
      <c r="I232" s="4" t="inlineStr">
        <is>
          <t>https://www.facebook.com/RockleaKebabandpizza/</t>
        </is>
      </c>
      <c r="J232" s="2" t="inlineStr">
        <is>
          <t>+61 7 3162 2670</t>
        </is>
      </c>
      <c r="K232" s="2" t="inlineStr"/>
      <c r="L232" s="2" t="inlineStr">
        <is>
          <t>no website listed, only social media (verify on Google Maps)</t>
        </is>
      </c>
      <c r="M232" s="2" t="inlineStr">
        <is>
          <t>Hi Rocklea Kebab and Pizza team! [one real detail from their page]. We're AceAds, a web design studio. We couldn't find a website for Rocklea Kebab and Pizza, only your Facebook. We'd be happy to make you a free preview of what a website could look like. Want one? No cost, no obligation.</t>
        </is>
      </c>
      <c r="N232" s="4" t="inlineStr">
        <is>
          <t>Open map</t>
        </is>
      </c>
      <c r="O232" s="2" t="inlineStr">
        <is>
          <t>Not contacted</t>
        </is>
      </c>
      <c r="P232" s="2" t="inlineStr"/>
      <c r="Q232" s="2" t="inlineStr"/>
      <c r="R232" s="2" t="inlineStr"/>
      <c r="S232" s="2" t="inlineStr"/>
    </row>
    <row r="233">
      <c r="A233" s="2" t="n">
        <v>232</v>
      </c>
      <c r="B233" s="5" t="inlineStr">
        <is>
          <t>VERIFY FIRST</t>
        </is>
      </c>
      <c r="C233" s="2" t="inlineStr">
        <is>
          <t>No website found</t>
        </is>
      </c>
      <c r="D233" s="2" t="inlineStr">
        <is>
          <t>The Deck</t>
        </is>
      </c>
      <c r="E233" s="2" t="inlineStr">
        <is>
          <t>takeaway</t>
        </is>
      </c>
      <c r="F233" s="2" t="inlineStr">
        <is>
          <t>Brisbane</t>
        </is>
      </c>
      <c r="G233" s="2" t="inlineStr">
        <is>
          <t>Facebook</t>
        </is>
      </c>
      <c r="H233" s="2" t="inlineStr"/>
      <c r="I233" s="4" t="inlineStr">
        <is>
          <t>https://www.facebook.com/thedecktakeawayfood/</t>
        </is>
      </c>
      <c r="J233" s="2" t="inlineStr"/>
      <c r="K233" s="2" t="inlineStr"/>
      <c r="L233" s="2" t="inlineStr">
        <is>
          <t>no website listed, only social media (verify on Google Maps)</t>
        </is>
      </c>
      <c r="M233" s="2" t="inlineStr">
        <is>
          <t>Hi The Deck team! [one real detail from their page]. We're AceAds, a web design studio. We couldn't find a website for The Deck, only your Facebook. We'd be happy to make you a free preview of what a website could look like. Want one? No cost, no obligation.</t>
        </is>
      </c>
      <c r="N233" s="4" t="inlineStr">
        <is>
          <t>Open map</t>
        </is>
      </c>
      <c r="O233" s="2" t="inlineStr">
        <is>
          <t>Not contacted</t>
        </is>
      </c>
      <c r="P233" s="2" t="inlineStr"/>
      <c r="Q233" s="2" t="inlineStr"/>
      <c r="R233" s="2" t="inlineStr"/>
      <c r="S233" s="2" t="inlineStr"/>
    </row>
    <row r="234">
      <c r="A234" s="2" t="n">
        <v>233</v>
      </c>
      <c r="B234" s="5" t="inlineStr">
        <is>
          <t>VERIFY FIRST</t>
        </is>
      </c>
      <c r="C234" s="2" t="inlineStr">
        <is>
          <t>No website found</t>
        </is>
      </c>
      <c r="D234" s="2" t="inlineStr">
        <is>
          <t>Inksane</t>
        </is>
      </c>
      <c r="E234" s="2" t="inlineStr">
        <is>
          <t>tattoo studio</t>
        </is>
      </c>
      <c r="F234" s="2" t="inlineStr">
        <is>
          <t>Brisbane</t>
        </is>
      </c>
      <c r="G234" s="2" t="inlineStr">
        <is>
          <t>Facebook</t>
        </is>
      </c>
      <c r="H234" s="2" t="inlineStr"/>
      <c r="I234" s="4" t="inlineStr">
        <is>
          <t>https://facebook.com/inksanetattooqld/</t>
        </is>
      </c>
      <c r="J234" s="2" t="inlineStr">
        <is>
          <t>+61 7 3172 6331</t>
        </is>
      </c>
      <c r="K234" s="2" t="inlineStr"/>
      <c r="L234" s="2" t="inlineStr">
        <is>
          <t>no website listed, only social media (verify on Google Maps)</t>
        </is>
      </c>
      <c r="M234" s="2" t="inlineStr">
        <is>
          <t>Hi Inksane team! [one real detail from their page]. We're AceAds, a web design studio. We couldn't find a website for Inksane, only your Facebook. We'd be happy to make you a free preview of what a website could look like. Want one? No cost, no obligation.</t>
        </is>
      </c>
      <c r="N234" s="4" t="inlineStr">
        <is>
          <t>Open map</t>
        </is>
      </c>
      <c r="O234" s="2" t="inlineStr">
        <is>
          <t>Not contacted</t>
        </is>
      </c>
      <c r="P234" s="2" t="inlineStr"/>
      <c r="Q234" s="2" t="inlineStr"/>
      <c r="R234" s="2" t="inlineStr"/>
      <c r="S234" s="2" t="inlineStr"/>
    </row>
    <row r="235">
      <c r="A235" s="2" t="n">
        <v>234</v>
      </c>
      <c r="B235" s="5" t="inlineStr">
        <is>
          <t>VERIFY FIRST</t>
        </is>
      </c>
      <c r="C235" s="2" t="inlineStr">
        <is>
          <t>No website found</t>
        </is>
      </c>
      <c r="D235" s="2" t="inlineStr">
        <is>
          <t>Save Point Tattoo</t>
        </is>
      </c>
      <c r="E235" s="2" t="inlineStr">
        <is>
          <t>tattoo studio</t>
        </is>
      </c>
      <c r="F235" s="2" t="inlineStr">
        <is>
          <t>Brisbane</t>
        </is>
      </c>
      <c r="G235" s="2" t="inlineStr">
        <is>
          <t>Facebook</t>
        </is>
      </c>
      <c r="H235" s="2" t="inlineStr"/>
      <c r="I235" s="4" t="inlineStr">
        <is>
          <t>https://www.facebook.com/savepointtattoo</t>
        </is>
      </c>
      <c r="J235" s="2" t="inlineStr">
        <is>
          <t>+61 434 644 034</t>
        </is>
      </c>
      <c r="K235" s="2" t="inlineStr"/>
      <c r="L235" s="2" t="inlineStr">
        <is>
          <t>no website listed, only social media (verify on Google Maps)</t>
        </is>
      </c>
      <c r="M235" s="2" t="inlineStr">
        <is>
          <t>Hi Save Point Tattoo team! [one real detail from their page]. We're AceAds, a web design studio. We couldn't find a website for Save Point Tattoo, only your Facebook. We'd be happy to make you a free preview of what a website could look like. Want one? No cost, no obligation.</t>
        </is>
      </c>
      <c r="N235" s="4" t="inlineStr">
        <is>
          <t>Open map</t>
        </is>
      </c>
      <c r="O235" s="2" t="inlineStr">
        <is>
          <t>Not contacted</t>
        </is>
      </c>
      <c r="P235" s="2" t="inlineStr"/>
      <c r="Q235" s="2" t="inlineStr"/>
      <c r="R235" s="2" t="inlineStr"/>
      <c r="S235" s="2" t="inlineStr"/>
    </row>
    <row r="236">
      <c r="A236" s="2" t="n">
        <v>235</v>
      </c>
      <c r="B236" s="5" t="inlineStr">
        <is>
          <t>VERIFY FIRST</t>
        </is>
      </c>
      <c r="C236" s="2" t="inlineStr">
        <is>
          <t>No website found</t>
        </is>
      </c>
      <c r="D236" s="2" t="inlineStr">
        <is>
          <t>Stafford Tattoo</t>
        </is>
      </c>
      <c r="E236" s="2" t="inlineStr">
        <is>
          <t>tattoo studio</t>
        </is>
      </c>
      <c r="F236" s="2" t="inlineStr">
        <is>
          <t>Brisbane</t>
        </is>
      </c>
      <c r="G236" s="2" t="inlineStr">
        <is>
          <t>Facebook</t>
        </is>
      </c>
      <c r="H236" s="2" t="inlineStr"/>
      <c r="I236" s="4" t="inlineStr">
        <is>
          <t>https://www.facebook.com/st.tattoos/</t>
        </is>
      </c>
      <c r="J236" s="2" t="inlineStr">
        <is>
          <t>+61 7 3357 6696</t>
        </is>
      </c>
      <c r="K236" s="2" t="inlineStr"/>
      <c r="L236" s="2" t="inlineStr">
        <is>
          <t>no website listed, only social media (verify on Google Maps)</t>
        </is>
      </c>
      <c r="M236" s="2" t="inlineStr">
        <is>
          <t>Hi Stafford Tattoo team! [one real detail from their page]. We're AceAds, a web design studio. We couldn't find a website for Stafford Tattoo, only your Facebook. We'd be happy to make you a free preview of what a website could look like. Want one? No cost, no obligation.</t>
        </is>
      </c>
      <c r="N236" s="4" t="inlineStr">
        <is>
          <t>Open map</t>
        </is>
      </c>
      <c r="O236" s="2" t="inlineStr">
        <is>
          <t>Not contacted</t>
        </is>
      </c>
      <c r="P236" s="2" t="inlineStr"/>
      <c r="Q236" s="2" t="inlineStr"/>
      <c r="R236" s="2" t="inlineStr"/>
      <c r="S236" s="2" t="inlineStr"/>
    </row>
    <row r="237">
      <c r="A237" s="2" t="n">
        <v>236</v>
      </c>
      <c r="B237" s="5" t="inlineStr">
        <is>
          <t>VERIFY FIRST</t>
        </is>
      </c>
      <c r="C237" s="2" t="inlineStr">
        <is>
          <t>No website found</t>
        </is>
      </c>
      <c r="D237" s="2" t="inlineStr">
        <is>
          <t>Voodoo Tattoo</t>
        </is>
      </c>
      <c r="E237" s="2" t="inlineStr">
        <is>
          <t>tattoo studio</t>
        </is>
      </c>
      <c r="F237" s="2" t="inlineStr">
        <is>
          <t>Brisbane</t>
        </is>
      </c>
      <c r="G237" s="2" t="inlineStr">
        <is>
          <t>Facebook</t>
        </is>
      </c>
      <c r="H237" s="2" t="inlineStr"/>
      <c r="I237" s="4" t="inlineStr">
        <is>
          <t>https://www.facebook.com/Voodoo-Tattoo-193688920647994/</t>
        </is>
      </c>
      <c r="J237" s="2" t="inlineStr">
        <is>
          <t>+61 7 3801 2912</t>
        </is>
      </c>
      <c r="K237" s="2" t="inlineStr"/>
      <c r="L237" s="2" t="inlineStr">
        <is>
          <t>no website listed, only social media (verify on Google Maps)</t>
        </is>
      </c>
      <c r="M237" s="2" t="inlineStr">
        <is>
          <t>Hi Voodoo Tattoo team! [one real detail from their page]. We're AceAds, a web design studio. We couldn't find a website for Voodoo Tattoo, only your Facebook. We'd be happy to make you a free preview of what a website could look like. Want one? No cost, no obligation.</t>
        </is>
      </c>
      <c r="N237" s="4" t="inlineStr">
        <is>
          <t>Open map</t>
        </is>
      </c>
      <c r="O237" s="2" t="inlineStr">
        <is>
          <t>Not contacted</t>
        </is>
      </c>
      <c r="P237" s="2" t="inlineStr"/>
      <c r="Q237" s="2" t="inlineStr"/>
      <c r="R237" s="2" t="inlineStr"/>
      <c r="S237" s="2" t="inlineStr"/>
    </row>
    <row r="238">
      <c r="A238" s="2" t="n">
        <v>237</v>
      </c>
      <c r="B238" s="5" t="inlineStr">
        <is>
          <t>VERIFY FIRST</t>
        </is>
      </c>
      <c r="C238" s="2" t="inlineStr">
        <is>
          <t>No website found</t>
        </is>
      </c>
      <c r="D238" s="2" t="inlineStr">
        <is>
          <t>Alloway Farm Market</t>
        </is>
      </c>
      <c r="E238" s="2" t="inlineStr">
        <is>
          <t>cafe</t>
        </is>
      </c>
      <c r="F238" s="2" t="inlineStr">
        <is>
          <t>Bundaberg</t>
        </is>
      </c>
      <c r="G238" s="2" t="inlineStr">
        <is>
          <t>Facebook</t>
        </is>
      </c>
      <c r="H238" s="2" t="inlineStr"/>
      <c r="I238" s="4" t="inlineStr">
        <is>
          <t>https://www.facebook.com/allowayfarm/</t>
        </is>
      </c>
      <c r="J238" s="2" t="inlineStr"/>
      <c r="K238" s="2" t="inlineStr"/>
      <c r="L238" s="2" t="inlineStr">
        <is>
          <t>no website listed, only social media (verify on Google Maps)</t>
        </is>
      </c>
      <c r="M238" s="2" t="inlineStr">
        <is>
          <t>Hi Alloway Farm Market team! [one real detail from their page]. We're AceAds, a web design studio. We couldn't find a website for Alloway Farm Market, only your Facebook. We'd be happy to make you a free preview of what a website could look like. Want one? No cost, no obligation.</t>
        </is>
      </c>
      <c r="N238" s="4" t="inlineStr">
        <is>
          <t>Open map</t>
        </is>
      </c>
      <c r="O238" s="2" t="inlineStr">
        <is>
          <t>Not contacted</t>
        </is>
      </c>
      <c r="P238" s="2" t="inlineStr"/>
      <c r="Q238" s="2" t="inlineStr"/>
      <c r="R238" s="2" t="inlineStr"/>
      <c r="S238" s="2" t="inlineStr"/>
    </row>
    <row r="239">
      <c r="A239" s="2" t="n">
        <v>238</v>
      </c>
      <c r="B239" s="5" t="inlineStr">
        <is>
          <t>VERIFY FIRST</t>
        </is>
      </c>
      <c r="C239" s="2" t="inlineStr">
        <is>
          <t>No website found</t>
        </is>
      </c>
      <c r="D239" s="2" t="inlineStr">
        <is>
          <t>J-Elec Electrical Contractors</t>
        </is>
      </c>
      <c r="E239" s="2" t="inlineStr">
        <is>
          <t>trades</t>
        </is>
      </c>
      <c r="F239" s="2" t="inlineStr">
        <is>
          <t>Bundaberg</t>
        </is>
      </c>
      <c r="G239" s="2" t="inlineStr">
        <is>
          <t>Facebook</t>
        </is>
      </c>
      <c r="H239" s="2" t="inlineStr"/>
      <c r="I239" s="4" t="inlineStr">
        <is>
          <t>https://www.facebook.com/jelecelectricalcontractors/</t>
        </is>
      </c>
      <c r="J239" s="2" t="inlineStr">
        <is>
          <t>+61 7 4154 3421</t>
        </is>
      </c>
      <c r="K239" s="2" t="inlineStr"/>
      <c r="L239" s="2" t="inlineStr">
        <is>
          <t>no website listed, only social media (verify on Google Maps)</t>
        </is>
      </c>
      <c r="M239" s="2" t="inlineStr">
        <is>
          <t>Hi J-Elec Electrical Contractors team! [one real detail from their page]. We're AceAds, a web design studio. We couldn't find a website for J-Elec Electrical Contractors, only your Facebook. We'd be happy to make you a free preview of what a website could look like. Want one? No cost, no obligation.</t>
        </is>
      </c>
      <c r="N239" s="4" t="inlineStr">
        <is>
          <t>Open map</t>
        </is>
      </c>
      <c r="O239" s="2" t="inlineStr">
        <is>
          <t>Not contacted</t>
        </is>
      </c>
      <c r="P239" s="2" t="inlineStr"/>
      <c r="Q239" s="2" t="inlineStr"/>
      <c r="R239" s="2" t="inlineStr"/>
      <c r="S239" s="2" t="inlineStr"/>
    </row>
    <row r="240">
      <c r="A240" s="2" t="n">
        <v>239</v>
      </c>
      <c r="B240" s="5" t="inlineStr">
        <is>
          <t>VERIFY FIRST</t>
        </is>
      </c>
      <c r="C240" s="2" t="inlineStr">
        <is>
          <t>No website found</t>
        </is>
      </c>
      <c r="D240" s="2" t="inlineStr">
        <is>
          <t>Teddy Espresso</t>
        </is>
      </c>
      <c r="E240" s="2" t="inlineStr">
        <is>
          <t>cafe</t>
        </is>
      </c>
      <c r="F240" s="2" t="inlineStr">
        <is>
          <t>Cairns</t>
        </is>
      </c>
      <c r="G240" s="2" t="inlineStr">
        <is>
          <t>Facebook</t>
        </is>
      </c>
      <c r="H240" s="2" t="inlineStr"/>
      <c r="I240" s="4" t="inlineStr">
        <is>
          <t>https://www.facebook.com/teddyespresso.com.au/</t>
        </is>
      </c>
      <c r="J240" s="2" t="inlineStr"/>
      <c r="K240" s="2" t="inlineStr"/>
      <c r="L240" s="2" t="inlineStr">
        <is>
          <t>no website listed, only social media (verify on Google Maps)</t>
        </is>
      </c>
      <c r="M240" s="2" t="inlineStr">
        <is>
          <t>Hi Teddy Espresso team! [one real detail from their page]. We're AceAds, a web design studio. We couldn't find a website for Teddy Espresso, only your Facebook. We'd be happy to make you a free preview of what a website could look like. Want one? No cost, no obligation.</t>
        </is>
      </c>
      <c r="N240" s="4" t="inlineStr">
        <is>
          <t>Open map</t>
        </is>
      </c>
      <c r="O240" s="2" t="inlineStr">
        <is>
          <t>Not contacted</t>
        </is>
      </c>
      <c r="P240" s="2" t="inlineStr"/>
      <c r="Q240" s="2" t="inlineStr"/>
      <c r="R240" s="2" t="inlineStr"/>
      <c r="S240" s="2" t="inlineStr"/>
    </row>
    <row r="241">
      <c r="A241" s="2" t="n">
        <v>240</v>
      </c>
      <c r="B241" s="5" t="inlineStr">
        <is>
          <t>VERIFY FIRST</t>
        </is>
      </c>
      <c r="C241" s="2" t="inlineStr">
        <is>
          <t>No website found</t>
        </is>
      </c>
      <c r="D241" s="2" t="inlineStr">
        <is>
          <t>Iron strength power and performance</t>
        </is>
      </c>
      <c r="E241" s="2" t="inlineStr">
        <is>
          <t>gym or studio</t>
        </is>
      </c>
      <c r="F241" s="2" t="inlineStr">
        <is>
          <t>Cairns</t>
        </is>
      </c>
      <c r="G241" s="2" t="inlineStr">
        <is>
          <t>Facebook</t>
        </is>
      </c>
      <c r="H241" s="2" t="inlineStr"/>
      <c r="I241" s="4" t="inlineStr">
        <is>
          <t>https://www.facebook.com/ironstrengthpp/</t>
        </is>
      </c>
      <c r="J241" s="2" t="inlineStr">
        <is>
          <t>+61 423 531 278</t>
        </is>
      </c>
      <c r="K241" s="2" t="inlineStr"/>
      <c r="L241" s="2" t="inlineStr">
        <is>
          <t>no website listed, only social media (verify on Google Maps)</t>
        </is>
      </c>
      <c r="M241" s="2" t="inlineStr">
        <is>
          <t>Hi Iron strength power and performance team! [one real detail from their page]. We're AceAds, a web design studio. We couldn't find a website for Iron strength power and performance, only your Facebook. We'd be happy to make you a free preview of what a website could look like. Want one? No cost, no obligation.</t>
        </is>
      </c>
      <c r="N241" s="4" t="inlineStr">
        <is>
          <t>Open map</t>
        </is>
      </c>
      <c r="O241" s="2" t="inlineStr">
        <is>
          <t>Not contacted</t>
        </is>
      </c>
      <c r="P241" s="2" t="inlineStr"/>
      <c r="Q241" s="2" t="inlineStr"/>
      <c r="R241" s="2" t="inlineStr"/>
      <c r="S241" s="2" t="inlineStr"/>
    </row>
    <row r="242">
      <c r="A242" s="2" t="n">
        <v>241</v>
      </c>
      <c r="B242" s="5" t="inlineStr">
        <is>
          <t>VERIFY FIRST</t>
        </is>
      </c>
      <c r="C242" s="2" t="inlineStr">
        <is>
          <t>No website found</t>
        </is>
      </c>
      <c r="D242" s="2" t="inlineStr">
        <is>
          <t>Tasty Road</t>
        </is>
      </c>
      <c r="E242" s="2" t="inlineStr">
        <is>
          <t>restaurant</t>
        </is>
      </c>
      <c r="F242" s="2" t="inlineStr">
        <is>
          <t>Cairns</t>
        </is>
      </c>
      <c r="G242" s="2" t="inlineStr">
        <is>
          <t>Facebook</t>
        </is>
      </c>
      <c r="H242" s="2" t="inlineStr"/>
      <c r="I242" s="4" t="inlineStr">
        <is>
          <t>https://facebook.com/tastyroad</t>
        </is>
      </c>
      <c r="J242" s="2" t="inlineStr"/>
      <c r="K242" s="2" t="inlineStr"/>
      <c r="L242" s="2" t="inlineStr">
        <is>
          <t>no website listed, only social media (verify on Google Maps)</t>
        </is>
      </c>
      <c r="M242" s="2" t="inlineStr">
        <is>
          <t>Hi Tasty Road team! [one real detail from their page]. We're AceAds, a web design studio. We couldn't find a website for Tasty Road, only your Facebook. We'd be happy to make you a free preview of what a website could look like. Want one? No cost, no obligation.</t>
        </is>
      </c>
      <c r="N242" s="4" t="inlineStr">
        <is>
          <t>Open map</t>
        </is>
      </c>
      <c r="O242" s="2" t="inlineStr">
        <is>
          <t>Not contacted</t>
        </is>
      </c>
      <c r="P242" s="2" t="inlineStr"/>
      <c r="Q242" s="2" t="inlineStr"/>
      <c r="R242" s="2" t="inlineStr"/>
      <c r="S242" s="2" t="inlineStr"/>
    </row>
    <row r="243">
      <c r="A243" s="2" t="n">
        <v>242</v>
      </c>
      <c r="B243" s="5" t="inlineStr">
        <is>
          <t>VERIFY FIRST</t>
        </is>
      </c>
      <c r="C243" s="2" t="inlineStr">
        <is>
          <t>No website found</t>
        </is>
      </c>
      <c r="D243" s="2" t="inlineStr">
        <is>
          <t>Boulangerie Vietnam</t>
        </is>
      </c>
      <c r="E243" s="2" t="inlineStr">
        <is>
          <t>bakery</t>
        </is>
      </c>
      <c r="F243" s="2" t="inlineStr">
        <is>
          <t>Gold Coast</t>
        </is>
      </c>
      <c r="G243" s="2" t="inlineStr">
        <is>
          <t>Facebook</t>
        </is>
      </c>
      <c r="H243" s="2" t="inlineStr"/>
      <c r="I243" s="4" t="inlineStr">
        <is>
          <t>https://www.facebook.com/p/Boulangerie-Vietnam-100086495847018/</t>
        </is>
      </c>
      <c r="J243" s="2" t="inlineStr">
        <is>
          <t>+61 432 747 703</t>
        </is>
      </c>
      <c r="K243" s="2" t="inlineStr"/>
      <c r="L243" s="2" t="inlineStr">
        <is>
          <t>no website listed, only social media (verify on Google Maps)</t>
        </is>
      </c>
      <c r="M243" s="2" t="inlineStr">
        <is>
          <t>Hi Boulangerie Vietnam team! [one real detail from their page]. We're AceAds, a web design studio. We couldn't find a website for Boulangerie Vietnam, only your Facebook. We'd be happy to make you a free preview of what a website could look like. Want one? No cost, no obligation.</t>
        </is>
      </c>
      <c r="N243" s="4" t="inlineStr">
        <is>
          <t>Open map</t>
        </is>
      </c>
      <c r="O243" s="2" t="inlineStr">
        <is>
          <t>Not contacted</t>
        </is>
      </c>
      <c r="P243" s="2" t="inlineStr"/>
      <c r="Q243" s="2" t="inlineStr"/>
      <c r="R243" s="2" t="inlineStr"/>
      <c r="S243" s="2" t="inlineStr"/>
    </row>
    <row r="244">
      <c r="A244" s="2" t="n">
        <v>243</v>
      </c>
      <c r="B244" s="5" t="inlineStr">
        <is>
          <t>VERIFY FIRST</t>
        </is>
      </c>
      <c r="C244" s="2" t="inlineStr">
        <is>
          <t>No website found</t>
        </is>
      </c>
      <c r="D244" s="2" t="inlineStr">
        <is>
          <t>La De Da</t>
        </is>
      </c>
      <c r="E244" s="2" t="inlineStr">
        <is>
          <t>bakery</t>
        </is>
      </c>
      <c r="F244" s="2" t="inlineStr">
        <is>
          <t>Gold Coast</t>
        </is>
      </c>
      <c r="G244" s="2" t="inlineStr">
        <is>
          <t>Facebook</t>
        </is>
      </c>
      <c r="H244" s="2" t="inlineStr"/>
      <c r="I244" s="4" t="inlineStr">
        <is>
          <t>https://facebook.com/ladedabakery/</t>
        </is>
      </c>
      <c r="J244" s="2" t="inlineStr">
        <is>
          <t>+61 7 5599 5688</t>
        </is>
      </c>
      <c r="K244" s="2" t="inlineStr"/>
      <c r="L244" s="2" t="inlineStr">
        <is>
          <t>no website listed, only social media (verify on Google Maps)</t>
        </is>
      </c>
      <c r="M244" s="2" t="inlineStr">
        <is>
          <t>Hi La De Da team! [one real detail from their page]. We're AceAds, a web design studio. We couldn't find a website for La De Da, only your Facebook. We'd be happy to make you a free preview of what a website could look like. Want one? No cost, no obligation.</t>
        </is>
      </c>
      <c r="N244" s="4" t="inlineStr">
        <is>
          <t>Open map</t>
        </is>
      </c>
      <c r="O244" s="2" t="inlineStr">
        <is>
          <t>Not contacted</t>
        </is>
      </c>
      <c r="P244" s="2" t="inlineStr"/>
      <c r="Q244" s="2" t="inlineStr"/>
      <c r="R244" s="2" t="inlineStr"/>
      <c r="S244" s="2" t="inlineStr"/>
    </row>
    <row r="245">
      <c r="A245" s="2" t="n">
        <v>244</v>
      </c>
      <c r="B245" s="5" t="inlineStr">
        <is>
          <t>VERIFY FIRST</t>
        </is>
      </c>
      <c r="C245" s="2" t="inlineStr">
        <is>
          <t>No website found</t>
        </is>
      </c>
      <c r="D245" s="2" t="inlineStr">
        <is>
          <t>Lakeside Bakery</t>
        </is>
      </c>
      <c r="E245" s="2" t="inlineStr">
        <is>
          <t>bakery</t>
        </is>
      </c>
      <c r="F245" s="2" t="inlineStr">
        <is>
          <t>Gold Coast</t>
        </is>
      </c>
      <c r="G245" s="2" t="inlineStr">
        <is>
          <t>Facebook</t>
        </is>
      </c>
      <c r="H245" s="2" t="inlineStr"/>
      <c r="I245" s="4" t="inlineStr">
        <is>
          <t>https://www.facebook.com/lakesidebakerypalmbeach</t>
        </is>
      </c>
      <c r="J245" s="2" t="inlineStr"/>
      <c r="K245" s="2" t="inlineStr"/>
      <c r="L245" s="2" t="inlineStr">
        <is>
          <t>no website listed, only social media (verify on Google Maps)</t>
        </is>
      </c>
      <c r="M245" s="2" t="inlineStr">
        <is>
          <t>Hi Lakeside Bakery team! [one real detail from their page]. We're AceAds, a web design studio. We couldn't find a website for Lakeside Bakery, only your Facebook. We'd be happy to make you a free preview of what a website could look like. Want one? No cost, no obligation.</t>
        </is>
      </c>
      <c r="N245" s="4" t="inlineStr">
        <is>
          <t>Open map</t>
        </is>
      </c>
      <c r="O245" s="2" t="inlineStr">
        <is>
          <t>Not contacted</t>
        </is>
      </c>
      <c r="P245" s="2" t="inlineStr"/>
      <c r="Q245" s="2" t="inlineStr"/>
      <c r="R245" s="2" t="inlineStr"/>
      <c r="S245" s="2" t="inlineStr"/>
    </row>
    <row r="246">
      <c r="A246" s="2" t="n">
        <v>245</v>
      </c>
      <c r="B246" s="5" t="inlineStr">
        <is>
          <t>VERIFY FIRST</t>
        </is>
      </c>
      <c r="C246" s="2" t="inlineStr">
        <is>
          <t>No website found</t>
        </is>
      </c>
      <c r="D246" s="2" t="inlineStr">
        <is>
          <t>MR Bake</t>
        </is>
      </c>
      <c r="E246" s="2" t="inlineStr">
        <is>
          <t>bakery</t>
        </is>
      </c>
      <c r="F246" s="2" t="inlineStr">
        <is>
          <t>Gold Coast</t>
        </is>
      </c>
      <c r="G246" s="2" t="inlineStr">
        <is>
          <t>Facebook</t>
        </is>
      </c>
      <c r="H246" s="2" t="inlineStr"/>
      <c r="I246" s="4" t="inlineStr">
        <is>
          <t>https://www.facebook.com/hellomrbake/</t>
        </is>
      </c>
      <c r="J246" s="2" t="inlineStr">
        <is>
          <t>+61 419 917 489</t>
        </is>
      </c>
      <c r="K246" s="2" t="inlineStr"/>
      <c r="L246" s="2" t="inlineStr">
        <is>
          <t>no website listed, only social media (verify on Google Maps)</t>
        </is>
      </c>
      <c r="M246" s="2" t="inlineStr">
        <is>
          <t>Hi MR Bake team! [one real detail from their page]. We're AceAds, a web design studio. We couldn't find a website for MR Bake, only your Facebook. We'd be happy to make you a free preview of what a website could look like. Want one? No cost, no obligation.</t>
        </is>
      </c>
      <c r="N246" s="4" t="inlineStr">
        <is>
          <t>Open map</t>
        </is>
      </c>
      <c r="O246" s="2" t="inlineStr">
        <is>
          <t>Not contacted</t>
        </is>
      </c>
      <c r="P246" s="2" t="inlineStr"/>
      <c r="Q246" s="2" t="inlineStr"/>
      <c r="R246" s="2" t="inlineStr"/>
      <c r="S246" s="2" t="inlineStr"/>
    </row>
    <row r="247">
      <c r="A247" s="2" t="n">
        <v>246</v>
      </c>
      <c r="B247" s="5" t="inlineStr">
        <is>
          <t>VERIFY FIRST</t>
        </is>
      </c>
      <c r="C247" s="2" t="inlineStr">
        <is>
          <t>No website found</t>
        </is>
      </c>
      <c r="D247" s="2" t="inlineStr">
        <is>
          <t>Oriental Bakery</t>
        </is>
      </c>
      <c r="E247" s="2" t="inlineStr">
        <is>
          <t>bakery</t>
        </is>
      </c>
      <c r="F247" s="2" t="inlineStr">
        <is>
          <t>Gold Coast</t>
        </is>
      </c>
      <c r="G247" s="2" t="inlineStr">
        <is>
          <t>Facebook</t>
        </is>
      </c>
      <c r="H247" s="2" t="inlineStr"/>
      <c r="I247" s="4" t="inlineStr">
        <is>
          <t>https://www.facebook.com/TheOrientalBakery/</t>
        </is>
      </c>
      <c r="J247" s="2" t="inlineStr">
        <is>
          <t>+61 7 5578 5247</t>
        </is>
      </c>
      <c r="K247" s="2" t="inlineStr"/>
      <c r="L247" s="2" t="inlineStr">
        <is>
          <t>no website listed, only social media (verify on Google Maps)</t>
        </is>
      </c>
      <c r="M247" s="2" t="inlineStr">
        <is>
          <t>Hi Oriental Bakery team! [one real detail from their page]. We're AceAds, a web design studio. We couldn't find a website for Oriental Bakery, only your Facebook. We'd be happy to make you a free preview of what a website could look like. Want one? No cost, no obligation.</t>
        </is>
      </c>
      <c r="N247" s="4" t="inlineStr">
        <is>
          <t>Open map</t>
        </is>
      </c>
      <c r="O247" s="2" t="inlineStr">
        <is>
          <t>Not contacted</t>
        </is>
      </c>
      <c r="P247" s="2" t="inlineStr"/>
      <c r="Q247" s="2" t="inlineStr"/>
      <c r="R247" s="2" t="inlineStr"/>
      <c r="S247" s="2" t="inlineStr"/>
    </row>
    <row r="248">
      <c r="A248" s="2" t="n">
        <v>247</v>
      </c>
      <c r="B248" s="5" t="inlineStr">
        <is>
          <t>VERIFY FIRST</t>
        </is>
      </c>
      <c r="C248" s="2" t="inlineStr">
        <is>
          <t>No website found</t>
        </is>
      </c>
      <c r="D248" s="2" t="inlineStr">
        <is>
          <t>Pan 200 Daily Bakery</t>
        </is>
      </c>
      <c r="E248" s="2" t="inlineStr">
        <is>
          <t>bakery</t>
        </is>
      </c>
      <c r="F248" s="2" t="inlineStr">
        <is>
          <t>Gold Coast</t>
        </is>
      </c>
      <c r="G248" s="2" t="inlineStr">
        <is>
          <t>Facebook</t>
        </is>
      </c>
      <c r="H248" s="2" t="inlineStr"/>
      <c r="I248" s="4" t="inlineStr">
        <is>
          <t>https://www.facebook.com/people/Pan-200-Daily-Bakery/100077636797482/</t>
        </is>
      </c>
      <c r="J248" s="2" t="inlineStr">
        <is>
          <t>+61 468 745 122</t>
        </is>
      </c>
      <c r="K248" s="2" t="inlineStr"/>
      <c r="L248" s="2" t="inlineStr">
        <is>
          <t>no website listed, only social media (verify on Google Maps)</t>
        </is>
      </c>
      <c r="M248" s="2" t="inlineStr">
        <is>
          <t>Hi Pan 200 Daily Bakery team! [one real detail from their page]. We're AceAds, a web design studio. We couldn't find a website for Pan 200 Daily Bakery, only your Facebook. We'd be happy to make you a free preview of what a website could look like. Want one? No cost, no obligation.</t>
        </is>
      </c>
      <c r="N248" s="4" t="inlineStr">
        <is>
          <t>Open map</t>
        </is>
      </c>
      <c r="O248" s="2" t="inlineStr">
        <is>
          <t>Not contacted</t>
        </is>
      </c>
      <c r="P248" s="2" t="inlineStr"/>
      <c r="Q248" s="2" t="inlineStr"/>
      <c r="R248" s="2" t="inlineStr"/>
      <c r="S248" s="2" t="inlineStr"/>
    </row>
    <row r="249">
      <c r="A249" s="2" t="n">
        <v>248</v>
      </c>
      <c r="B249" s="5" t="inlineStr">
        <is>
          <t>VERIFY FIRST</t>
        </is>
      </c>
      <c r="C249" s="2" t="inlineStr">
        <is>
          <t>No website found</t>
        </is>
      </c>
      <c r="D249" s="2" t="inlineStr">
        <is>
          <t>Madocke Beer Brewing Co</t>
        </is>
      </c>
      <c r="E249" s="2" t="inlineStr">
        <is>
          <t>bar or pub</t>
        </is>
      </c>
      <c r="F249" s="2" t="inlineStr">
        <is>
          <t>Gold Coast</t>
        </is>
      </c>
      <c r="G249" s="2" t="inlineStr">
        <is>
          <t>Facebook</t>
        </is>
      </c>
      <c r="H249" s="2" t="inlineStr"/>
      <c r="I249" s="4" t="inlineStr">
        <is>
          <t>https://www.facebook.com/madockebeer/</t>
        </is>
      </c>
      <c r="J249" s="2" t="inlineStr"/>
      <c r="K249" s="2" t="inlineStr"/>
      <c r="L249" s="2" t="inlineStr">
        <is>
          <t>no website listed, only social media (verify on Google Maps)</t>
        </is>
      </c>
      <c r="M249" s="2" t="inlineStr">
        <is>
          <t>Hi Madocke Beer Brewing Co team! [one real detail from their page]. We're AceAds, a web design studio. We couldn't find a website for Madocke Beer Brewing Co, only your Facebook. We'd be happy to make you a free preview of what a website could look like. Want one? No cost, no obligation.</t>
        </is>
      </c>
      <c r="N249" s="4" t="inlineStr">
        <is>
          <t>Open map</t>
        </is>
      </c>
      <c r="O249" s="2" t="inlineStr">
        <is>
          <t>Not contacted</t>
        </is>
      </c>
      <c r="P249" s="2" t="inlineStr"/>
      <c r="Q249" s="2" t="inlineStr"/>
      <c r="R249" s="2" t="inlineStr"/>
      <c r="S249" s="2" t="inlineStr"/>
    </row>
    <row r="250">
      <c r="A250" s="2" t="n">
        <v>249</v>
      </c>
      <c r="B250" s="5" t="inlineStr">
        <is>
          <t>VERIFY FIRST</t>
        </is>
      </c>
      <c r="C250" s="2" t="inlineStr">
        <is>
          <t>No website found</t>
        </is>
      </c>
      <c r="D250" s="2" t="inlineStr">
        <is>
          <t>5th Avenue Hair</t>
        </is>
      </c>
      <c r="E250" s="2" t="inlineStr">
        <is>
          <t>barber or hairdresser</t>
        </is>
      </c>
      <c r="F250" s="2" t="inlineStr">
        <is>
          <t>Gold Coast</t>
        </is>
      </c>
      <c r="G250" s="2" t="inlineStr">
        <is>
          <t>Facebook</t>
        </is>
      </c>
      <c r="H250" s="2" t="inlineStr"/>
      <c r="I250" s="4" t="inlineStr">
        <is>
          <t>https://www.facebook.com/people/5th-Avenue-Hair-Palm-Beach/100090549709595/</t>
        </is>
      </c>
      <c r="J250" s="2" t="inlineStr"/>
      <c r="K250" s="2" t="inlineStr"/>
      <c r="L250" s="2" t="inlineStr">
        <is>
          <t>no website listed, only social media (verify on Google Maps)</t>
        </is>
      </c>
      <c r="M250" s="2" t="inlineStr">
        <is>
          <t>Hi 5th Avenue Hair team! [one real detail from their page]. We're AceAds, a web design studio. We couldn't find a website for 5th Avenue Hair, only your Facebook. We'd be happy to make you a free preview of what a website could look like. Want one? No cost, no obligation.</t>
        </is>
      </c>
      <c r="N250" s="4" t="inlineStr">
        <is>
          <t>Open map</t>
        </is>
      </c>
      <c r="O250" s="2" t="inlineStr">
        <is>
          <t>Not contacted</t>
        </is>
      </c>
      <c r="P250" s="2" t="inlineStr"/>
      <c r="Q250" s="2" t="inlineStr"/>
      <c r="R250" s="2" t="inlineStr"/>
      <c r="S250" s="2" t="inlineStr"/>
    </row>
    <row r="251">
      <c r="A251" s="2" t="n">
        <v>250</v>
      </c>
      <c r="B251" s="5" t="inlineStr">
        <is>
          <t>VERIFY FIRST</t>
        </is>
      </c>
      <c r="C251" s="2" t="inlineStr">
        <is>
          <t>No website found</t>
        </is>
      </c>
      <c r="D251" s="2" t="inlineStr">
        <is>
          <t>Barber &amp; Capelli Co</t>
        </is>
      </c>
      <c r="E251" s="2" t="inlineStr">
        <is>
          <t>barber or hairdresser</t>
        </is>
      </c>
      <c r="F251" s="2" t="inlineStr">
        <is>
          <t>Gold Coast</t>
        </is>
      </c>
      <c r="G251" s="2" t="inlineStr">
        <is>
          <t>Facebook</t>
        </is>
      </c>
      <c r="H251" s="2" t="inlineStr"/>
      <c r="I251" s="4" t="inlineStr">
        <is>
          <t>https://facebook.com/barberandcapelli</t>
        </is>
      </c>
      <c r="J251" s="2" t="inlineStr">
        <is>
          <t>+61 473 948 785</t>
        </is>
      </c>
      <c r="K251" s="2" t="inlineStr"/>
      <c r="L251" s="2" t="inlineStr">
        <is>
          <t>no website listed, only social media (verify on Google Maps)</t>
        </is>
      </c>
      <c r="M251" s="2" t="inlineStr">
        <is>
          <t>Hi Barber &amp; Capelli Co team! [one real detail from their page]. We're AceAds, a web design studio. We couldn't find a website for Barber &amp; Capelli Co, only your Facebook. We'd be happy to make you a free preview of what a website could look like. Want one? No cost, no obligation.</t>
        </is>
      </c>
      <c r="N251" s="4" t="inlineStr">
        <is>
          <t>Open map</t>
        </is>
      </c>
      <c r="O251" s="2" t="inlineStr">
        <is>
          <t>Not contacted</t>
        </is>
      </c>
      <c r="P251" s="2" t="inlineStr"/>
      <c r="Q251" s="2" t="inlineStr"/>
      <c r="R251" s="2" t="inlineStr"/>
      <c r="S251" s="2" t="inlineStr"/>
    </row>
    <row r="252">
      <c r="A252" s="2" t="n">
        <v>251</v>
      </c>
      <c r="B252" s="5" t="inlineStr">
        <is>
          <t>VERIFY FIRST</t>
        </is>
      </c>
      <c r="C252" s="2" t="inlineStr">
        <is>
          <t>No website found</t>
        </is>
      </c>
      <c r="D252" s="2" t="inlineStr">
        <is>
          <t>Bimbos Hair</t>
        </is>
      </c>
      <c r="E252" s="2" t="inlineStr">
        <is>
          <t>barber or hairdresser</t>
        </is>
      </c>
      <c r="F252" s="2" t="inlineStr">
        <is>
          <t>Gold Coast</t>
        </is>
      </c>
      <c r="G252" s="2" t="inlineStr">
        <is>
          <t>Instagram</t>
        </is>
      </c>
      <c r="H252" s="4" t="inlineStr">
        <is>
          <t>https://www.instagram.com/bimbos.gc/</t>
        </is>
      </c>
      <c r="I252" s="4" t="inlineStr">
        <is>
          <t>https://www.facebook.com/p/Blondie-hair-co-100078309943317/</t>
        </is>
      </c>
      <c r="J252" s="2" t="inlineStr">
        <is>
          <t>+61 7 5598 2355</t>
        </is>
      </c>
      <c r="K252" s="2" t="inlineStr"/>
      <c r="L252" s="2" t="inlineStr">
        <is>
          <t>no website listed, only social media (verify on Google Maps)</t>
        </is>
      </c>
      <c r="M252" s="2" t="inlineStr">
        <is>
          <t>Hi Bimbos Hair team! [one real detail from their page]. We're AceAds, a web design studio. We couldn't find a website for Bimbos Hair, only your Instagram. We'd be happy to make you a free preview of what a website could look like. Want one? No cost, no obligation.</t>
        </is>
      </c>
      <c r="N252" s="4" t="inlineStr">
        <is>
          <t>Open map</t>
        </is>
      </c>
      <c r="O252" s="2" t="inlineStr">
        <is>
          <t>Not contacted</t>
        </is>
      </c>
      <c r="P252" s="2" t="inlineStr"/>
      <c r="Q252" s="2" t="inlineStr"/>
      <c r="R252" s="2" t="inlineStr"/>
      <c r="S252" s="2" t="inlineStr"/>
    </row>
    <row r="253">
      <c r="A253" s="2" t="n">
        <v>252</v>
      </c>
      <c r="B253" s="5" t="inlineStr">
        <is>
          <t>VERIFY FIRST</t>
        </is>
      </c>
      <c r="C253" s="2" t="inlineStr">
        <is>
          <t>No website found</t>
        </is>
      </c>
      <c r="D253" s="2" t="inlineStr">
        <is>
          <t>Brazabarber</t>
        </is>
      </c>
      <c r="E253" s="2" t="inlineStr">
        <is>
          <t>barber or hairdresser</t>
        </is>
      </c>
      <c r="F253" s="2" t="inlineStr">
        <is>
          <t>Gold Coast</t>
        </is>
      </c>
      <c r="G253" s="2" t="inlineStr">
        <is>
          <t>Facebook</t>
        </is>
      </c>
      <c r="H253" s="2" t="inlineStr"/>
      <c r="I253" s="4" t="inlineStr">
        <is>
          <t>https://www.facebook.com/brazabarbergc/about/</t>
        </is>
      </c>
      <c r="J253" s="2" t="inlineStr">
        <is>
          <t>+61 412 399 950</t>
        </is>
      </c>
      <c r="K253" s="2" t="inlineStr"/>
      <c r="L253" s="2" t="inlineStr">
        <is>
          <t>no website listed, only social media (verify on Google Maps)</t>
        </is>
      </c>
      <c r="M253" s="2" t="inlineStr">
        <is>
          <t>Hi Brazabarber team! [one real detail from their page]. We're AceAds, a web design studio. We couldn't find a website for Brazabarber, only your Facebook. We'd be happy to make you a free preview of what a website could look like. Want one? No cost, no obligation.</t>
        </is>
      </c>
      <c r="N253" s="4" t="inlineStr">
        <is>
          <t>Open map</t>
        </is>
      </c>
      <c r="O253" s="2" t="inlineStr">
        <is>
          <t>Not contacted</t>
        </is>
      </c>
      <c r="P253" s="2" t="inlineStr"/>
      <c r="Q253" s="2" t="inlineStr"/>
      <c r="R253" s="2" t="inlineStr"/>
      <c r="S253" s="2" t="inlineStr"/>
    </row>
    <row r="254">
      <c r="A254" s="2" t="n">
        <v>253</v>
      </c>
      <c r="B254" s="5" t="inlineStr">
        <is>
          <t>VERIFY FIRST</t>
        </is>
      </c>
      <c r="C254" s="2" t="inlineStr">
        <is>
          <t>No website found</t>
        </is>
      </c>
      <c r="D254" s="2" t="inlineStr">
        <is>
          <t>Colour Nation</t>
        </is>
      </c>
      <c r="E254" s="2" t="inlineStr">
        <is>
          <t>barber or hairdresser</t>
        </is>
      </c>
      <c r="F254" s="2" t="inlineStr">
        <is>
          <t>Gold Coast</t>
        </is>
      </c>
      <c r="G254" s="2" t="inlineStr">
        <is>
          <t>Facebook</t>
        </is>
      </c>
      <c r="H254" s="2" t="inlineStr"/>
      <c r="I254" s="4" t="inlineStr">
        <is>
          <t>https://www.facebook.com/colournationpalmbeach/</t>
        </is>
      </c>
      <c r="J254" s="2" t="inlineStr">
        <is>
          <t>+61 7 5525 6444</t>
        </is>
      </c>
      <c r="K254" s="2" t="inlineStr"/>
      <c r="L254" s="2" t="inlineStr">
        <is>
          <t>no website listed, only social media (verify on Google Maps)</t>
        </is>
      </c>
      <c r="M254" s="2" t="inlineStr">
        <is>
          <t>Hi Colour Nation team! [one real detail from their page]. We're AceAds, a web design studio. We couldn't find a website for Colour Nation, only your Facebook. We'd be happy to make you a free preview of what a website could look like. Want one? No cost, no obligation.</t>
        </is>
      </c>
      <c r="N254" s="4" t="inlineStr">
        <is>
          <t>Open map</t>
        </is>
      </c>
      <c r="O254" s="2" t="inlineStr">
        <is>
          <t>Not contacted</t>
        </is>
      </c>
      <c r="P254" s="2" t="inlineStr"/>
      <c r="Q254" s="2" t="inlineStr"/>
      <c r="R254" s="2" t="inlineStr"/>
      <c r="S254" s="2" t="inlineStr"/>
    </row>
    <row r="255">
      <c r="A255" s="2" t="n">
        <v>254</v>
      </c>
      <c r="B255" s="5" t="inlineStr">
        <is>
          <t>VERIFY FIRST</t>
        </is>
      </c>
      <c r="C255" s="2" t="inlineStr">
        <is>
          <t>No website found</t>
        </is>
      </c>
      <c r="D255" s="2" t="inlineStr">
        <is>
          <t>Get Smart Hair Body &amp; Soul</t>
        </is>
      </c>
      <c r="E255" s="2" t="inlineStr">
        <is>
          <t>barber or hairdresser</t>
        </is>
      </c>
      <c r="F255" s="2" t="inlineStr">
        <is>
          <t>Gold Coast</t>
        </is>
      </c>
      <c r="G255" s="2" t="inlineStr">
        <is>
          <t>Facebook</t>
        </is>
      </c>
      <c r="H255" s="2" t="inlineStr"/>
      <c r="I255" s="4" t="inlineStr">
        <is>
          <t>https://www.facebook.com/getsmarthairbodysoul/</t>
        </is>
      </c>
      <c r="J255" s="2" t="inlineStr">
        <is>
          <t>+61 7 5576 1770</t>
        </is>
      </c>
      <c r="K255" s="2" t="inlineStr"/>
      <c r="L255" s="2" t="inlineStr">
        <is>
          <t>no website listed, only social media (verify on Google Maps)</t>
        </is>
      </c>
      <c r="M255" s="2" t="inlineStr">
        <is>
          <t>Hi Get Smart Hair Body &amp; Soul team! [one real detail from their page]. We're AceAds, a web design studio. We couldn't find a website for Get Smart Hair Body &amp; Soul, only your Facebook. We'd be happy to make you a free preview of what a website could look like. Want one? No cost, no obligation.</t>
        </is>
      </c>
      <c r="N255" s="4" t="inlineStr">
        <is>
          <t>Open map</t>
        </is>
      </c>
      <c r="O255" s="2" t="inlineStr">
        <is>
          <t>Not contacted</t>
        </is>
      </c>
      <c r="P255" s="2" t="inlineStr"/>
      <c r="Q255" s="2" t="inlineStr"/>
      <c r="R255" s="2" t="inlineStr"/>
      <c r="S255" s="2" t="inlineStr"/>
    </row>
    <row r="256">
      <c r="A256" s="2" t="n">
        <v>255</v>
      </c>
      <c r="B256" s="5" t="inlineStr">
        <is>
          <t>VERIFY FIRST</t>
        </is>
      </c>
      <c r="C256" s="2" t="inlineStr">
        <is>
          <t>No website found</t>
        </is>
      </c>
      <c r="D256" s="2" t="inlineStr">
        <is>
          <t>Hair Affair</t>
        </is>
      </c>
      <c r="E256" s="2" t="inlineStr">
        <is>
          <t>barber or hairdresser</t>
        </is>
      </c>
      <c r="F256" s="2" t="inlineStr">
        <is>
          <t>Gold Coast</t>
        </is>
      </c>
      <c r="G256" s="2" t="inlineStr">
        <is>
          <t>Facebook</t>
        </is>
      </c>
      <c r="H256" s="2" t="inlineStr"/>
      <c r="I256" s="4" t="inlineStr">
        <is>
          <t>https://www.facebook.com/HairAffairBurleigh/</t>
        </is>
      </c>
      <c r="J256" s="2" t="inlineStr">
        <is>
          <t>+61 7 5535 2405</t>
        </is>
      </c>
      <c r="K256" s="2" t="inlineStr"/>
      <c r="L256" s="2" t="inlineStr">
        <is>
          <t>no website listed, only social media (verify on Google Maps)</t>
        </is>
      </c>
      <c r="M256" s="2" t="inlineStr">
        <is>
          <t>Hi Hair Affair team! [one real detail from their page]. We're AceAds, a web design studio. We couldn't find a website for Hair Affair, only your Facebook. We'd be happy to make you a free preview of what a website could look like. Want one? No cost, no obligation.</t>
        </is>
      </c>
      <c r="N256" s="4" t="inlineStr">
        <is>
          <t>Open map</t>
        </is>
      </c>
      <c r="O256" s="2" t="inlineStr">
        <is>
          <t>Not contacted</t>
        </is>
      </c>
      <c r="P256" s="2" t="inlineStr"/>
      <c r="Q256" s="2" t="inlineStr"/>
      <c r="R256" s="2" t="inlineStr"/>
      <c r="S256" s="2" t="inlineStr"/>
    </row>
    <row r="257">
      <c r="A257" s="2" t="n">
        <v>256</v>
      </c>
      <c r="B257" s="5" t="inlineStr">
        <is>
          <t>VERIFY FIRST</t>
        </is>
      </c>
      <c r="C257" s="2" t="inlineStr">
        <is>
          <t>No website found</t>
        </is>
      </c>
      <c r="D257" s="2" t="inlineStr">
        <is>
          <t>Hair by Serena</t>
        </is>
      </c>
      <c r="E257" s="2" t="inlineStr">
        <is>
          <t>barber or hairdresser</t>
        </is>
      </c>
      <c r="F257" s="2" t="inlineStr">
        <is>
          <t>Gold Coast</t>
        </is>
      </c>
      <c r="G257" s="2" t="inlineStr">
        <is>
          <t>Facebook</t>
        </is>
      </c>
      <c r="H257" s="2" t="inlineStr"/>
      <c r="I257" s="4" t="inlineStr">
        <is>
          <t>https://www.facebook.com/hairbyserena.goldcoast/</t>
        </is>
      </c>
      <c r="J257" s="2" t="inlineStr">
        <is>
          <t>+61 424 517 323</t>
        </is>
      </c>
      <c r="K257" s="2" t="inlineStr"/>
      <c r="L257" s="2" t="inlineStr">
        <is>
          <t>no website listed, only social media (verify on Google Maps)</t>
        </is>
      </c>
      <c r="M257" s="2" t="inlineStr">
        <is>
          <t>Hi Hair by Serena team! [one real detail from their page]. We're AceAds, a web design studio. We couldn't find a website for Hair by Serena, only your Facebook. We'd be happy to make you a free preview of what a website could look like. Want one? No cost, no obligation.</t>
        </is>
      </c>
      <c r="N257" s="4" t="inlineStr">
        <is>
          <t>Open map</t>
        </is>
      </c>
      <c r="O257" s="2" t="inlineStr">
        <is>
          <t>Not contacted</t>
        </is>
      </c>
      <c r="P257" s="2" t="inlineStr"/>
      <c r="Q257" s="2" t="inlineStr"/>
      <c r="R257" s="2" t="inlineStr"/>
      <c r="S257" s="2" t="inlineStr"/>
    </row>
    <row r="258">
      <c r="A258" s="2" t="n">
        <v>257</v>
      </c>
      <c r="B258" s="5" t="inlineStr">
        <is>
          <t>VERIFY FIRST</t>
        </is>
      </c>
      <c r="C258" s="2" t="inlineStr">
        <is>
          <t>No website found</t>
        </is>
      </c>
      <c r="D258" s="2" t="inlineStr">
        <is>
          <t>Intro Hairdressing</t>
        </is>
      </c>
      <c r="E258" s="2" t="inlineStr">
        <is>
          <t>barber or hairdresser</t>
        </is>
      </c>
      <c r="F258" s="2" t="inlineStr">
        <is>
          <t>Gold Coast</t>
        </is>
      </c>
      <c r="G258" s="2" t="inlineStr">
        <is>
          <t>Facebook</t>
        </is>
      </c>
      <c r="H258" s="2" t="inlineStr"/>
      <c r="I258" s="4" t="inlineStr">
        <is>
          <t>https://www.facebook.com/Intro-Hair-Burleigh-1626887570895425/</t>
        </is>
      </c>
      <c r="J258" s="2" t="inlineStr">
        <is>
          <t>+61 7 5535 6625</t>
        </is>
      </c>
      <c r="K258" s="2" t="inlineStr"/>
      <c r="L258" s="2" t="inlineStr">
        <is>
          <t>no website listed, only social media (verify on Google Maps)</t>
        </is>
      </c>
      <c r="M258" s="2" t="inlineStr">
        <is>
          <t>Hi Intro Hairdressing team! [one real detail from their page]. We're AceAds, a web design studio. We couldn't find a website for Intro Hairdressing, only your Facebook. We'd be happy to make you a free preview of what a website could look like. Want one? No cost, no obligation.</t>
        </is>
      </c>
      <c r="N258" s="4" t="inlineStr">
        <is>
          <t>Open map</t>
        </is>
      </c>
      <c r="O258" s="2" t="inlineStr">
        <is>
          <t>Not contacted</t>
        </is>
      </c>
      <c r="P258" s="2" t="inlineStr"/>
      <c r="Q258" s="2" t="inlineStr"/>
      <c r="R258" s="2" t="inlineStr"/>
      <c r="S258" s="2" t="inlineStr"/>
    </row>
    <row r="259">
      <c r="A259" s="2" t="n">
        <v>258</v>
      </c>
      <c r="B259" s="5" t="inlineStr">
        <is>
          <t>VERIFY FIRST</t>
        </is>
      </c>
      <c r="C259" s="2" t="inlineStr">
        <is>
          <t>No website found</t>
        </is>
      </c>
      <c r="D259" s="2" t="inlineStr">
        <is>
          <t>Jeannie's Barber Shop</t>
        </is>
      </c>
      <c r="E259" s="2" t="inlineStr">
        <is>
          <t>barber or hairdresser</t>
        </is>
      </c>
      <c r="F259" s="2" t="inlineStr">
        <is>
          <t>Gold Coast</t>
        </is>
      </c>
      <c r="G259" s="2" t="inlineStr">
        <is>
          <t>Facebook</t>
        </is>
      </c>
      <c r="H259" s="2" t="inlineStr"/>
      <c r="I259" s="4" t="inlineStr">
        <is>
          <t>https://www.facebook.com/jeanniesbarbershop/</t>
        </is>
      </c>
      <c r="J259" s="2" t="inlineStr">
        <is>
          <t>+61 427 019 157</t>
        </is>
      </c>
      <c r="K259" s="2" t="inlineStr"/>
      <c r="L259" s="2" t="inlineStr">
        <is>
          <t>no website listed, only social media (verify on Google Maps)</t>
        </is>
      </c>
      <c r="M259" s="2" t="inlineStr">
        <is>
          <t>Hi Jeannie's Barber Shop team! [one real detail from their page]. We're AceAds, a web design studio. We couldn't find a website for Jeannie's Barber Shop, only your Facebook. We'd be happy to make you a free preview of what a website could look like. Want one? No cost, no obligation.</t>
        </is>
      </c>
      <c r="N259" s="4" t="inlineStr">
        <is>
          <t>Open map</t>
        </is>
      </c>
      <c r="O259" s="2" t="inlineStr">
        <is>
          <t>Not contacted</t>
        </is>
      </c>
      <c r="P259" s="2" t="inlineStr"/>
      <c r="Q259" s="2" t="inlineStr"/>
      <c r="R259" s="2" t="inlineStr"/>
      <c r="S259" s="2" t="inlineStr"/>
    </row>
    <row r="260">
      <c r="A260" s="2" t="n">
        <v>259</v>
      </c>
      <c r="B260" s="5" t="inlineStr">
        <is>
          <t>VERIFY FIRST</t>
        </is>
      </c>
      <c r="C260" s="2" t="inlineStr">
        <is>
          <t>No website found</t>
        </is>
      </c>
      <c r="D260" s="2" t="inlineStr">
        <is>
          <t>Keli's Kuts</t>
        </is>
      </c>
      <c r="E260" s="2" t="inlineStr">
        <is>
          <t>barber or hairdresser</t>
        </is>
      </c>
      <c r="F260" s="2" t="inlineStr">
        <is>
          <t>Gold Coast</t>
        </is>
      </c>
      <c r="G260" s="2" t="inlineStr">
        <is>
          <t>Facebook</t>
        </is>
      </c>
      <c r="H260" s="2" t="inlineStr"/>
      <c r="I260" s="4" t="inlineStr">
        <is>
          <t>https://www.facebook.com/KelisKutz/</t>
        </is>
      </c>
      <c r="J260" s="2" t="inlineStr">
        <is>
          <t>+61 7 5554 6969</t>
        </is>
      </c>
      <c r="K260" s="2" t="inlineStr"/>
      <c r="L260" s="2" t="inlineStr">
        <is>
          <t>no website listed, only social media (verify on Google Maps)</t>
        </is>
      </c>
      <c r="M260" s="2" t="inlineStr">
        <is>
          <t>Hi Keli's Kuts team! [one real detail from their page]. We're AceAds, a web design studio. We couldn't find a website for Keli's Kuts, only your Facebook. We'd be happy to make you a free preview of what a website could look like. Want one? No cost, no obligation.</t>
        </is>
      </c>
      <c r="N260" s="4" t="inlineStr">
        <is>
          <t>Open map</t>
        </is>
      </c>
      <c r="O260" s="2" t="inlineStr">
        <is>
          <t>Not contacted</t>
        </is>
      </c>
      <c r="P260" s="2" t="inlineStr"/>
      <c r="Q260" s="2" t="inlineStr"/>
      <c r="R260" s="2" t="inlineStr"/>
      <c r="S260" s="2" t="inlineStr"/>
    </row>
    <row r="261">
      <c r="A261" s="2" t="n">
        <v>260</v>
      </c>
      <c r="B261" s="5" t="inlineStr">
        <is>
          <t>VERIFY FIRST</t>
        </is>
      </c>
      <c r="C261" s="2" t="inlineStr">
        <is>
          <t>No website found</t>
        </is>
      </c>
      <c r="D261" s="2" t="inlineStr">
        <is>
          <t>Love is in the hair</t>
        </is>
      </c>
      <c r="E261" s="2" t="inlineStr">
        <is>
          <t>barber or hairdresser</t>
        </is>
      </c>
      <c r="F261" s="2" t="inlineStr">
        <is>
          <t>Gold Coast</t>
        </is>
      </c>
      <c r="G261" s="2" t="inlineStr">
        <is>
          <t>Facebook</t>
        </is>
      </c>
      <c r="H261" s="2" t="inlineStr"/>
      <c r="I261" s="4" t="inlineStr">
        <is>
          <t>https://www.facebook.com/loveisinthehairhairsalon/</t>
        </is>
      </c>
      <c r="J261" s="2" t="inlineStr">
        <is>
          <t>+61 429 828 254</t>
        </is>
      </c>
      <c r="K261" s="2" t="inlineStr"/>
      <c r="L261" s="2" t="inlineStr">
        <is>
          <t>no website listed, only social media (verify on Google Maps)</t>
        </is>
      </c>
      <c r="M261" s="2" t="inlineStr">
        <is>
          <t>Hi Love is in the hair team! [one real detail from their page]. We're AceAds, a web design studio. We couldn't find a website for Love is in the hair, only your Facebook. We'd be happy to make you a free preview of what a website could look like. Want one? No cost, no obligation.</t>
        </is>
      </c>
      <c r="N261" s="4" t="inlineStr">
        <is>
          <t>Open map</t>
        </is>
      </c>
      <c r="O261" s="2" t="inlineStr">
        <is>
          <t>Not contacted</t>
        </is>
      </c>
      <c r="P261" s="2" t="inlineStr"/>
      <c r="Q261" s="2" t="inlineStr"/>
      <c r="R261" s="2" t="inlineStr"/>
      <c r="S261" s="2" t="inlineStr"/>
    </row>
    <row r="262">
      <c r="A262" s="2" t="n">
        <v>261</v>
      </c>
      <c r="B262" s="5" t="inlineStr">
        <is>
          <t>VERIFY FIRST</t>
        </is>
      </c>
      <c r="C262" s="2" t="inlineStr">
        <is>
          <t>No website found</t>
        </is>
      </c>
      <c r="D262" s="2" t="inlineStr">
        <is>
          <t>Newlengths Hairdressing</t>
        </is>
      </c>
      <c r="E262" s="2" t="inlineStr">
        <is>
          <t>barber or hairdresser</t>
        </is>
      </c>
      <c r="F262" s="2" t="inlineStr">
        <is>
          <t>Gold Coast</t>
        </is>
      </c>
      <c r="G262" s="2" t="inlineStr">
        <is>
          <t>Facebook</t>
        </is>
      </c>
      <c r="H262" s="2" t="inlineStr"/>
      <c r="I262" s="4" t="inlineStr">
        <is>
          <t>https://www.facebook.com/NewlengthsNobbyBeach/</t>
        </is>
      </c>
      <c r="J262" s="2" t="inlineStr">
        <is>
          <t>+61 427 201 006</t>
        </is>
      </c>
      <c r="K262" s="2" t="inlineStr"/>
      <c r="L262" s="2" t="inlineStr">
        <is>
          <t>no website listed, only social media (verify on Google Maps)</t>
        </is>
      </c>
      <c r="M262" s="2" t="inlineStr">
        <is>
          <t>Hi Newlengths Hairdressing team! [one real detail from their page]. We're AceAds, a web design studio. We couldn't find a website for Newlengths Hairdressing, only your Facebook. We'd be happy to make you a free preview of what a website could look like. Want one? No cost, no obligation.</t>
        </is>
      </c>
      <c r="N262" s="4" t="inlineStr">
        <is>
          <t>Open map</t>
        </is>
      </c>
      <c r="O262" s="2" t="inlineStr">
        <is>
          <t>Not contacted</t>
        </is>
      </c>
      <c r="P262" s="2" t="inlineStr"/>
      <c r="Q262" s="2" t="inlineStr"/>
      <c r="R262" s="2" t="inlineStr"/>
      <c r="S262" s="2" t="inlineStr"/>
    </row>
    <row r="263">
      <c r="A263" s="2" t="n">
        <v>262</v>
      </c>
      <c r="B263" s="5" t="inlineStr">
        <is>
          <t>VERIFY FIRST</t>
        </is>
      </c>
      <c r="C263" s="2" t="inlineStr">
        <is>
          <t>No website found</t>
        </is>
      </c>
      <c r="D263" s="2" t="inlineStr">
        <is>
          <t>Old Wiley's Barbershop</t>
        </is>
      </c>
      <c r="E263" s="2" t="inlineStr">
        <is>
          <t>barber or hairdresser</t>
        </is>
      </c>
      <c r="F263" s="2" t="inlineStr">
        <is>
          <t>Gold Coast</t>
        </is>
      </c>
      <c r="G263" s="2" t="inlineStr">
        <is>
          <t>Facebook</t>
        </is>
      </c>
      <c r="H263" s="2" t="inlineStr"/>
      <c r="I263" s="4" t="inlineStr">
        <is>
          <t>https://www.facebook.com/p/Old-Wileys-Barbershop-100063607865296/</t>
        </is>
      </c>
      <c r="J263" s="2" t="inlineStr"/>
      <c r="K263" s="2" t="inlineStr"/>
      <c r="L263" s="2" t="inlineStr">
        <is>
          <t>no website listed, only social media (verify on Google Maps)</t>
        </is>
      </c>
      <c r="M263" s="2" t="inlineStr">
        <is>
          <t>Hi Old Wiley's Barbershop team! [one real detail from their page]. We're AceAds, a web design studio. We couldn't find a website for Old Wiley's Barbershop, only your Facebook. We'd be happy to make you a free preview of what a website could look like. Want one? No cost, no obligation.</t>
        </is>
      </c>
      <c r="N263" s="4" t="inlineStr">
        <is>
          <t>Open map</t>
        </is>
      </c>
      <c r="O263" s="2" t="inlineStr">
        <is>
          <t>Not contacted</t>
        </is>
      </c>
      <c r="P263" s="2" t="inlineStr"/>
      <c r="Q263" s="2" t="inlineStr"/>
      <c r="R263" s="2" t="inlineStr"/>
      <c r="S263" s="2" t="inlineStr"/>
    </row>
    <row r="264">
      <c r="A264" s="2" t="n">
        <v>263</v>
      </c>
      <c r="B264" s="5" t="inlineStr">
        <is>
          <t>VERIFY FIRST</t>
        </is>
      </c>
      <c r="C264" s="2" t="inlineStr">
        <is>
          <t>No website found</t>
        </is>
      </c>
      <c r="D264" s="2" t="inlineStr">
        <is>
          <t>Rachael's Hair Studio</t>
        </is>
      </c>
      <c r="E264" s="2" t="inlineStr">
        <is>
          <t>barber or hairdresser</t>
        </is>
      </c>
      <c r="F264" s="2" t="inlineStr">
        <is>
          <t>Gold Coast</t>
        </is>
      </c>
      <c r="G264" s="2" t="inlineStr">
        <is>
          <t>Facebook</t>
        </is>
      </c>
      <c r="H264" s="2" t="inlineStr"/>
      <c r="I264" s="4" t="inlineStr">
        <is>
          <t>https://www.facebook.com/profile.php?id=100063804390042</t>
        </is>
      </c>
      <c r="J264" s="2" t="inlineStr">
        <is>
          <t>+61 7 5536 2737</t>
        </is>
      </c>
      <c r="K264" s="2" t="inlineStr"/>
      <c r="L264" s="2" t="inlineStr">
        <is>
          <t>no website listed, only social media (verify on Google Maps)</t>
        </is>
      </c>
      <c r="M264" s="2" t="inlineStr">
        <is>
          <t>Hi Rachael's Hair Studio team! [one real detail from their page]. We're AceAds, a web design studio. We couldn't find a website for Rachael's Hair Studio, only your Facebook. We'd be happy to make you a free preview of what a website could look like. Want one? No cost, no obligation.</t>
        </is>
      </c>
      <c r="N264" s="4" t="inlineStr">
        <is>
          <t>Open map</t>
        </is>
      </c>
      <c r="O264" s="2" t="inlineStr">
        <is>
          <t>Not contacted</t>
        </is>
      </c>
      <c r="P264" s="2" t="inlineStr"/>
      <c r="Q264" s="2" t="inlineStr"/>
      <c r="R264" s="2" t="inlineStr"/>
      <c r="S264" s="2" t="inlineStr"/>
    </row>
    <row r="265">
      <c r="A265" s="2" t="n">
        <v>264</v>
      </c>
      <c r="B265" s="5" t="inlineStr">
        <is>
          <t>VERIFY FIRST</t>
        </is>
      </c>
      <c r="C265" s="2" t="inlineStr">
        <is>
          <t>No website found</t>
        </is>
      </c>
      <c r="D265" s="2" t="inlineStr">
        <is>
          <t>Saltydogs Barber Shop</t>
        </is>
      </c>
      <c r="E265" s="2" t="inlineStr">
        <is>
          <t>barber or hairdresser</t>
        </is>
      </c>
      <c r="F265" s="2" t="inlineStr">
        <is>
          <t>Gold Coast</t>
        </is>
      </c>
      <c r="G265" s="2" t="inlineStr">
        <is>
          <t>Facebook</t>
        </is>
      </c>
      <c r="H265" s="2" t="inlineStr"/>
      <c r="I265" s="4" t="inlineStr">
        <is>
          <t>https://www.facebook.com/people/Salty-dogs-barber-shop/100050556597140/</t>
        </is>
      </c>
      <c r="J265" s="2" t="inlineStr">
        <is>
          <t>+61 414 825 368</t>
        </is>
      </c>
      <c r="K265" s="2" t="inlineStr"/>
      <c r="L265" s="2" t="inlineStr">
        <is>
          <t>no website listed, only social media (verify on Google Maps)</t>
        </is>
      </c>
      <c r="M265" s="2" t="inlineStr">
        <is>
          <t>Hi Saltydogs Barber Shop team! [one real detail from their page]. We're AceAds, a web design studio. We couldn't find a website for Saltydogs Barber Shop, only your Facebook. We'd be happy to make you a free preview of what a website could look like. Want one? No cost, no obligation.</t>
        </is>
      </c>
      <c r="N265" s="4" t="inlineStr">
        <is>
          <t>Open map</t>
        </is>
      </c>
      <c r="O265" s="2" t="inlineStr">
        <is>
          <t>Not contacted</t>
        </is>
      </c>
      <c r="P265" s="2" t="inlineStr"/>
      <c r="Q265" s="2" t="inlineStr"/>
      <c r="R265" s="2" t="inlineStr"/>
      <c r="S265" s="2" t="inlineStr"/>
    </row>
    <row r="266">
      <c r="A266" s="2" t="n">
        <v>265</v>
      </c>
      <c r="B266" s="5" t="inlineStr">
        <is>
          <t>VERIFY FIRST</t>
        </is>
      </c>
      <c r="C266" s="2" t="inlineStr">
        <is>
          <t>No website found</t>
        </is>
      </c>
      <c r="D266" s="2" t="inlineStr">
        <is>
          <t>Style Addict</t>
        </is>
      </c>
      <c r="E266" s="2" t="inlineStr">
        <is>
          <t>barber or hairdresser</t>
        </is>
      </c>
      <c r="F266" s="2" t="inlineStr">
        <is>
          <t>Gold Coast</t>
        </is>
      </c>
      <c r="G266" s="2" t="inlineStr">
        <is>
          <t>Instagram</t>
        </is>
      </c>
      <c r="H266" s="4" t="inlineStr">
        <is>
          <t>https://www.instagram.com/styleaddict_hairmastery/?hl=en</t>
        </is>
      </c>
      <c r="I266" s="2" t="inlineStr"/>
      <c r="J266" s="2" t="inlineStr"/>
      <c r="K266" s="2" t="inlineStr"/>
      <c r="L266" s="2" t="inlineStr">
        <is>
          <t>no website listed, only social media (verify on Google Maps)</t>
        </is>
      </c>
      <c r="M266" s="2" t="inlineStr">
        <is>
          <t>Hi Style Addict team! [one real detail from their page]. We're AceAds, a web design studio. We couldn't find a website for Style Addict, only your Instagram. We'd be happy to make you a free preview of what a website could look like. Want one? No cost, no obligation.</t>
        </is>
      </c>
      <c r="N266" s="4" t="inlineStr">
        <is>
          <t>Open map</t>
        </is>
      </c>
      <c r="O266" s="2" t="inlineStr">
        <is>
          <t>Not contacted</t>
        </is>
      </c>
      <c r="P266" s="2" t="inlineStr"/>
      <c r="Q266" s="2" t="inlineStr"/>
      <c r="R266" s="2" t="inlineStr"/>
      <c r="S266" s="2" t="inlineStr"/>
    </row>
    <row r="267">
      <c r="A267" s="2" t="n">
        <v>266</v>
      </c>
      <c r="B267" s="5" t="inlineStr">
        <is>
          <t>VERIFY FIRST</t>
        </is>
      </c>
      <c r="C267" s="2" t="inlineStr">
        <is>
          <t>Site shows an error</t>
        </is>
      </c>
      <c r="D267" s="2" t="inlineStr">
        <is>
          <t>This studio&amp;co</t>
        </is>
      </c>
      <c r="E267" s="2" t="inlineStr">
        <is>
          <t>barber or hairdresser</t>
        </is>
      </c>
      <c r="F267" s="2" t="inlineStr">
        <is>
          <t>Gold Coast</t>
        </is>
      </c>
      <c r="G267" s="2" t="inlineStr">
        <is>
          <t>Instagram</t>
        </is>
      </c>
      <c r="H267" s="4" t="inlineStr">
        <is>
          <t>https://instagram.com/this.studioandco</t>
        </is>
      </c>
      <c r="I267" s="4" t="inlineStr">
        <is>
          <t>https://facebook.com/this.studioandco</t>
        </is>
      </c>
      <c r="J267" s="2" t="inlineStr">
        <is>
          <t>+61 402 100 721</t>
        </is>
      </c>
      <c r="K267" s="4" t="inlineStr">
        <is>
          <t>https://thisstudioandco.com.au</t>
        </is>
      </c>
      <c r="L267" s="2" t="inlineStr">
        <is>
          <t>homepage shows an error page (HTTP 404)</t>
        </is>
      </c>
      <c r="M267" s="2" t="inlineStr">
        <is>
          <t>Hi This studio&amp;co team! [one real detail from their page]. We're AceAds, a web design studio. We noticed your website was showing an error page when we tried it. We'd be happy to make you a free preview of what a website could look like. Want one? No cost, no obligation.</t>
        </is>
      </c>
      <c r="N267" s="4" t="inlineStr">
        <is>
          <t>Open map</t>
        </is>
      </c>
      <c r="O267" s="2" t="inlineStr">
        <is>
          <t>Not contacted</t>
        </is>
      </c>
      <c r="P267" s="2" t="inlineStr"/>
      <c r="Q267" s="2" t="inlineStr"/>
      <c r="R267" s="2" t="inlineStr"/>
      <c r="S267" s="2" t="inlineStr"/>
    </row>
    <row r="268">
      <c r="A268" s="2" t="n">
        <v>267</v>
      </c>
      <c r="B268" s="5" t="inlineStr">
        <is>
          <t>VERIFY FIRST</t>
        </is>
      </c>
      <c r="C268" s="2" t="inlineStr">
        <is>
          <t>No website found</t>
        </is>
      </c>
      <c r="D268" s="2" t="inlineStr">
        <is>
          <t>Zina Hair Studio</t>
        </is>
      </c>
      <c r="E268" s="2" t="inlineStr">
        <is>
          <t>barber or hairdresser</t>
        </is>
      </c>
      <c r="F268" s="2" t="inlineStr">
        <is>
          <t>Gold Coast</t>
        </is>
      </c>
      <c r="G268" s="2" t="inlineStr">
        <is>
          <t>Facebook</t>
        </is>
      </c>
      <c r="H268" s="2" t="inlineStr"/>
      <c r="I268" s="4" t="inlineStr">
        <is>
          <t>https://www.facebook.com/zinahairstudio/</t>
        </is>
      </c>
      <c r="J268" s="2" t="inlineStr">
        <is>
          <t>+61 410 105 180</t>
        </is>
      </c>
      <c r="K268" s="2" t="inlineStr"/>
      <c r="L268" s="2" t="inlineStr">
        <is>
          <t>no website listed, only social media (verify on Google Maps)</t>
        </is>
      </c>
      <c r="M268" s="2" t="inlineStr">
        <is>
          <t>Hi Zina Hair Studio team! [one real detail from their page]. We're AceAds, a web design studio. We couldn't find a website for Zina Hair Studio, only your Facebook. We'd be happy to make you a free preview of what a website could look like. Want one? No cost, no obligation.</t>
        </is>
      </c>
      <c r="N268" s="4" t="inlineStr">
        <is>
          <t>Open map</t>
        </is>
      </c>
      <c r="O268" s="2" t="inlineStr">
        <is>
          <t>Not contacted</t>
        </is>
      </c>
      <c r="P268" s="2" t="inlineStr"/>
      <c r="Q268" s="2" t="inlineStr"/>
      <c r="R268" s="2" t="inlineStr"/>
      <c r="S268" s="2" t="inlineStr"/>
    </row>
    <row r="269">
      <c r="A269" s="2" t="n">
        <v>268</v>
      </c>
      <c r="B269" s="5" t="inlineStr">
        <is>
          <t>VERIFY FIRST</t>
        </is>
      </c>
      <c r="C269" s="2" t="inlineStr">
        <is>
          <t>No website found</t>
        </is>
      </c>
      <c r="D269" s="2" t="inlineStr">
        <is>
          <t>LV lashes &amp; brows</t>
        </is>
      </c>
      <c r="E269" s="2" t="inlineStr">
        <is>
          <t>beauty salon</t>
        </is>
      </c>
      <c r="F269" s="2" t="inlineStr">
        <is>
          <t>Gold Coast</t>
        </is>
      </c>
      <c r="G269" s="2" t="inlineStr">
        <is>
          <t>Instagram</t>
        </is>
      </c>
      <c r="H269" s="4" t="inlineStr">
        <is>
          <t>https://www.instagram.com/lv_lashes.and.brows/</t>
        </is>
      </c>
      <c r="I269" s="2" t="inlineStr"/>
      <c r="J269" s="2" t="inlineStr">
        <is>
          <t>+61 450 553 112</t>
        </is>
      </c>
      <c r="K269" s="2" t="inlineStr"/>
      <c r="L269" s="2" t="inlineStr">
        <is>
          <t>no website listed, only social media (verify on Google Maps)</t>
        </is>
      </c>
      <c r="M269" s="2" t="inlineStr">
        <is>
          <t>Hi LV lashes &amp; brows team! [one real detail from their page]. We're AceAds, a web design studio. We couldn't find a website for LV lashes &amp; brows, only your Instagram. We'd be happy to make you a free preview of what a website could look like. Want one? No cost, no obligation.</t>
        </is>
      </c>
      <c r="N269" s="4" t="inlineStr">
        <is>
          <t>Open map</t>
        </is>
      </c>
      <c r="O269" s="2" t="inlineStr">
        <is>
          <t>Not contacted</t>
        </is>
      </c>
      <c r="P269" s="2" t="inlineStr"/>
      <c r="Q269" s="2" t="inlineStr"/>
      <c r="R269" s="2" t="inlineStr"/>
      <c r="S269" s="2" t="inlineStr"/>
    </row>
    <row r="270">
      <c r="A270" s="2" t="n">
        <v>269</v>
      </c>
      <c r="B270" s="5" t="inlineStr">
        <is>
          <t>VERIFY FIRST</t>
        </is>
      </c>
      <c r="C270" s="2" t="inlineStr">
        <is>
          <t>No website found</t>
        </is>
      </c>
      <c r="D270" s="2" t="inlineStr">
        <is>
          <t>The Courtyard Co</t>
        </is>
      </c>
      <c r="E270" s="2" t="inlineStr">
        <is>
          <t>beauty salon</t>
        </is>
      </c>
      <c r="F270" s="2" t="inlineStr">
        <is>
          <t>Gold Coast</t>
        </is>
      </c>
      <c r="G270" s="2" t="inlineStr">
        <is>
          <t>Facebook</t>
        </is>
      </c>
      <c r="H270" s="2" t="inlineStr"/>
      <c r="I270" s="4" t="inlineStr">
        <is>
          <t>https://www.facebook.com/frontyardsgc/</t>
        </is>
      </c>
      <c r="J270" s="2" t="inlineStr">
        <is>
          <t>+61 479 077 953</t>
        </is>
      </c>
      <c r="K270" s="2" t="inlineStr"/>
      <c r="L270" s="2" t="inlineStr">
        <is>
          <t>no website listed, only social media (verify on Google Maps)</t>
        </is>
      </c>
      <c r="M270" s="2" t="inlineStr">
        <is>
          <t>Hi The Courtyard Co team! [one real detail from their page]. We're AceAds, a web design studio. We couldn't find a website for The Courtyard Co, only your Facebook. We'd be happy to make you a free preview of what a website could look like. Want one? No cost, no obligation.</t>
        </is>
      </c>
      <c r="N270" s="4" t="inlineStr">
        <is>
          <t>Open map</t>
        </is>
      </c>
      <c r="O270" s="2" t="inlineStr">
        <is>
          <t>Not contacted</t>
        </is>
      </c>
      <c r="P270" s="2" t="inlineStr"/>
      <c r="Q270" s="2" t="inlineStr"/>
      <c r="R270" s="2" t="inlineStr"/>
      <c r="S270" s="2" t="inlineStr"/>
    </row>
    <row r="271">
      <c r="A271" s="2" t="n">
        <v>270</v>
      </c>
      <c r="B271" s="5" t="inlineStr">
        <is>
          <t>VERIFY FIRST</t>
        </is>
      </c>
      <c r="C271" s="2" t="inlineStr">
        <is>
          <t>No website found</t>
        </is>
      </c>
      <c r="D271" s="2" t="inlineStr">
        <is>
          <t>Desire</t>
        </is>
      </c>
      <c r="E271" s="2" t="inlineStr">
        <is>
          <t>boutique</t>
        </is>
      </c>
      <c r="F271" s="2" t="inlineStr">
        <is>
          <t>Gold Coast</t>
        </is>
      </c>
      <c r="G271" s="2" t="inlineStr">
        <is>
          <t>Facebook</t>
        </is>
      </c>
      <c r="H271" s="2" t="inlineStr"/>
      <c r="I271" s="4" t="inlineStr">
        <is>
          <t>https://facebook.com/people/Desire-on-James/100057670328902</t>
        </is>
      </c>
      <c r="J271" s="2" t="inlineStr">
        <is>
          <t>+61 432 357 151</t>
        </is>
      </c>
      <c r="K271" s="2" t="inlineStr"/>
      <c r="L271" s="2" t="inlineStr">
        <is>
          <t>no website listed, only social media (verify on Google Maps)</t>
        </is>
      </c>
      <c r="M271" s="2" t="inlineStr">
        <is>
          <t>Hi Desire team! [one real detail from their page]. We're AceAds, a web design studio. We couldn't find a website for Desire, only your Facebook. We'd be happy to make you a free preview of what a website could look like. Want one? No cost, no obligation.</t>
        </is>
      </c>
      <c r="N271" s="4" t="inlineStr">
        <is>
          <t>Open map</t>
        </is>
      </c>
      <c r="O271" s="2" t="inlineStr">
        <is>
          <t>Not contacted</t>
        </is>
      </c>
      <c r="P271" s="2" t="inlineStr"/>
      <c r="Q271" s="2" t="inlineStr"/>
      <c r="R271" s="2" t="inlineStr"/>
      <c r="S271" s="2" t="inlineStr"/>
    </row>
    <row r="272">
      <c r="A272" s="2" t="n">
        <v>271</v>
      </c>
      <c r="B272" s="5" t="inlineStr">
        <is>
          <t>VERIFY FIRST</t>
        </is>
      </c>
      <c r="C272" s="2" t="inlineStr">
        <is>
          <t>No website found</t>
        </is>
      </c>
      <c r="D272" s="2" t="inlineStr">
        <is>
          <t>The Best Things Jewellery</t>
        </is>
      </c>
      <c r="E272" s="2" t="inlineStr">
        <is>
          <t>boutique</t>
        </is>
      </c>
      <c r="F272" s="2" t="inlineStr">
        <is>
          <t>Gold Coast</t>
        </is>
      </c>
      <c r="G272" s="2" t="inlineStr">
        <is>
          <t>Facebook</t>
        </is>
      </c>
      <c r="H272" s="2" t="inlineStr"/>
      <c r="I272" s="4" t="inlineStr">
        <is>
          <t>https://www.facebook.com/2251GCHWY/</t>
        </is>
      </c>
      <c r="J272" s="2" t="inlineStr">
        <is>
          <t>+61 7 5572 7711</t>
        </is>
      </c>
      <c r="K272" s="2" t="inlineStr"/>
      <c r="L272" s="2" t="inlineStr">
        <is>
          <t>no website listed, only social media (verify on Google Maps)</t>
        </is>
      </c>
      <c r="M272" s="2" t="inlineStr">
        <is>
          <t>Hi The Best Things Jewellery team! [one real detail from their page]. We're AceAds, a web design studio. We couldn't find a website for The Best Things Jewellery, only your Facebook. We'd be happy to make you a free preview of what a website could look like. Want one? No cost, no obligation.</t>
        </is>
      </c>
      <c r="N272" s="4" t="inlineStr">
        <is>
          <t>Open map</t>
        </is>
      </c>
      <c r="O272" s="2" t="inlineStr">
        <is>
          <t>Not contacted</t>
        </is>
      </c>
      <c r="P272" s="2" t="inlineStr"/>
      <c r="Q272" s="2" t="inlineStr"/>
      <c r="R272" s="2" t="inlineStr"/>
      <c r="S272" s="2" t="inlineStr"/>
    </row>
    <row r="273">
      <c r="A273" s="2" t="n">
        <v>272</v>
      </c>
      <c r="B273" s="5" t="inlineStr">
        <is>
          <t>VERIFY FIRST</t>
        </is>
      </c>
      <c r="C273" s="2" t="inlineStr">
        <is>
          <t>No website found</t>
        </is>
      </c>
      <c r="D273" s="2" t="inlineStr">
        <is>
          <t>BJ Snacks</t>
        </is>
      </c>
      <c r="E273" s="2" t="inlineStr">
        <is>
          <t>cafe</t>
        </is>
      </c>
      <c r="F273" s="2" t="inlineStr">
        <is>
          <t>Gold Coast</t>
        </is>
      </c>
      <c r="G273" s="2" t="inlineStr">
        <is>
          <t>Facebook</t>
        </is>
      </c>
      <c r="H273" s="2" t="inlineStr"/>
      <c r="I273" s="4" t="inlineStr">
        <is>
          <t>https://www.facebook.com/Bjsnacksburleighheads/</t>
        </is>
      </c>
      <c r="J273" s="2" t="inlineStr">
        <is>
          <t>+61 7 5593 5270</t>
        </is>
      </c>
      <c r="K273" s="2" t="inlineStr"/>
      <c r="L273" s="2" t="inlineStr">
        <is>
          <t>no website listed, only social media (verify on Google Maps)</t>
        </is>
      </c>
      <c r="M273" s="2" t="inlineStr">
        <is>
          <t>Hi BJ Snacks team! [one real detail from their page]. We're AceAds, a web design studio. We couldn't find a website for BJ Snacks, only your Facebook. We'd be happy to make you a free preview of what a website could look like. Want one? No cost, no obligation.</t>
        </is>
      </c>
      <c r="N273" s="4" t="inlineStr">
        <is>
          <t>Open map</t>
        </is>
      </c>
      <c r="O273" s="2" t="inlineStr">
        <is>
          <t>Not contacted</t>
        </is>
      </c>
      <c r="P273" s="2" t="inlineStr"/>
      <c r="Q273" s="2" t="inlineStr"/>
      <c r="R273" s="2" t="inlineStr"/>
      <c r="S273" s="2" t="inlineStr"/>
    </row>
    <row r="274">
      <c r="A274" s="2" t="n">
        <v>273</v>
      </c>
      <c r="B274" s="5" t="inlineStr">
        <is>
          <t>VERIFY FIRST</t>
        </is>
      </c>
      <c r="C274" s="2" t="inlineStr">
        <is>
          <t>No website found</t>
        </is>
      </c>
      <c r="D274" s="2" t="inlineStr">
        <is>
          <t>Café Biaggi</t>
        </is>
      </c>
      <c r="E274" s="2" t="inlineStr">
        <is>
          <t>cafe</t>
        </is>
      </c>
      <c r="F274" s="2" t="inlineStr">
        <is>
          <t>Gold Coast</t>
        </is>
      </c>
      <c r="G274" s="2" t="inlineStr">
        <is>
          <t>Facebook</t>
        </is>
      </c>
      <c r="H274" s="2" t="inlineStr"/>
      <c r="I274" s="4" t="inlineStr">
        <is>
          <t>https://www.facebook.com/Cafe-Biaggi-110229862373489/</t>
        </is>
      </c>
      <c r="J274" s="2" t="inlineStr">
        <is>
          <t>+61 7 5593 7072</t>
        </is>
      </c>
      <c r="K274" s="2" t="inlineStr"/>
      <c r="L274" s="2" t="inlineStr">
        <is>
          <t>no website listed, only social media (verify on Google Maps)</t>
        </is>
      </c>
      <c r="M274" s="2" t="inlineStr">
        <is>
          <t>Hi Café Biaggi team! [one real detail from their page]. We're AceAds, a web design studio. We couldn't find a website for Café Biaggi, only your Facebook. We'd be happy to make you a free preview of what a website could look like. Want one? No cost, no obligation.</t>
        </is>
      </c>
      <c r="N274" s="4" t="inlineStr">
        <is>
          <t>Open map</t>
        </is>
      </c>
      <c r="O274" s="2" t="inlineStr">
        <is>
          <t>Not contacted</t>
        </is>
      </c>
      <c r="P274" s="2" t="inlineStr"/>
      <c r="Q274" s="2" t="inlineStr"/>
      <c r="R274" s="2" t="inlineStr"/>
      <c r="S274" s="2" t="inlineStr"/>
    </row>
    <row r="275">
      <c r="A275" s="2" t="n">
        <v>274</v>
      </c>
      <c r="B275" s="5" t="inlineStr">
        <is>
          <t>VERIFY FIRST</t>
        </is>
      </c>
      <c r="C275" s="2" t="inlineStr">
        <is>
          <t>No website found</t>
        </is>
      </c>
      <c r="D275" s="2" t="inlineStr">
        <is>
          <t>Canteen Coffee</t>
        </is>
      </c>
      <c r="E275" s="2" t="inlineStr">
        <is>
          <t>cafe</t>
        </is>
      </c>
      <c r="F275" s="2" t="inlineStr">
        <is>
          <t>Gold Coast</t>
        </is>
      </c>
      <c r="G275" s="2" t="inlineStr">
        <is>
          <t>Facebook</t>
        </is>
      </c>
      <c r="H275" s="2" t="inlineStr"/>
      <c r="I275" s="4" t="inlineStr">
        <is>
          <t>https://www.facebook.com/CanteenCoffeeandKitchen/</t>
        </is>
      </c>
      <c r="J275" s="2" t="inlineStr"/>
      <c r="K275" s="2" t="inlineStr"/>
      <c r="L275" s="2" t="inlineStr">
        <is>
          <t>no website listed, only social media (verify on Google Maps)</t>
        </is>
      </c>
      <c r="M275" s="2" t="inlineStr">
        <is>
          <t>Hi Canteen Coffee team! [one real detail from their page]. We're AceAds, a web design studio. We couldn't find a website for Canteen Coffee, only your Facebook. We'd be happy to make you a free preview of what a website could look like. Want one? No cost, no obligation.</t>
        </is>
      </c>
      <c r="N275" s="4" t="inlineStr">
        <is>
          <t>Open map</t>
        </is>
      </c>
      <c r="O275" s="2" t="inlineStr">
        <is>
          <t>Not contacted</t>
        </is>
      </c>
      <c r="P275" s="2" t="inlineStr"/>
      <c r="Q275" s="2" t="inlineStr"/>
      <c r="R275" s="2" t="inlineStr"/>
      <c r="S275" s="2" t="inlineStr"/>
    </row>
    <row r="276">
      <c r="A276" s="2" t="n">
        <v>275</v>
      </c>
      <c r="B276" s="5" t="inlineStr">
        <is>
          <t>VERIFY FIRST</t>
        </is>
      </c>
      <c r="C276" s="2" t="inlineStr">
        <is>
          <t>No website found</t>
        </is>
      </c>
      <c r="D276" s="2" t="inlineStr">
        <is>
          <t>Commune</t>
        </is>
      </c>
      <c r="E276" s="2" t="inlineStr">
        <is>
          <t>cafe</t>
        </is>
      </c>
      <c r="F276" s="2" t="inlineStr">
        <is>
          <t>Gold Coast</t>
        </is>
      </c>
      <c r="G276" s="2" t="inlineStr">
        <is>
          <t>Facebook</t>
        </is>
      </c>
      <c r="H276" s="2" t="inlineStr"/>
      <c r="I276" s="4" t="inlineStr">
        <is>
          <t>https://www.facebook.com/Commune-188007077908552/</t>
        </is>
      </c>
      <c r="J276" s="2" t="inlineStr">
        <is>
          <t>+61 7 5520 3377</t>
        </is>
      </c>
      <c r="K276" s="2" t="inlineStr"/>
      <c r="L276" s="2" t="inlineStr">
        <is>
          <t>no website listed, only social media (verify on Google Maps)</t>
        </is>
      </c>
      <c r="M276" s="2" t="inlineStr">
        <is>
          <t>Hi Commune team! [one real detail from their page]. We're AceAds, a web design studio. We couldn't find a website for Commune, only your Facebook. We'd be happy to make you a free preview of what a website could look like. Want one? No cost, no obligation.</t>
        </is>
      </c>
      <c r="N276" s="4" t="inlineStr">
        <is>
          <t>Open map</t>
        </is>
      </c>
      <c r="O276" s="2" t="inlineStr">
        <is>
          <t>Not contacted</t>
        </is>
      </c>
      <c r="P276" s="2" t="inlineStr"/>
      <c r="Q276" s="2" t="inlineStr"/>
      <c r="R276" s="2" t="inlineStr"/>
      <c r="S276" s="2" t="inlineStr"/>
    </row>
    <row r="277">
      <c r="A277" s="2" t="n">
        <v>276</v>
      </c>
      <c r="B277" s="5" t="inlineStr">
        <is>
          <t>VERIFY FIRST</t>
        </is>
      </c>
      <c r="C277" s="2" t="inlineStr">
        <is>
          <t>No website found</t>
        </is>
      </c>
      <c r="D277" s="2" t="inlineStr">
        <is>
          <t>Daily Grind</t>
        </is>
      </c>
      <c r="E277" s="2" t="inlineStr">
        <is>
          <t>cafe</t>
        </is>
      </c>
      <c r="F277" s="2" t="inlineStr">
        <is>
          <t>Gold Coast</t>
        </is>
      </c>
      <c r="G277" s="2" t="inlineStr">
        <is>
          <t>Facebook</t>
        </is>
      </c>
      <c r="H277" s="2" t="inlineStr"/>
      <c r="I277" s="4" t="inlineStr">
        <is>
          <t>https://www.facebook.com/dailygrindburleigh/</t>
        </is>
      </c>
      <c r="J277" s="2" t="inlineStr">
        <is>
          <t>+61 449 075 032</t>
        </is>
      </c>
      <c r="K277" s="2" t="inlineStr"/>
      <c r="L277" s="2" t="inlineStr">
        <is>
          <t>no website listed, only social media (verify on Google Maps)</t>
        </is>
      </c>
      <c r="M277" s="2" t="inlineStr">
        <is>
          <t>Hi Daily Grind team! [one real detail from their page]. We're AceAds, a web design studio. We couldn't find a website for Daily Grind, only your Facebook. We'd be happy to make you a free preview of what a website could look like. Want one? No cost, no obligation.</t>
        </is>
      </c>
      <c r="N277" s="4" t="inlineStr">
        <is>
          <t>Open map</t>
        </is>
      </c>
      <c r="O277" s="2" t="inlineStr">
        <is>
          <t>Not contacted</t>
        </is>
      </c>
      <c r="P277" s="2" t="inlineStr"/>
      <c r="Q277" s="2" t="inlineStr"/>
      <c r="R277" s="2" t="inlineStr"/>
      <c r="S277" s="2" t="inlineStr"/>
    </row>
    <row r="278">
      <c r="A278" s="2" t="n">
        <v>277</v>
      </c>
      <c r="B278" s="5" t="inlineStr">
        <is>
          <t>VERIFY FIRST</t>
        </is>
      </c>
      <c r="C278" s="2" t="inlineStr">
        <is>
          <t>No website found</t>
        </is>
      </c>
      <c r="D278" s="2" t="inlineStr">
        <is>
          <t>Doki Doki Cafe Bar</t>
        </is>
      </c>
      <c r="E278" s="2" t="inlineStr">
        <is>
          <t>cafe</t>
        </is>
      </c>
      <c r="F278" s="2" t="inlineStr">
        <is>
          <t>Gold Coast</t>
        </is>
      </c>
      <c r="G278" s="2" t="inlineStr">
        <is>
          <t>Instagram</t>
        </is>
      </c>
      <c r="H278" s="4" t="inlineStr">
        <is>
          <t>https://www.instagram.com/cafe_bar_dokidoki/</t>
        </is>
      </c>
      <c r="I278" s="2" t="inlineStr"/>
      <c r="J278" s="2" t="inlineStr"/>
      <c r="K278" s="2" t="inlineStr"/>
      <c r="L278" s="2" t="inlineStr">
        <is>
          <t>no website listed, only social media (verify on Google Maps)</t>
        </is>
      </c>
      <c r="M278" s="2" t="inlineStr">
        <is>
          <t>Hi Doki Doki Cafe Bar team! [one real detail from their page]. We're AceAds, a web design studio. We couldn't find a website for Doki Doki Cafe Bar, only your Instagram. We'd be happy to make you a free preview of what a website could look like. Want one? No cost, no obligation.</t>
        </is>
      </c>
      <c r="N278" s="4" t="inlineStr">
        <is>
          <t>Open map</t>
        </is>
      </c>
      <c r="O278" s="2" t="inlineStr">
        <is>
          <t>Not contacted</t>
        </is>
      </c>
      <c r="P278" s="2" t="inlineStr"/>
      <c r="Q278" s="2" t="inlineStr"/>
      <c r="R278" s="2" t="inlineStr"/>
      <c r="S278" s="2" t="inlineStr"/>
    </row>
    <row r="279">
      <c r="A279" s="2" t="n">
        <v>278</v>
      </c>
      <c r="B279" s="5" t="inlineStr">
        <is>
          <t>VERIFY FIRST</t>
        </is>
      </c>
      <c r="C279" s="2" t="inlineStr">
        <is>
          <t>No website found</t>
        </is>
      </c>
      <c r="D279" s="2" t="inlineStr">
        <is>
          <t>Fresh Coffee Bar</t>
        </is>
      </c>
      <c r="E279" s="2" t="inlineStr">
        <is>
          <t>cafe</t>
        </is>
      </c>
      <c r="F279" s="2" t="inlineStr">
        <is>
          <t>Gold Coast</t>
        </is>
      </c>
      <c r="G279" s="2" t="inlineStr">
        <is>
          <t>Facebook</t>
        </is>
      </c>
      <c r="H279" s="2" t="inlineStr"/>
      <c r="I279" s="4" t="inlineStr">
        <is>
          <t>https://www.facebook.com/FreshCoffeeBarVarsity/</t>
        </is>
      </c>
      <c r="J279" s="2" t="inlineStr">
        <is>
          <t>+61 7 5580 8468</t>
        </is>
      </c>
      <c r="K279" s="2" t="inlineStr"/>
      <c r="L279" s="2" t="inlineStr">
        <is>
          <t>no website listed, only social media (verify on Google Maps)</t>
        </is>
      </c>
      <c r="M279" s="2" t="inlineStr">
        <is>
          <t>Hi Fresh Coffee Bar team! [one real detail from their page]. We're AceAds, a web design studio. We couldn't find a website for Fresh Coffee Bar, only your Facebook. We'd be happy to make you a free preview of what a website could look like. Want one? No cost, no obligation.</t>
        </is>
      </c>
      <c r="N279" s="4" t="inlineStr">
        <is>
          <t>Open map</t>
        </is>
      </c>
      <c r="O279" s="2" t="inlineStr">
        <is>
          <t>Not contacted</t>
        </is>
      </c>
      <c r="P279" s="2" t="inlineStr"/>
      <c r="Q279" s="2" t="inlineStr"/>
      <c r="R279" s="2" t="inlineStr"/>
      <c r="S279" s="2" t="inlineStr"/>
    </row>
    <row r="280">
      <c r="A280" s="2" t="n">
        <v>279</v>
      </c>
      <c r="B280" s="5" t="inlineStr">
        <is>
          <t>VERIFY FIRST</t>
        </is>
      </c>
      <c r="C280" s="2" t="inlineStr">
        <is>
          <t>No website found</t>
        </is>
      </c>
      <c r="D280" s="2" t="inlineStr">
        <is>
          <t>Hide N Seek Espresso</t>
        </is>
      </c>
      <c r="E280" s="2" t="inlineStr">
        <is>
          <t>cafe</t>
        </is>
      </c>
      <c r="F280" s="2" t="inlineStr">
        <is>
          <t>Gold Coast</t>
        </is>
      </c>
      <c r="G280" s="2" t="inlineStr">
        <is>
          <t>Facebook</t>
        </is>
      </c>
      <c r="H280" s="2" t="inlineStr"/>
      <c r="I280" s="4" t="inlineStr">
        <is>
          <t>https://www.facebook.com/hidenseekespresso13/</t>
        </is>
      </c>
      <c r="J280" s="2" t="inlineStr">
        <is>
          <t>+61 447 593 827</t>
        </is>
      </c>
      <c r="K280" s="2" t="inlineStr"/>
      <c r="L280" s="2" t="inlineStr">
        <is>
          <t>no website listed, only social media (verify on Google Maps)</t>
        </is>
      </c>
      <c r="M280" s="2" t="inlineStr">
        <is>
          <t>Hi Hide N Seek Espresso team! [one real detail from their page]. We're AceAds, a web design studio. We couldn't find a website for Hide N Seek Espresso, only your Facebook. We'd be happy to make you a free preview of what a website could look like. Want one? No cost, no obligation.</t>
        </is>
      </c>
      <c r="N280" s="4" t="inlineStr">
        <is>
          <t>Open map</t>
        </is>
      </c>
      <c r="O280" s="2" t="inlineStr">
        <is>
          <t>Not contacted</t>
        </is>
      </c>
      <c r="P280" s="2" t="inlineStr"/>
      <c r="Q280" s="2" t="inlineStr"/>
      <c r="R280" s="2" t="inlineStr"/>
      <c r="S280" s="2" t="inlineStr"/>
    </row>
    <row r="281">
      <c r="A281" s="2" t="n">
        <v>280</v>
      </c>
      <c r="B281" s="5" t="inlineStr">
        <is>
          <t>VERIFY FIRST</t>
        </is>
      </c>
      <c r="C281" s="2" t="inlineStr">
        <is>
          <t>No website found</t>
        </is>
      </c>
      <c r="D281" s="2" t="inlineStr">
        <is>
          <t>Little Bandits Coffee &amp; More</t>
        </is>
      </c>
      <c r="E281" s="2" t="inlineStr">
        <is>
          <t>cafe</t>
        </is>
      </c>
      <c r="F281" s="2" t="inlineStr">
        <is>
          <t>Gold Coast</t>
        </is>
      </c>
      <c r="G281" s="2" t="inlineStr">
        <is>
          <t>Instagram</t>
        </is>
      </c>
      <c r="H281" s="4" t="inlineStr">
        <is>
          <t>https://www.instagram.com/littlebanditscoffee/</t>
        </is>
      </c>
      <c r="I281" s="2" t="inlineStr"/>
      <c r="J281" s="2" t="inlineStr"/>
      <c r="K281" s="2" t="inlineStr"/>
      <c r="L281" s="2" t="inlineStr">
        <is>
          <t>no website listed, only social media (verify on Google Maps)</t>
        </is>
      </c>
      <c r="M281" s="2" t="inlineStr">
        <is>
          <t>Hi Little Bandits Coffee &amp; More team! [one real detail from their page]. We're AceAds, a web design studio. We couldn't find a website for Little Bandits Coffee &amp; More, only your Instagram. We'd be happy to make you a free preview of what a website could look like. Want one? No cost, no obligation.</t>
        </is>
      </c>
      <c r="N281" s="4" t="inlineStr">
        <is>
          <t>Open map</t>
        </is>
      </c>
      <c r="O281" s="2" t="inlineStr">
        <is>
          <t>Not contacted</t>
        </is>
      </c>
      <c r="P281" s="2" t="inlineStr"/>
      <c r="Q281" s="2" t="inlineStr"/>
      <c r="R281" s="2" t="inlineStr"/>
      <c r="S281" s="2" t="inlineStr"/>
    </row>
    <row r="282">
      <c r="A282" s="2" t="n">
        <v>281</v>
      </c>
      <c r="B282" s="5" t="inlineStr">
        <is>
          <t>VERIFY FIRST</t>
        </is>
      </c>
      <c r="C282" s="2" t="inlineStr">
        <is>
          <t>No website found</t>
        </is>
      </c>
      <c r="D282" s="2" t="inlineStr">
        <is>
          <t>More Coffee Please</t>
        </is>
      </c>
      <c r="E282" s="2" t="inlineStr">
        <is>
          <t>cafe</t>
        </is>
      </c>
      <c r="F282" s="2" t="inlineStr">
        <is>
          <t>Gold Coast</t>
        </is>
      </c>
      <c r="G282" s="2" t="inlineStr">
        <is>
          <t>Facebook</t>
        </is>
      </c>
      <c r="H282" s="2" t="inlineStr"/>
      <c r="I282" s="4" t="inlineStr">
        <is>
          <t>https://www.facebook.com/morecoffeepleasecafe/</t>
        </is>
      </c>
      <c r="J282" s="2" t="inlineStr">
        <is>
          <t>+61 7 5536 7456</t>
        </is>
      </c>
      <c r="K282" s="2" t="inlineStr"/>
      <c r="L282" s="2" t="inlineStr">
        <is>
          <t>no website listed, only social media (verify on Google Maps)</t>
        </is>
      </c>
      <c r="M282" s="2" t="inlineStr">
        <is>
          <t>Hi More Coffee Please team! [one real detail from their page]. We're AceAds, a web design studio. We couldn't find a website for More Coffee Please, only your Facebook. We'd be happy to make you a free preview of what a website could look like. Want one? No cost, no obligation.</t>
        </is>
      </c>
      <c r="N282" s="4" t="inlineStr">
        <is>
          <t>Open map</t>
        </is>
      </c>
      <c r="O282" s="2" t="inlineStr">
        <is>
          <t>Not contacted</t>
        </is>
      </c>
      <c r="P282" s="2" t="inlineStr"/>
      <c r="Q282" s="2" t="inlineStr"/>
      <c r="R282" s="2" t="inlineStr"/>
      <c r="S282" s="2" t="inlineStr"/>
    </row>
    <row r="283">
      <c r="A283" s="2" t="n">
        <v>282</v>
      </c>
      <c r="B283" s="5" t="inlineStr">
        <is>
          <t>VERIFY FIRST</t>
        </is>
      </c>
      <c r="C283" s="2" t="inlineStr">
        <is>
          <t>Site shows an error</t>
        </is>
      </c>
      <c r="D283" s="2" t="inlineStr">
        <is>
          <t>Niche &amp; Co</t>
        </is>
      </c>
      <c r="E283" s="2" t="inlineStr">
        <is>
          <t>cafe</t>
        </is>
      </c>
      <c r="F283" s="2" t="inlineStr">
        <is>
          <t>Gold Coast</t>
        </is>
      </c>
      <c r="G283" s="2" t="inlineStr">
        <is>
          <t>Instagram</t>
        </is>
      </c>
      <c r="H283" s="4" t="inlineStr">
        <is>
          <t>https://instagram.com/nicheandco</t>
        </is>
      </c>
      <c r="I283" s="4" t="inlineStr">
        <is>
          <t>https://facebook.com/nicheandco</t>
        </is>
      </c>
      <c r="J283" s="2" t="inlineStr">
        <is>
          <t>+61 7 5598 2535</t>
        </is>
      </c>
      <c r="K283" s="4" t="inlineStr">
        <is>
          <t>https://nicheandco.com.au</t>
        </is>
      </c>
      <c r="L283" s="2" t="inlineStr">
        <is>
          <t>homepage shows an error page (HTTP 404)</t>
        </is>
      </c>
      <c r="M283" s="2" t="inlineStr">
        <is>
          <t>Hi Niche &amp; Co team! [one real detail from their page]. We're AceAds, a web design studio. We noticed your website was showing an error page when we tried it. We'd be happy to make you a free preview of what a website could look like. Want one? No cost, no obligation.</t>
        </is>
      </c>
      <c r="N283" s="4" t="inlineStr">
        <is>
          <t>Open map</t>
        </is>
      </c>
      <c r="O283" s="2" t="inlineStr">
        <is>
          <t>Not contacted</t>
        </is>
      </c>
      <c r="P283" s="2" t="inlineStr"/>
      <c r="Q283" s="2" t="inlineStr"/>
      <c r="R283" s="2" t="inlineStr"/>
      <c r="S283" s="2" t="inlineStr"/>
    </row>
    <row r="284">
      <c r="A284" s="2" t="n">
        <v>283</v>
      </c>
      <c r="B284" s="5" t="inlineStr">
        <is>
          <t>VERIFY FIRST</t>
        </is>
      </c>
      <c r="C284" s="2" t="inlineStr">
        <is>
          <t>No website found</t>
        </is>
      </c>
      <c r="D284" s="2" t="inlineStr">
        <is>
          <t>Profile Coffee Co-Lab</t>
        </is>
      </c>
      <c r="E284" s="2" t="inlineStr">
        <is>
          <t>cafe</t>
        </is>
      </c>
      <c r="F284" s="2" t="inlineStr">
        <is>
          <t>Gold Coast</t>
        </is>
      </c>
      <c r="G284" s="2" t="inlineStr">
        <is>
          <t>Instagram</t>
        </is>
      </c>
      <c r="H284" s="4" t="inlineStr">
        <is>
          <t>https://www.instagram.com/profile_coffee_colab/</t>
        </is>
      </c>
      <c r="I284" s="2" t="inlineStr"/>
      <c r="J284" s="2" t="inlineStr"/>
      <c r="K284" s="2" t="inlineStr"/>
      <c r="L284" s="2" t="inlineStr">
        <is>
          <t>no website listed, only social media (verify on Google Maps)</t>
        </is>
      </c>
      <c r="M284" s="2" t="inlineStr">
        <is>
          <t>Hi Profile Coffee Co-Lab team! [one real detail from their page]. We're AceAds, a web design studio. We couldn't find a website for Profile Coffee Co-Lab, only your Instagram. We'd be happy to make you a free preview of what a website could look like. Want one? No cost, no obligation.</t>
        </is>
      </c>
      <c r="N284" s="4" t="inlineStr">
        <is>
          <t>Open map</t>
        </is>
      </c>
      <c r="O284" s="2" t="inlineStr">
        <is>
          <t>Not contacted</t>
        </is>
      </c>
      <c r="P284" s="2" t="inlineStr"/>
      <c r="Q284" s="2" t="inlineStr"/>
      <c r="R284" s="2" t="inlineStr"/>
      <c r="S284" s="2" t="inlineStr"/>
    </row>
    <row r="285">
      <c r="A285" s="2" t="n">
        <v>284</v>
      </c>
      <c r="B285" s="5" t="inlineStr">
        <is>
          <t>VERIFY FIRST</t>
        </is>
      </c>
      <c r="C285" s="2" t="inlineStr">
        <is>
          <t>No website found</t>
        </is>
      </c>
      <c r="D285" s="2" t="inlineStr">
        <is>
          <t>Quade &amp; Co</t>
        </is>
      </c>
      <c r="E285" s="2" t="inlineStr">
        <is>
          <t>cafe</t>
        </is>
      </c>
      <c r="F285" s="2" t="inlineStr">
        <is>
          <t>Gold Coast</t>
        </is>
      </c>
      <c r="G285" s="2" t="inlineStr">
        <is>
          <t>Instagram</t>
        </is>
      </c>
      <c r="H285" s="4" t="inlineStr">
        <is>
          <t>https://instagram.com/quadeandco</t>
        </is>
      </c>
      <c r="I285" s="4" t="inlineStr">
        <is>
          <t>https://facebook.com/quadeandco</t>
        </is>
      </c>
      <c r="J285" s="2" t="inlineStr"/>
      <c r="K285" s="2" t="inlineStr"/>
      <c r="L285" s="2" t="inlineStr">
        <is>
          <t>no website listed, only social media (verify on Google Maps)</t>
        </is>
      </c>
      <c r="M285" s="2" t="inlineStr">
        <is>
          <t>Hi Quade &amp; Co team! [one real detail from their page]. We're AceAds, a web design studio. We couldn't find a website for Quade &amp; Co, only your Instagram. We'd be happy to make you a free preview of what a website could look like. Want one? No cost, no obligation.</t>
        </is>
      </c>
      <c r="N285" s="4" t="inlineStr">
        <is>
          <t>Open map</t>
        </is>
      </c>
      <c r="O285" s="2" t="inlineStr">
        <is>
          <t>Not contacted</t>
        </is>
      </c>
      <c r="P285" s="2" t="inlineStr"/>
      <c r="Q285" s="2" t="inlineStr"/>
      <c r="R285" s="2" t="inlineStr"/>
      <c r="S285" s="2" t="inlineStr"/>
    </row>
    <row r="286">
      <c r="A286" s="2" t="n">
        <v>285</v>
      </c>
      <c r="B286" s="5" t="inlineStr">
        <is>
          <t>VERIFY FIRST</t>
        </is>
      </c>
      <c r="C286" s="2" t="inlineStr">
        <is>
          <t>No website found</t>
        </is>
      </c>
      <c r="D286" s="2" t="inlineStr">
        <is>
          <t>See Yö Cafe &amp; Bakery</t>
        </is>
      </c>
      <c r="E286" s="2" t="inlineStr">
        <is>
          <t>cafe</t>
        </is>
      </c>
      <c r="F286" s="2" t="inlineStr">
        <is>
          <t>Gold Coast</t>
        </is>
      </c>
      <c r="G286" s="2" t="inlineStr">
        <is>
          <t>Facebook</t>
        </is>
      </c>
      <c r="H286" s="2" t="inlineStr"/>
      <c r="I286" s="4" t="inlineStr">
        <is>
          <t>https://www.facebook.com/marieanitas/</t>
        </is>
      </c>
      <c r="J286" s="2" t="inlineStr">
        <is>
          <t>+61 7 5572 3224</t>
        </is>
      </c>
      <c r="K286" s="2" t="inlineStr"/>
      <c r="L286" s="2" t="inlineStr">
        <is>
          <t>no website listed, only social media (verify on Google Maps)</t>
        </is>
      </c>
      <c r="M286" s="2" t="inlineStr">
        <is>
          <t>Hi See Yö Cafe &amp; Bakery team! [one real detail from their page]. We're AceAds, a web design studio. We couldn't find a website for See Yö Cafe &amp; Bakery, only your Facebook. We'd be happy to make you a free preview of what a website could look like. Want one? No cost, no obligation.</t>
        </is>
      </c>
      <c r="N286" s="4" t="inlineStr">
        <is>
          <t>Open map</t>
        </is>
      </c>
      <c r="O286" s="2" t="inlineStr">
        <is>
          <t>Not contacted</t>
        </is>
      </c>
      <c r="P286" s="2" t="inlineStr"/>
      <c r="Q286" s="2" t="inlineStr"/>
      <c r="R286" s="2" t="inlineStr"/>
      <c r="S286" s="2" t="inlineStr"/>
    </row>
    <row r="287">
      <c r="A287" s="2" t="n">
        <v>286</v>
      </c>
      <c r="B287" s="5" t="inlineStr">
        <is>
          <t>VERIFY FIRST</t>
        </is>
      </c>
      <c r="C287" s="2" t="inlineStr">
        <is>
          <t>No website found</t>
        </is>
      </c>
      <c r="D287" s="2" t="inlineStr">
        <is>
          <t>Sens Coffee Co</t>
        </is>
      </c>
      <c r="E287" s="2" t="inlineStr">
        <is>
          <t>cafe</t>
        </is>
      </c>
      <c r="F287" s="2" t="inlineStr">
        <is>
          <t>Gold Coast</t>
        </is>
      </c>
      <c r="G287" s="2" t="inlineStr">
        <is>
          <t>Instagram</t>
        </is>
      </c>
      <c r="H287" s="4" t="inlineStr">
        <is>
          <t>https://www.instagram.com/sens_coffee_co/</t>
        </is>
      </c>
      <c r="I287" s="4" t="inlineStr">
        <is>
          <t>https://www.facebook.com/p/SENS-COFEE-CO-Southport-61564429171125/</t>
        </is>
      </c>
      <c r="J287" s="2" t="inlineStr">
        <is>
          <t>+61 452 017 367</t>
        </is>
      </c>
      <c r="K287" s="2" t="inlineStr"/>
      <c r="L287" s="2" t="inlineStr">
        <is>
          <t>no website listed, only social media (verify on Google Maps)</t>
        </is>
      </c>
      <c r="M287" s="2" t="inlineStr">
        <is>
          <t>Hi Sens Coffee Co team! [one real detail from their page]. We're AceAds, a web design studio. We couldn't find a website for Sens Coffee Co, only your Instagram. We'd be happy to make you a free preview of what a website could look like. Want one? No cost, no obligation.</t>
        </is>
      </c>
      <c r="N287" s="4" t="inlineStr">
        <is>
          <t>Open map</t>
        </is>
      </c>
      <c r="O287" s="2" t="inlineStr">
        <is>
          <t>Not contacted</t>
        </is>
      </c>
      <c r="P287" s="2" t="inlineStr"/>
      <c r="Q287" s="2" t="inlineStr"/>
      <c r="R287" s="2" t="inlineStr"/>
      <c r="S287" s="2" t="inlineStr"/>
    </row>
    <row r="288">
      <c r="A288" s="2" t="n">
        <v>287</v>
      </c>
      <c r="B288" s="5" t="inlineStr">
        <is>
          <t>VERIFY FIRST</t>
        </is>
      </c>
      <c r="C288" s="2" t="inlineStr">
        <is>
          <t>No website found</t>
        </is>
      </c>
      <c r="D288" s="2" t="inlineStr">
        <is>
          <t>Social Brew</t>
        </is>
      </c>
      <c r="E288" s="2" t="inlineStr">
        <is>
          <t>cafe</t>
        </is>
      </c>
      <c r="F288" s="2" t="inlineStr">
        <is>
          <t>Gold Coast</t>
        </is>
      </c>
      <c r="G288" s="2" t="inlineStr">
        <is>
          <t>Facebook</t>
        </is>
      </c>
      <c r="H288" s="2" t="inlineStr"/>
      <c r="I288" s="4" t="inlineStr">
        <is>
          <t>https://www.facebook.com/socialbrewburleigh/</t>
        </is>
      </c>
      <c r="J288" s="2" t="inlineStr"/>
      <c r="K288" s="2" t="inlineStr"/>
      <c r="L288" s="2" t="inlineStr">
        <is>
          <t>no website listed, only social media (verify on Google Maps)</t>
        </is>
      </c>
      <c r="M288" s="2" t="inlineStr">
        <is>
          <t>Hi Social Brew team! [one real detail from their page]. We're AceAds, a web design studio. We couldn't find a website for Social Brew, only your Facebook. We'd be happy to make you a free preview of what a website could look like. Want one? No cost, no obligation.</t>
        </is>
      </c>
      <c r="N288" s="4" t="inlineStr">
        <is>
          <t>Open map</t>
        </is>
      </c>
      <c r="O288" s="2" t="inlineStr">
        <is>
          <t>Not contacted</t>
        </is>
      </c>
      <c r="P288" s="2" t="inlineStr"/>
      <c r="Q288" s="2" t="inlineStr"/>
      <c r="R288" s="2" t="inlineStr"/>
      <c r="S288" s="2" t="inlineStr"/>
    </row>
    <row r="289">
      <c r="A289" s="2" t="n">
        <v>288</v>
      </c>
      <c r="B289" s="5" t="inlineStr">
        <is>
          <t>VERIFY FIRST</t>
        </is>
      </c>
      <c r="C289" s="2" t="inlineStr">
        <is>
          <t>No website found</t>
        </is>
      </c>
      <c r="D289" s="2" t="inlineStr">
        <is>
          <t>Street Corner Espresso</t>
        </is>
      </c>
      <c r="E289" s="2" t="inlineStr">
        <is>
          <t>cafe</t>
        </is>
      </c>
      <c r="F289" s="2" t="inlineStr">
        <is>
          <t>Gold Coast</t>
        </is>
      </c>
      <c r="G289" s="2" t="inlineStr">
        <is>
          <t>Facebook</t>
        </is>
      </c>
      <c r="H289" s="2" t="inlineStr"/>
      <c r="I289" s="4" t="inlineStr">
        <is>
          <t>https://www.facebook.com/StreetCornerEspresso/</t>
        </is>
      </c>
      <c r="J289" s="2" t="inlineStr">
        <is>
          <t>+61 7 5520 0886</t>
        </is>
      </c>
      <c r="K289" s="2" t="inlineStr"/>
      <c r="L289" s="2" t="inlineStr">
        <is>
          <t>no website listed, only social media (verify on Google Maps)</t>
        </is>
      </c>
      <c r="M289" s="2" t="inlineStr">
        <is>
          <t>Hi Street Corner Espresso team! [one real detail from their page]. We're AceAds, a web design studio. We couldn't find a website for Street Corner Espresso, only your Facebook. We'd be happy to make you a free preview of what a website could look like. Want one? No cost, no obligation.</t>
        </is>
      </c>
      <c r="N289" s="4" t="inlineStr">
        <is>
          <t>Open map</t>
        </is>
      </c>
      <c r="O289" s="2" t="inlineStr">
        <is>
          <t>Not contacted</t>
        </is>
      </c>
      <c r="P289" s="2" t="inlineStr"/>
      <c r="Q289" s="2" t="inlineStr"/>
      <c r="R289" s="2" t="inlineStr"/>
      <c r="S289" s="2" t="inlineStr"/>
    </row>
    <row r="290">
      <c r="A290" s="2" t="n">
        <v>289</v>
      </c>
      <c r="B290" s="5" t="inlineStr">
        <is>
          <t>VERIFY FIRST</t>
        </is>
      </c>
      <c r="C290" s="2" t="inlineStr">
        <is>
          <t>No website found</t>
        </is>
      </c>
      <c r="D290" s="2" t="inlineStr">
        <is>
          <t>The Kumara Patch</t>
        </is>
      </c>
      <c r="E290" s="2" t="inlineStr">
        <is>
          <t>cafe</t>
        </is>
      </c>
      <c r="F290" s="2" t="inlineStr">
        <is>
          <t>Gold Coast</t>
        </is>
      </c>
      <c r="G290" s="2" t="inlineStr">
        <is>
          <t>Facebook</t>
        </is>
      </c>
      <c r="H290" s="2" t="inlineStr"/>
      <c r="I290" s="4" t="inlineStr">
        <is>
          <t>https://www.facebook.com/thekumarapatch/</t>
        </is>
      </c>
      <c r="J290" s="2" t="inlineStr">
        <is>
          <t>+61 7 5539 4243</t>
        </is>
      </c>
      <c r="K290" s="2" t="inlineStr"/>
      <c r="L290" s="2" t="inlineStr">
        <is>
          <t>no website listed, only social media (verify on Google Maps)</t>
        </is>
      </c>
      <c r="M290" s="2" t="inlineStr">
        <is>
          <t>Hi The Kumara Patch team! [one real detail from their page]. We're AceAds, a web design studio. We couldn't find a website for The Kumara Patch, only your Facebook. We'd be happy to make you a free preview of what a website could look like. Want one? No cost, no obligation.</t>
        </is>
      </c>
      <c r="N290" s="4" t="inlineStr">
        <is>
          <t>Open map</t>
        </is>
      </c>
      <c r="O290" s="2" t="inlineStr">
        <is>
          <t>Not contacted</t>
        </is>
      </c>
      <c r="P290" s="2" t="inlineStr"/>
      <c r="Q290" s="2" t="inlineStr"/>
      <c r="R290" s="2" t="inlineStr"/>
      <c r="S290" s="2" t="inlineStr"/>
    </row>
    <row r="291">
      <c r="A291" s="2" t="n">
        <v>290</v>
      </c>
      <c r="B291" s="5" t="inlineStr">
        <is>
          <t>VERIFY FIRST</t>
        </is>
      </c>
      <c r="C291" s="2" t="inlineStr">
        <is>
          <t>No website found</t>
        </is>
      </c>
      <c r="D291" s="2" t="inlineStr">
        <is>
          <t>The Palm Coffee</t>
        </is>
      </c>
      <c r="E291" s="2" t="inlineStr">
        <is>
          <t>cafe</t>
        </is>
      </c>
      <c r="F291" s="2" t="inlineStr">
        <is>
          <t>Gold Coast</t>
        </is>
      </c>
      <c r="G291" s="2" t="inlineStr">
        <is>
          <t>Instagram</t>
        </is>
      </c>
      <c r="H291" s="4" t="inlineStr">
        <is>
          <t>https://www.instagram.com/the_palmcoffee</t>
        </is>
      </c>
      <c r="I291" s="4" t="inlineStr">
        <is>
          <t>https://www.facebook.com/thepalmscoffees/</t>
        </is>
      </c>
      <c r="J291" s="2" t="inlineStr">
        <is>
          <t>+61 410 812 975</t>
        </is>
      </c>
      <c r="K291" s="2" t="inlineStr"/>
      <c r="L291" s="2" t="inlineStr">
        <is>
          <t>no website listed, only social media (verify on Google Maps)</t>
        </is>
      </c>
      <c r="M291" s="2" t="inlineStr">
        <is>
          <t>Hi The Palm Coffee team! [one real detail from their page]. We're AceAds, a web design studio. We couldn't find a website for The Palm Coffee, only your Instagram. We'd be happy to make you a free preview of what a website could look like. Want one? No cost, no obligation.</t>
        </is>
      </c>
      <c r="N291" s="4" t="inlineStr">
        <is>
          <t>Open map</t>
        </is>
      </c>
      <c r="O291" s="2" t="inlineStr">
        <is>
          <t>Not contacted</t>
        </is>
      </c>
      <c r="P291" s="2" t="inlineStr"/>
      <c r="Q291" s="2" t="inlineStr"/>
      <c r="R291" s="2" t="inlineStr"/>
      <c r="S291" s="2" t="inlineStr"/>
    </row>
    <row r="292">
      <c r="A292" s="2" t="n">
        <v>291</v>
      </c>
      <c r="B292" s="5" t="inlineStr">
        <is>
          <t>VERIFY FIRST</t>
        </is>
      </c>
      <c r="C292" s="2" t="inlineStr">
        <is>
          <t>No website found</t>
        </is>
      </c>
      <c r="D292" s="2" t="inlineStr">
        <is>
          <t>The Press Cafe</t>
        </is>
      </c>
      <c r="E292" s="2" t="inlineStr">
        <is>
          <t>cafe</t>
        </is>
      </c>
      <c r="F292" s="2" t="inlineStr">
        <is>
          <t>Gold Coast</t>
        </is>
      </c>
      <c r="G292" s="2" t="inlineStr">
        <is>
          <t>Facebook</t>
        </is>
      </c>
      <c r="H292" s="2" t="inlineStr"/>
      <c r="I292" s="4" t="inlineStr">
        <is>
          <t>https://www.facebook.com/thepresscafecoomera/</t>
        </is>
      </c>
      <c r="J292" s="2" t="inlineStr">
        <is>
          <t>+61 417 402 174</t>
        </is>
      </c>
      <c r="K292" s="2" t="inlineStr"/>
      <c r="L292" s="2" t="inlineStr">
        <is>
          <t>no website listed, only social media (verify on Google Maps)</t>
        </is>
      </c>
      <c r="M292" s="2" t="inlineStr">
        <is>
          <t>Hi The Press Cafe team! [one real detail from their page]. We're AceAds, a web design studio. We couldn't find a website for The Press Cafe, only your Facebook. We'd be happy to make you a free preview of what a website could look like. Want one? No cost, no obligation.</t>
        </is>
      </c>
      <c r="N292" s="4" t="inlineStr">
        <is>
          <t>Open map</t>
        </is>
      </c>
      <c r="O292" s="2" t="inlineStr">
        <is>
          <t>Not contacted</t>
        </is>
      </c>
      <c r="P292" s="2" t="inlineStr"/>
      <c r="Q292" s="2" t="inlineStr"/>
      <c r="R292" s="2" t="inlineStr"/>
      <c r="S292" s="2" t="inlineStr"/>
    </row>
    <row r="293">
      <c r="A293" s="2" t="n">
        <v>292</v>
      </c>
      <c r="B293" s="5" t="inlineStr">
        <is>
          <t>VERIFY FIRST</t>
        </is>
      </c>
      <c r="C293" s="2" t="inlineStr">
        <is>
          <t>No website found</t>
        </is>
      </c>
      <c r="D293" s="2" t="inlineStr">
        <is>
          <t>The Treehouse</t>
        </is>
      </c>
      <c r="E293" s="2" t="inlineStr">
        <is>
          <t>cafe</t>
        </is>
      </c>
      <c r="F293" s="2" t="inlineStr">
        <is>
          <t>Gold Coast</t>
        </is>
      </c>
      <c r="G293" s="2" t="inlineStr">
        <is>
          <t>Facebook</t>
        </is>
      </c>
      <c r="H293" s="2" t="inlineStr"/>
      <c r="I293" s="4" t="inlineStr">
        <is>
          <t>https://www.facebook.com/treehouseonthehill/</t>
        </is>
      </c>
      <c r="J293" s="2" t="inlineStr"/>
      <c r="K293" s="2" t="inlineStr"/>
      <c r="L293" s="2" t="inlineStr">
        <is>
          <t>no website listed, only social media (verify on Google Maps)</t>
        </is>
      </c>
      <c r="M293" s="2" t="inlineStr">
        <is>
          <t>Hi The Treehouse team! [one real detail from their page]. We're AceAds, a web design studio. We couldn't find a website for The Treehouse, only your Facebook. We'd be happy to make you a free preview of what a website could look like. Want one? No cost, no obligation.</t>
        </is>
      </c>
      <c r="N293" s="4" t="inlineStr">
        <is>
          <t>Open map</t>
        </is>
      </c>
      <c r="O293" s="2" t="inlineStr">
        <is>
          <t>Not contacted</t>
        </is>
      </c>
      <c r="P293" s="2" t="inlineStr"/>
      <c r="Q293" s="2" t="inlineStr"/>
      <c r="R293" s="2" t="inlineStr"/>
      <c r="S293" s="2" t="inlineStr"/>
    </row>
    <row r="294">
      <c r="A294" s="2" t="n">
        <v>293</v>
      </c>
      <c r="B294" s="5" t="inlineStr">
        <is>
          <t>VERIFY FIRST</t>
        </is>
      </c>
      <c r="C294" s="2" t="inlineStr">
        <is>
          <t>No website found</t>
        </is>
      </c>
      <c r="D294" s="2" t="inlineStr">
        <is>
          <t>Third Base</t>
        </is>
      </c>
      <c r="E294" s="2" t="inlineStr">
        <is>
          <t>cafe</t>
        </is>
      </c>
      <c r="F294" s="2" t="inlineStr">
        <is>
          <t>Gold Coast</t>
        </is>
      </c>
      <c r="G294" s="2" t="inlineStr">
        <is>
          <t>Instagram</t>
        </is>
      </c>
      <c r="H294" s="4" t="inlineStr">
        <is>
          <t>https://www.instagram.com/thirdbasepalmbeach/</t>
        </is>
      </c>
      <c r="I294" s="2" t="inlineStr"/>
      <c r="J294" s="2" t="inlineStr"/>
      <c r="K294" s="2" t="inlineStr"/>
      <c r="L294" s="2" t="inlineStr">
        <is>
          <t>no website listed, only social media (verify on Google Maps)</t>
        </is>
      </c>
      <c r="M294" s="2" t="inlineStr">
        <is>
          <t>Hi Third Base team! [one real detail from their page]. We're AceAds, a web design studio. We couldn't find a website for Third Base, only your Instagram. We'd be happy to make you a free preview of what a website could look like. Want one? No cost, no obligation.</t>
        </is>
      </c>
      <c r="N294" s="4" t="inlineStr">
        <is>
          <t>Open map</t>
        </is>
      </c>
      <c r="O294" s="2" t="inlineStr">
        <is>
          <t>Not contacted</t>
        </is>
      </c>
      <c r="P294" s="2" t="inlineStr"/>
      <c r="Q294" s="2" t="inlineStr"/>
      <c r="R294" s="2" t="inlineStr"/>
      <c r="S294" s="2" t="inlineStr"/>
    </row>
    <row r="295">
      <c r="A295" s="2" t="n">
        <v>294</v>
      </c>
      <c r="B295" s="5" t="inlineStr">
        <is>
          <t>VERIFY FIRST</t>
        </is>
      </c>
      <c r="C295" s="2" t="inlineStr">
        <is>
          <t>No website found</t>
        </is>
      </c>
      <c r="D295" s="2" t="inlineStr">
        <is>
          <t>Vegepatch Studios</t>
        </is>
      </c>
      <c r="E295" s="2" t="inlineStr">
        <is>
          <t>cafe</t>
        </is>
      </c>
      <c r="F295" s="2" t="inlineStr">
        <is>
          <t>Gold Coast</t>
        </is>
      </c>
      <c r="G295" s="2" t="inlineStr">
        <is>
          <t>Instagram</t>
        </is>
      </c>
      <c r="H295" s="4" t="inlineStr">
        <is>
          <t>https://www.instagram.com/vegepatchstudios</t>
        </is>
      </c>
      <c r="I295" s="2" t="inlineStr"/>
      <c r="J295" s="2" t="inlineStr"/>
      <c r="K295" s="2" t="inlineStr"/>
      <c r="L295" s="2" t="inlineStr">
        <is>
          <t>no website listed, only social media (verify on Google Maps)</t>
        </is>
      </c>
      <c r="M295" s="2" t="inlineStr">
        <is>
          <t>Hi Vegepatch Studios team! [one real detail from their page]. We're AceAds, a web design studio. We couldn't find a website for Vegepatch Studios, only your Instagram. We'd be happy to make you a free preview of what a website could look like. Want one? No cost, no obligation.</t>
        </is>
      </c>
      <c r="N295" s="4" t="inlineStr">
        <is>
          <t>Open map</t>
        </is>
      </c>
      <c r="O295" s="2" t="inlineStr">
        <is>
          <t>Not contacted</t>
        </is>
      </c>
      <c r="P295" s="2" t="inlineStr"/>
      <c r="Q295" s="2" t="inlineStr"/>
      <c r="R295" s="2" t="inlineStr"/>
      <c r="S295" s="2" t="inlineStr"/>
    </row>
    <row r="296">
      <c r="A296" s="2" t="n">
        <v>295</v>
      </c>
      <c r="B296" s="5" t="inlineStr">
        <is>
          <t>VERIFY FIRST</t>
        </is>
      </c>
      <c r="C296" s="2" t="inlineStr">
        <is>
          <t>No website found</t>
        </is>
      </c>
      <c r="D296" s="2" t="inlineStr">
        <is>
          <t>Broccoli Brothers</t>
        </is>
      </c>
      <c r="E296" s="2" t="inlineStr">
        <is>
          <t>deli or specialty food</t>
        </is>
      </c>
      <c r="F296" s="2" t="inlineStr">
        <is>
          <t>Gold Coast</t>
        </is>
      </c>
      <c r="G296" s="2" t="inlineStr">
        <is>
          <t>Facebook</t>
        </is>
      </c>
      <c r="H296" s="2" t="inlineStr"/>
      <c r="I296" s="4" t="inlineStr">
        <is>
          <t>https://www.facebook.com/Broccoli.Brothers.Treetops.Plaza/</t>
        </is>
      </c>
      <c r="J296" s="2" t="inlineStr">
        <is>
          <t>+61 7 5522 0066</t>
        </is>
      </c>
      <c r="K296" s="2" t="inlineStr"/>
      <c r="L296" s="2" t="inlineStr">
        <is>
          <t>no website listed, only social media (verify on Google Maps)</t>
        </is>
      </c>
      <c r="M296" s="2" t="inlineStr">
        <is>
          <t>Hi Broccoli Brothers team! [one real detail from their page]. We're AceAds, a web design studio. We couldn't find a website for Broccoli Brothers, only your Facebook. We'd be happy to make you a free preview of what a website could look like. Want one? No cost, no obligation.</t>
        </is>
      </c>
      <c r="N296" s="4" t="inlineStr">
        <is>
          <t>Open map</t>
        </is>
      </c>
      <c r="O296" s="2" t="inlineStr">
        <is>
          <t>Not contacted</t>
        </is>
      </c>
      <c r="P296" s="2" t="inlineStr"/>
      <c r="Q296" s="2" t="inlineStr"/>
      <c r="R296" s="2" t="inlineStr"/>
      <c r="S296" s="2" t="inlineStr"/>
    </row>
    <row r="297">
      <c r="A297" s="2" t="n">
        <v>296</v>
      </c>
      <c r="B297" s="5" t="inlineStr">
        <is>
          <t>VERIFY FIRST</t>
        </is>
      </c>
      <c r="C297" s="2" t="inlineStr">
        <is>
          <t>No website found</t>
        </is>
      </c>
      <c r="D297" s="2" t="inlineStr">
        <is>
          <t>Gold Coast Growers Market</t>
        </is>
      </c>
      <c r="E297" s="2" t="inlineStr">
        <is>
          <t>deli or specialty food</t>
        </is>
      </c>
      <c r="F297" s="2" t="inlineStr">
        <is>
          <t>Gold Coast</t>
        </is>
      </c>
      <c r="G297" s="2" t="inlineStr">
        <is>
          <t>Facebook</t>
        </is>
      </c>
      <c r="H297" s="2" t="inlineStr"/>
      <c r="I297" s="4" t="inlineStr">
        <is>
          <t>https://www.facebook.com/p/Gold-Coast-Growers-Market-100063543881581/</t>
        </is>
      </c>
      <c r="J297" s="2" t="inlineStr">
        <is>
          <t>+61 412 697 263</t>
        </is>
      </c>
      <c r="K297" s="2" t="inlineStr"/>
      <c r="L297" s="2" t="inlineStr">
        <is>
          <t>no website listed, only social media (verify on Google Maps)</t>
        </is>
      </c>
      <c r="M297" s="2" t="inlineStr">
        <is>
          <t>Hi Gold Coast Growers Market team! [one real detail from their page]. We're AceAds, a web design studio. We couldn't find a website for Gold Coast Growers Market, only your Facebook. We'd be happy to make you a free preview of what a website could look like. Want one? No cost, no obligation.</t>
        </is>
      </c>
      <c r="N297" s="4" t="inlineStr">
        <is>
          <t>Open map</t>
        </is>
      </c>
      <c r="O297" s="2" t="inlineStr">
        <is>
          <t>Not contacted</t>
        </is>
      </c>
      <c r="P297" s="2" t="inlineStr"/>
      <c r="Q297" s="2" t="inlineStr"/>
      <c r="R297" s="2" t="inlineStr"/>
      <c r="S297" s="2" t="inlineStr"/>
    </row>
    <row r="298">
      <c r="A298" s="2" t="n">
        <v>297</v>
      </c>
      <c r="B298" s="5" t="inlineStr">
        <is>
          <t>VERIFY FIRST</t>
        </is>
      </c>
      <c r="C298" s="2" t="inlineStr">
        <is>
          <t>No website found</t>
        </is>
      </c>
      <c r="D298" s="2" t="inlineStr">
        <is>
          <t>Kingswood Park Butchery</t>
        </is>
      </c>
      <c r="E298" s="2" t="inlineStr">
        <is>
          <t>deli or specialty food</t>
        </is>
      </c>
      <c r="F298" s="2" t="inlineStr">
        <is>
          <t>Gold Coast</t>
        </is>
      </c>
      <c r="G298" s="2" t="inlineStr">
        <is>
          <t>Facebook</t>
        </is>
      </c>
      <c r="H298" s="2" t="inlineStr"/>
      <c r="I298" s="4" t="inlineStr">
        <is>
          <t>https://www.facebook.com/Kingswoodparkbutchery/</t>
        </is>
      </c>
      <c r="J298" s="2" t="inlineStr">
        <is>
          <t>+61 7 5534 4054</t>
        </is>
      </c>
      <c r="K298" s="2" t="inlineStr"/>
      <c r="L298" s="2" t="inlineStr">
        <is>
          <t>no website listed, only social media (verify on Google Maps)</t>
        </is>
      </c>
      <c r="M298" s="2" t="inlineStr">
        <is>
          <t>Hi Kingswood Park Butchery team! [one real detail from their page]. We're AceAds, a web design studio. We couldn't find a website for Kingswood Park Butchery, only your Facebook. We'd be happy to make you a free preview of what a website could look like. Want one? No cost, no obligation.</t>
        </is>
      </c>
      <c r="N298" s="4" t="inlineStr">
        <is>
          <t>Open map</t>
        </is>
      </c>
      <c r="O298" s="2" t="inlineStr">
        <is>
          <t>Not contacted</t>
        </is>
      </c>
      <c r="P298" s="2" t="inlineStr"/>
      <c r="Q298" s="2" t="inlineStr"/>
      <c r="R298" s="2" t="inlineStr"/>
      <c r="S298" s="2" t="inlineStr"/>
    </row>
    <row r="299">
      <c r="A299" s="2" t="n">
        <v>298</v>
      </c>
      <c r="B299" s="5" t="inlineStr">
        <is>
          <t>VERIFY FIRST</t>
        </is>
      </c>
      <c r="C299" s="2" t="inlineStr">
        <is>
          <t>No website found</t>
        </is>
      </c>
      <c r="D299" s="2" t="inlineStr">
        <is>
          <t>Lakeside Quality Meats</t>
        </is>
      </c>
      <c r="E299" s="2" t="inlineStr">
        <is>
          <t>deli or specialty food</t>
        </is>
      </c>
      <c r="F299" s="2" t="inlineStr">
        <is>
          <t>Gold Coast</t>
        </is>
      </c>
      <c r="G299" s="2" t="inlineStr">
        <is>
          <t>Instagram</t>
        </is>
      </c>
      <c r="H299" s="4" t="inlineStr">
        <is>
          <t>https://www.instagram.com/lakeside_quality_meats</t>
        </is>
      </c>
      <c r="I299" s="4" t="inlineStr">
        <is>
          <t>https://www.facebook.com/lakesidequalitymeatspalmbeach/</t>
        </is>
      </c>
      <c r="J299" s="2" t="inlineStr">
        <is>
          <t>+61 7 5534 5704</t>
        </is>
      </c>
      <c r="K299" s="2" t="inlineStr"/>
      <c r="L299" s="2" t="inlineStr">
        <is>
          <t>no website listed, only social media (verify on Google Maps)</t>
        </is>
      </c>
      <c r="M299" s="2" t="inlineStr">
        <is>
          <t>Hi Lakeside Quality Meats team! [one real detail from their page]. We're AceAds, a web design studio. We couldn't find a website for Lakeside Quality Meats, only your Instagram. We'd be happy to make you a free preview of what a website could look like. Want one? No cost, no obligation.</t>
        </is>
      </c>
      <c r="N299" s="4" t="inlineStr">
        <is>
          <t>Open map</t>
        </is>
      </c>
      <c r="O299" s="2" t="inlineStr">
        <is>
          <t>Not contacted</t>
        </is>
      </c>
      <c r="P299" s="2" t="inlineStr"/>
      <c r="Q299" s="2" t="inlineStr"/>
      <c r="R299" s="2" t="inlineStr"/>
      <c r="S299" s="2" t="inlineStr"/>
    </row>
    <row r="300">
      <c r="A300" s="2" t="n">
        <v>299</v>
      </c>
      <c r="B300" s="5" t="inlineStr">
        <is>
          <t>VERIFY FIRST</t>
        </is>
      </c>
      <c r="C300" s="2" t="inlineStr">
        <is>
          <t>No website found</t>
        </is>
      </c>
      <c r="D300" s="2" t="inlineStr">
        <is>
          <t>Loveday’s Quality Meats</t>
        </is>
      </c>
      <c r="E300" s="2" t="inlineStr">
        <is>
          <t>deli or specialty food</t>
        </is>
      </c>
      <c r="F300" s="2" t="inlineStr">
        <is>
          <t>Gold Coast</t>
        </is>
      </c>
      <c r="G300" s="2" t="inlineStr">
        <is>
          <t>Facebook</t>
        </is>
      </c>
      <c r="H300" s="2" t="inlineStr"/>
      <c r="I300" s="4" t="inlineStr">
        <is>
          <t>https://www.facebook.com/lovedaysqualitymeats/</t>
        </is>
      </c>
      <c r="J300" s="2" t="inlineStr">
        <is>
          <t>+61 7 5593 5023</t>
        </is>
      </c>
      <c r="K300" s="2" t="inlineStr"/>
      <c r="L300" s="2" t="inlineStr">
        <is>
          <t>no website listed, only social media (verify on Google Maps)</t>
        </is>
      </c>
      <c r="M300" s="2" t="inlineStr">
        <is>
          <t>Hi Loveday’s Quality Meats team! [one real detail from their page]. We're AceAds, a web design studio. We couldn't find a website for Loveday’s Quality Meats, only your Facebook. We'd be happy to make you a free preview of what a website could look like. Want one? No cost, no obligation.</t>
        </is>
      </c>
      <c r="N300" s="4" t="inlineStr">
        <is>
          <t>Open map</t>
        </is>
      </c>
      <c r="O300" s="2" t="inlineStr">
        <is>
          <t>Not contacted</t>
        </is>
      </c>
      <c r="P300" s="2" t="inlineStr"/>
      <c r="Q300" s="2" t="inlineStr"/>
      <c r="R300" s="2" t="inlineStr"/>
      <c r="S300" s="2" t="inlineStr"/>
    </row>
    <row r="301">
      <c r="A301" s="2" t="n">
        <v>300</v>
      </c>
      <c r="B301" s="5" t="inlineStr">
        <is>
          <t>VERIFY FIRST</t>
        </is>
      </c>
      <c r="C301" s="2" t="inlineStr">
        <is>
          <t>No website found</t>
        </is>
      </c>
      <c r="D301" s="2" t="inlineStr">
        <is>
          <t>Salt &amp; Smoke Meat Co</t>
        </is>
      </c>
      <c r="E301" s="2" t="inlineStr">
        <is>
          <t>deli or specialty food</t>
        </is>
      </c>
      <c r="F301" s="2" t="inlineStr">
        <is>
          <t>Gold Coast</t>
        </is>
      </c>
      <c r="G301" s="2" t="inlineStr">
        <is>
          <t>Instagram</t>
        </is>
      </c>
      <c r="H301" s="4" t="inlineStr">
        <is>
          <t>https://www.instagram.com/saltandsmoke_meatco/</t>
        </is>
      </c>
      <c r="I301" s="4" t="inlineStr">
        <is>
          <t>https://www.facebook.com/saltandsmokemeatco/</t>
        </is>
      </c>
      <c r="J301" s="2" t="inlineStr">
        <is>
          <t>+61 7 5690 3893</t>
        </is>
      </c>
      <c r="K301" s="2" t="inlineStr"/>
      <c r="L301" s="2" t="inlineStr">
        <is>
          <t>no website listed, only social media (verify on Google Maps)</t>
        </is>
      </c>
      <c r="M301" s="2" t="inlineStr">
        <is>
          <t>Hi Salt &amp; Smoke Meat Co team! [one real detail from their page]. We're AceAds, a web design studio. We couldn't find a website for Salt &amp; Smoke Meat Co, only your Instagram. We'd be happy to make you a free preview of what a website could look like. Want one? No cost, no obligation.</t>
        </is>
      </c>
      <c r="N301" s="4" t="inlineStr">
        <is>
          <t>Open map</t>
        </is>
      </c>
      <c r="O301" s="2" t="inlineStr">
        <is>
          <t>Not contacted</t>
        </is>
      </c>
      <c r="P301" s="2" t="inlineStr"/>
      <c r="Q301" s="2" t="inlineStr"/>
      <c r="R301" s="2" t="inlineStr"/>
      <c r="S301" s="2" t="inlineStr"/>
    </row>
    <row r="302">
      <c r="A302" s="2" t="n">
        <v>301</v>
      </c>
      <c r="B302" s="5" t="inlineStr">
        <is>
          <t>VERIFY FIRST</t>
        </is>
      </c>
      <c r="C302" s="2" t="inlineStr">
        <is>
          <t>No website found</t>
        </is>
      </c>
      <c r="D302" s="2" t="inlineStr">
        <is>
          <t>The Butcher's Table</t>
        </is>
      </c>
      <c r="E302" s="2" t="inlineStr">
        <is>
          <t>deli or specialty food</t>
        </is>
      </c>
      <c r="F302" s="2" t="inlineStr">
        <is>
          <t>Gold Coast</t>
        </is>
      </c>
      <c r="G302" s="2" t="inlineStr">
        <is>
          <t>Facebook</t>
        </is>
      </c>
      <c r="H302" s="2" t="inlineStr"/>
      <c r="I302" s="4" t="inlineStr">
        <is>
          <t>https://facebook.com/thebutcherstablenerang</t>
        </is>
      </c>
      <c r="J302" s="2" t="inlineStr">
        <is>
          <t>+61 7 5502 2019</t>
        </is>
      </c>
      <c r="K302" s="2" t="inlineStr"/>
      <c r="L302" s="2" t="inlineStr">
        <is>
          <t>no website listed, only social media (verify on Google Maps)</t>
        </is>
      </c>
      <c r="M302" s="2" t="inlineStr">
        <is>
          <t>Hi The Butcher's Table team! [one real detail from their page]. We're AceAds, a web design studio. We couldn't find a website for The Butcher's Table, only your Facebook. We'd be happy to make you a free preview of what a website could look like. Want one? No cost, no obligation.</t>
        </is>
      </c>
      <c r="N302" s="4" t="inlineStr">
        <is>
          <t>Open map</t>
        </is>
      </c>
      <c r="O302" s="2" t="inlineStr">
        <is>
          <t>Not contacted</t>
        </is>
      </c>
      <c r="P302" s="2" t="inlineStr"/>
      <c r="Q302" s="2" t="inlineStr"/>
      <c r="R302" s="2" t="inlineStr"/>
      <c r="S302" s="2" t="inlineStr"/>
    </row>
    <row r="303">
      <c r="A303" s="2" t="n">
        <v>302</v>
      </c>
      <c r="B303" s="5" t="inlineStr">
        <is>
          <t>VERIFY FIRST</t>
        </is>
      </c>
      <c r="C303" s="2" t="inlineStr">
        <is>
          <t>No website found</t>
        </is>
      </c>
      <c r="D303" s="2" t="inlineStr">
        <is>
          <t>Vish Fruit &amp; Veg</t>
        </is>
      </c>
      <c r="E303" s="2" t="inlineStr">
        <is>
          <t>deli or specialty food</t>
        </is>
      </c>
      <c r="F303" s="2" t="inlineStr">
        <is>
          <t>Gold Coast</t>
        </is>
      </c>
      <c r="G303" s="2" t="inlineStr">
        <is>
          <t>Instagram</t>
        </is>
      </c>
      <c r="H303" s="4" t="inlineStr">
        <is>
          <t>https://instagram.com/vishnusfreshfruitsanvegetables</t>
        </is>
      </c>
      <c r="I303" s="4" t="inlineStr">
        <is>
          <t>https://facebook.com/people/Vish-Fruit-veg/100063856403485</t>
        </is>
      </c>
      <c r="J303" s="2" t="inlineStr">
        <is>
          <t>+61 449 807 590</t>
        </is>
      </c>
      <c r="K303" s="2" t="inlineStr"/>
      <c r="L303" s="2" t="inlineStr">
        <is>
          <t>no website listed, only social media (verify on Google Maps)</t>
        </is>
      </c>
      <c r="M303" s="2" t="inlineStr">
        <is>
          <t>Hi Vish Fruit &amp; Veg team! [one real detail from their page]. We're AceAds, a web design studio. We couldn't find a website for Vish Fruit &amp; Veg, only your Instagram. We'd be happy to make you a free preview of what a website could look like. Want one? No cost, no obligation.</t>
        </is>
      </c>
      <c r="N303" s="4" t="inlineStr">
        <is>
          <t>Open map</t>
        </is>
      </c>
      <c r="O303" s="2" t="inlineStr">
        <is>
          <t>Not contacted</t>
        </is>
      </c>
      <c r="P303" s="2" t="inlineStr"/>
      <c r="Q303" s="2" t="inlineStr"/>
      <c r="R303" s="2" t="inlineStr"/>
      <c r="S303" s="2" t="inlineStr"/>
    </row>
    <row r="304">
      <c r="A304" s="2" t="n">
        <v>303</v>
      </c>
      <c r="B304" s="5" t="inlineStr">
        <is>
          <t>VERIFY FIRST</t>
        </is>
      </c>
      <c r="C304" s="2" t="inlineStr">
        <is>
          <t>No website found</t>
        </is>
      </c>
      <c r="D304" s="2" t="inlineStr">
        <is>
          <t>Impact Furniture Finishers</t>
        </is>
      </c>
      <c r="E304" s="2" t="inlineStr">
        <is>
          <t>gift or homewares</t>
        </is>
      </c>
      <c r="F304" s="2" t="inlineStr">
        <is>
          <t>Gold Coast</t>
        </is>
      </c>
      <c r="G304" s="2" t="inlineStr">
        <is>
          <t>Facebook</t>
        </is>
      </c>
      <c r="H304" s="2" t="inlineStr"/>
      <c r="I304" s="4" t="inlineStr">
        <is>
          <t>https://www.facebook.com/ImpactFurnitureFinishers/</t>
        </is>
      </c>
      <c r="J304" s="2" t="inlineStr">
        <is>
          <t>+61 7 5598 4155</t>
        </is>
      </c>
      <c r="K304" s="2" t="inlineStr"/>
      <c r="L304" s="2" t="inlineStr">
        <is>
          <t>no website listed, only social media (verify on Google Maps)</t>
        </is>
      </c>
      <c r="M304" s="2" t="inlineStr">
        <is>
          <t>Hi Impact Furniture Finishers team! [one real detail from their page]. We're AceAds, a web design studio. We couldn't find a website for Impact Furniture Finishers, only your Facebook. We'd be happy to make you a free preview of what a website could look like. Want one? No cost, no obligation.</t>
        </is>
      </c>
      <c r="N304" s="4" t="inlineStr">
        <is>
          <t>Open map</t>
        </is>
      </c>
      <c r="O304" s="2" t="inlineStr">
        <is>
          <t>Not contacted</t>
        </is>
      </c>
      <c r="P304" s="2" t="inlineStr"/>
      <c r="Q304" s="2" t="inlineStr"/>
      <c r="R304" s="2" t="inlineStr"/>
      <c r="S304" s="2" t="inlineStr"/>
    </row>
    <row r="305">
      <c r="A305" s="2" t="n">
        <v>304</v>
      </c>
      <c r="B305" s="5" t="inlineStr">
        <is>
          <t>VERIFY FIRST</t>
        </is>
      </c>
      <c r="C305" s="2" t="inlineStr">
        <is>
          <t>No website found</t>
        </is>
      </c>
      <c r="D305" s="2" t="inlineStr">
        <is>
          <t>Starke Fitness</t>
        </is>
      </c>
      <c r="E305" s="2" t="inlineStr">
        <is>
          <t>gym or studio</t>
        </is>
      </c>
      <c r="F305" s="2" t="inlineStr">
        <is>
          <t>Gold Coast</t>
        </is>
      </c>
      <c r="G305" s="2" t="inlineStr">
        <is>
          <t>Facebook</t>
        </is>
      </c>
      <c r="H305" s="2" t="inlineStr"/>
      <c r="I305" s="4" t="inlineStr">
        <is>
          <t>https://www.facebook.com/starketraining/</t>
        </is>
      </c>
      <c r="J305" s="2" t="inlineStr">
        <is>
          <t>+61 424 578 105</t>
        </is>
      </c>
      <c r="K305" s="2" t="inlineStr"/>
      <c r="L305" s="2" t="inlineStr">
        <is>
          <t>no website listed, only social media (verify on Google Maps)</t>
        </is>
      </c>
      <c r="M305" s="2" t="inlineStr">
        <is>
          <t>Hi Starke Fitness team! [one real detail from their page]. We're AceAds, a web design studio. We couldn't find a website for Starke Fitness, only your Facebook. We'd be happy to make you a free preview of what a website could look like. Want one? No cost, no obligation.</t>
        </is>
      </c>
      <c r="N305" s="4" t="inlineStr">
        <is>
          <t>Open map</t>
        </is>
      </c>
      <c r="O305" s="2" t="inlineStr">
        <is>
          <t>Not contacted</t>
        </is>
      </c>
      <c r="P305" s="2" t="inlineStr"/>
      <c r="Q305" s="2" t="inlineStr"/>
      <c r="R305" s="2" t="inlineStr"/>
      <c r="S305" s="2" t="inlineStr"/>
    </row>
    <row r="306">
      <c r="A306" s="2" t="n">
        <v>305</v>
      </c>
      <c r="B306" s="5" t="inlineStr">
        <is>
          <t>VERIFY FIRST</t>
        </is>
      </c>
      <c r="C306" s="2" t="inlineStr">
        <is>
          <t>No website found</t>
        </is>
      </c>
      <c r="D306" s="2" t="inlineStr">
        <is>
          <t>Bundall Smash Repairs</t>
        </is>
      </c>
      <c r="E306" s="2" t="inlineStr">
        <is>
          <t>mechanic</t>
        </is>
      </c>
      <c r="F306" s="2" t="inlineStr">
        <is>
          <t>Gold Coast</t>
        </is>
      </c>
      <c r="G306" s="2" t="inlineStr">
        <is>
          <t>Facebook</t>
        </is>
      </c>
      <c r="H306" s="2" t="inlineStr"/>
      <c r="I306" s="4" t="inlineStr">
        <is>
          <t>https://www.facebook.com/BundallSmash/</t>
        </is>
      </c>
      <c r="J306" s="2" t="inlineStr">
        <is>
          <t>+61 7 5570 3444</t>
        </is>
      </c>
      <c r="K306" s="2" t="inlineStr"/>
      <c r="L306" s="2" t="inlineStr">
        <is>
          <t>no website listed, only social media (verify on Google Maps)</t>
        </is>
      </c>
      <c r="M306" s="2" t="inlineStr">
        <is>
          <t>Hi Bundall Smash Repairs team! [one real detail from their page]. We're AceAds, a web design studio. We couldn't find a website for Bundall Smash Repairs, only your Facebook. We'd be happy to make you a free preview of what a website could look like. Want one? No cost, no obligation.</t>
        </is>
      </c>
      <c r="N306" s="4" t="inlineStr">
        <is>
          <t>Open map</t>
        </is>
      </c>
      <c r="O306" s="2" t="inlineStr">
        <is>
          <t>Not contacted</t>
        </is>
      </c>
      <c r="P306" s="2" t="inlineStr"/>
      <c r="Q306" s="2" t="inlineStr"/>
      <c r="R306" s="2" t="inlineStr"/>
      <c r="S306" s="2" t="inlineStr"/>
    </row>
    <row r="307">
      <c r="A307" s="2" t="n">
        <v>306</v>
      </c>
      <c r="B307" s="5" t="inlineStr">
        <is>
          <t>VERIFY FIRST</t>
        </is>
      </c>
      <c r="C307" s="2" t="inlineStr">
        <is>
          <t>No website found</t>
        </is>
      </c>
      <c r="D307" s="2" t="inlineStr">
        <is>
          <t>Craig's Detailing</t>
        </is>
      </c>
      <c r="E307" s="2" t="inlineStr">
        <is>
          <t>mechanic</t>
        </is>
      </c>
      <c r="F307" s="2" t="inlineStr">
        <is>
          <t>Gold Coast</t>
        </is>
      </c>
      <c r="G307" s="2" t="inlineStr">
        <is>
          <t>Facebook</t>
        </is>
      </c>
      <c r="H307" s="2" t="inlineStr"/>
      <c r="I307" s="4" t="inlineStr">
        <is>
          <t>https://www.facebook.com/Craigs-Detailing-118049508275423/</t>
        </is>
      </c>
      <c r="J307" s="2" t="inlineStr"/>
      <c r="K307" s="2" t="inlineStr"/>
      <c r="L307" s="2" t="inlineStr">
        <is>
          <t>no website listed, only social media (verify on Google Maps)</t>
        </is>
      </c>
      <c r="M307" s="2" t="inlineStr">
        <is>
          <t>Hi Craig's Detailing team! [one real detail from their page]. We're AceAds, a web design studio. We couldn't find a website for Craig's Detailing, only your Facebook. We'd be happy to make you a free preview of what a website could look like. Want one? No cost, no obligation.</t>
        </is>
      </c>
      <c r="N307" s="4" t="inlineStr">
        <is>
          <t>Open map</t>
        </is>
      </c>
      <c r="O307" s="2" t="inlineStr">
        <is>
          <t>Not contacted</t>
        </is>
      </c>
      <c r="P307" s="2" t="inlineStr"/>
      <c r="Q307" s="2" t="inlineStr"/>
      <c r="R307" s="2" t="inlineStr"/>
      <c r="S307" s="2" t="inlineStr"/>
    </row>
    <row r="308">
      <c r="A308" s="2" t="n">
        <v>307</v>
      </c>
      <c r="B308" s="5" t="inlineStr">
        <is>
          <t>VERIFY FIRST</t>
        </is>
      </c>
      <c r="C308" s="2" t="inlineStr">
        <is>
          <t>No website found</t>
        </is>
      </c>
      <c r="D308" s="2" t="inlineStr">
        <is>
          <t>George Gray Motors</t>
        </is>
      </c>
      <c r="E308" s="2" t="inlineStr">
        <is>
          <t>mechanic</t>
        </is>
      </c>
      <c r="F308" s="2" t="inlineStr">
        <is>
          <t>Gold Coast</t>
        </is>
      </c>
      <c r="G308" s="2" t="inlineStr">
        <is>
          <t>Facebook</t>
        </is>
      </c>
      <c r="H308" s="2" t="inlineStr"/>
      <c r="I308" s="4" t="inlineStr">
        <is>
          <t>https://www.facebook.com/pages/category/Automotive-Repair-Shop/George-Gray-Motors-1800438436943462/</t>
        </is>
      </c>
      <c r="J308" s="2" t="inlineStr">
        <is>
          <t>+61 7 5576 3202</t>
        </is>
      </c>
      <c r="K308" s="2" t="inlineStr"/>
      <c r="L308" s="2" t="inlineStr">
        <is>
          <t>no website listed, only social media (verify on Google Maps)</t>
        </is>
      </c>
      <c r="M308" s="2" t="inlineStr">
        <is>
          <t>Hi George Gray Motors team! [one real detail from their page]. We're AceAds, a web design studio. We couldn't find a website for George Gray Motors, only your Facebook. We'd be happy to make you a free preview of what a website could look like. Want one? No cost, no obligation.</t>
        </is>
      </c>
      <c r="N308" s="4" t="inlineStr">
        <is>
          <t>Open map</t>
        </is>
      </c>
      <c r="O308" s="2" t="inlineStr">
        <is>
          <t>Not contacted</t>
        </is>
      </c>
      <c r="P308" s="2" t="inlineStr"/>
      <c r="Q308" s="2" t="inlineStr"/>
      <c r="R308" s="2" t="inlineStr"/>
      <c r="S308" s="2" t="inlineStr"/>
    </row>
    <row r="309">
      <c r="A309" s="2" t="n">
        <v>308</v>
      </c>
      <c r="B309" s="5" t="inlineStr">
        <is>
          <t>VERIFY FIRST</t>
        </is>
      </c>
      <c r="C309" s="2" t="inlineStr">
        <is>
          <t>No website found</t>
        </is>
      </c>
      <c r="D309" s="2" t="inlineStr">
        <is>
          <t>Guys Bodyworks</t>
        </is>
      </c>
      <c r="E309" s="2" t="inlineStr">
        <is>
          <t>mechanic</t>
        </is>
      </c>
      <c r="F309" s="2" t="inlineStr">
        <is>
          <t>Gold Coast</t>
        </is>
      </c>
      <c r="G309" s="2" t="inlineStr">
        <is>
          <t>Facebook</t>
        </is>
      </c>
      <c r="H309" s="2" t="inlineStr"/>
      <c r="I309" s="4" t="inlineStr">
        <is>
          <t>https://www.facebook.com/pages/Guys-Bodyworks-Southport/190128311365007</t>
        </is>
      </c>
      <c r="J309" s="2" t="inlineStr">
        <is>
          <t>+61 7 5532 1392</t>
        </is>
      </c>
      <c r="K309" s="2" t="inlineStr"/>
      <c r="L309" s="2" t="inlineStr">
        <is>
          <t>no website listed, only social media (verify on Google Maps)</t>
        </is>
      </c>
      <c r="M309" s="2" t="inlineStr">
        <is>
          <t>Hi Guys Bodyworks team! [one real detail from their page]. We're AceAds, a web design studio. We couldn't find a website for Guys Bodyworks, only your Facebook. We'd be happy to make you a free preview of what a website could look like. Want one? No cost, no obligation.</t>
        </is>
      </c>
      <c r="N309" s="4" t="inlineStr">
        <is>
          <t>Open map</t>
        </is>
      </c>
      <c r="O309" s="2" t="inlineStr">
        <is>
          <t>Not contacted</t>
        </is>
      </c>
      <c r="P309" s="2" t="inlineStr"/>
      <c r="Q309" s="2" t="inlineStr"/>
      <c r="R309" s="2" t="inlineStr"/>
      <c r="S309" s="2" t="inlineStr"/>
    </row>
    <row r="310">
      <c r="A310" s="2" t="n">
        <v>309</v>
      </c>
      <c r="B310" s="5" t="inlineStr">
        <is>
          <t>VERIFY FIRST</t>
        </is>
      </c>
      <c r="C310" s="2" t="inlineStr">
        <is>
          <t>No website found</t>
        </is>
      </c>
      <c r="D310" s="2" t="inlineStr">
        <is>
          <t>ToyoTechniks</t>
        </is>
      </c>
      <c r="E310" s="2" t="inlineStr">
        <is>
          <t>mechanic</t>
        </is>
      </c>
      <c r="F310" s="2" t="inlineStr">
        <is>
          <t>Gold Coast</t>
        </is>
      </c>
      <c r="G310" s="2" t="inlineStr">
        <is>
          <t>Facebook</t>
        </is>
      </c>
      <c r="H310" s="2" t="inlineStr"/>
      <c r="I310" s="4" t="inlineStr">
        <is>
          <t>https://www.facebook.com/p/Toyotechniks-100063546062838/</t>
        </is>
      </c>
      <c r="J310" s="2" t="inlineStr">
        <is>
          <t>+61 7 5591 1449</t>
        </is>
      </c>
      <c r="K310" s="2" t="inlineStr"/>
      <c r="L310" s="2" t="inlineStr">
        <is>
          <t>no website listed, only social media (verify on Google Maps)</t>
        </is>
      </c>
      <c r="M310" s="2" t="inlineStr">
        <is>
          <t>Hi ToyoTechniks team! [one real detail from their page]. We're AceAds, a web design studio. We couldn't find a website for ToyoTechniks, only your Facebook. We'd be happy to make you a free preview of what a website could look like. Want one? No cost, no obligation.</t>
        </is>
      </c>
      <c r="N310" s="4" t="inlineStr">
        <is>
          <t>Open map</t>
        </is>
      </c>
      <c r="O310" s="2" t="inlineStr">
        <is>
          <t>Not contacted</t>
        </is>
      </c>
      <c r="P310" s="2" t="inlineStr"/>
      <c r="Q310" s="2" t="inlineStr"/>
      <c r="R310" s="2" t="inlineStr"/>
      <c r="S310" s="2" t="inlineStr"/>
    </row>
    <row r="311">
      <c r="A311" s="2" t="n">
        <v>310</v>
      </c>
      <c r="B311" s="5" t="inlineStr">
        <is>
          <t>VERIFY FIRST</t>
        </is>
      </c>
      <c r="C311" s="2" t="inlineStr">
        <is>
          <t>No website found</t>
        </is>
      </c>
      <c r="D311" s="2" t="inlineStr">
        <is>
          <t>Woodys Auto Electrics</t>
        </is>
      </c>
      <c r="E311" s="2" t="inlineStr">
        <is>
          <t>mechanic</t>
        </is>
      </c>
      <c r="F311" s="2" t="inlineStr">
        <is>
          <t>Gold Coast</t>
        </is>
      </c>
      <c r="G311" s="2" t="inlineStr">
        <is>
          <t>Facebook</t>
        </is>
      </c>
      <c r="H311" s="2" t="inlineStr"/>
      <c r="I311" s="4" t="inlineStr">
        <is>
          <t>https://www.facebook.com/p/Woodys-Auto-Electrics-100054551465189/</t>
        </is>
      </c>
      <c r="J311" s="2" t="inlineStr">
        <is>
          <t>+61 7 5575 2312</t>
        </is>
      </c>
      <c r="K311" s="2" t="inlineStr"/>
      <c r="L311" s="2" t="inlineStr">
        <is>
          <t>no website listed, only social media (verify on Google Maps)</t>
        </is>
      </c>
      <c r="M311" s="2" t="inlineStr">
        <is>
          <t>Hi Woodys Auto Electrics team! [one real detail from their page]. We're AceAds, a web design studio. We couldn't find a website for Woodys Auto Electrics, only your Facebook. We'd be happy to make you a free preview of what a website could look like. Want one? No cost, no obligation.</t>
        </is>
      </c>
      <c r="N311" s="4" t="inlineStr">
        <is>
          <t>Open map</t>
        </is>
      </c>
      <c r="O311" s="2" t="inlineStr">
        <is>
          <t>Not contacted</t>
        </is>
      </c>
      <c r="P311" s="2" t="inlineStr"/>
      <c r="Q311" s="2" t="inlineStr"/>
      <c r="R311" s="2" t="inlineStr"/>
      <c r="S311" s="2" t="inlineStr"/>
    </row>
    <row r="312">
      <c r="A312" s="2" t="n">
        <v>311</v>
      </c>
      <c r="B312" s="5" t="inlineStr">
        <is>
          <t>VERIFY FIRST</t>
        </is>
      </c>
      <c r="C312" s="2" t="inlineStr">
        <is>
          <t>No website found</t>
        </is>
      </c>
      <c r="D312" s="2" t="inlineStr">
        <is>
          <t>Burleigh Pet &amp; Stockfeed Supplies</t>
        </is>
      </c>
      <c r="E312" s="2" t="inlineStr">
        <is>
          <t>pet business</t>
        </is>
      </c>
      <c r="F312" s="2" t="inlineStr">
        <is>
          <t>Gold Coast</t>
        </is>
      </c>
      <c r="G312" s="2" t="inlineStr">
        <is>
          <t>Facebook</t>
        </is>
      </c>
      <c r="H312" s="2" t="inlineStr"/>
      <c r="I312" s="4" t="inlineStr">
        <is>
          <t>https://www.facebook.com/pg/Burleigh-Pet-Stockfeed-Supplies-893075937451992/about/</t>
        </is>
      </c>
      <c r="J312" s="2" t="inlineStr">
        <is>
          <t>+61 7 5520 6662</t>
        </is>
      </c>
      <c r="K312" s="2" t="inlineStr"/>
      <c r="L312" s="2" t="inlineStr">
        <is>
          <t>no website listed, only social media (verify on Google Maps)</t>
        </is>
      </c>
      <c r="M312" s="2" t="inlineStr">
        <is>
          <t>Hi Burleigh Pet &amp; Stockfeed Supplies team! [one real detail from their page]. We're AceAds, a web design studio. We couldn't find a website for Burleigh Pet &amp; Stockfeed Supplies, only your Facebook. We'd be happy to make you a free preview of what a website could look like. Want one? No cost, no obligation.</t>
        </is>
      </c>
      <c r="N312" s="4" t="inlineStr">
        <is>
          <t>Open map</t>
        </is>
      </c>
      <c r="O312" s="2" t="inlineStr">
        <is>
          <t>Not contacted</t>
        </is>
      </c>
      <c r="P312" s="2" t="inlineStr"/>
      <c r="Q312" s="2" t="inlineStr"/>
      <c r="R312" s="2" t="inlineStr"/>
      <c r="S312" s="2" t="inlineStr"/>
    </row>
    <row r="313">
      <c r="A313" s="2" t="n">
        <v>312</v>
      </c>
      <c r="B313" s="5" t="inlineStr">
        <is>
          <t>VERIFY FIRST</t>
        </is>
      </c>
      <c r="C313" s="2" t="inlineStr">
        <is>
          <t>No website found</t>
        </is>
      </c>
      <c r="D313" s="2" t="inlineStr">
        <is>
          <t>German Sausages</t>
        </is>
      </c>
      <c r="E313" s="2" t="inlineStr">
        <is>
          <t>restaurant</t>
        </is>
      </c>
      <c r="F313" s="2" t="inlineStr">
        <is>
          <t>Gold Coast</t>
        </is>
      </c>
      <c r="G313" s="2" t="inlineStr">
        <is>
          <t>Facebook</t>
        </is>
      </c>
      <c r="H313" s="2" t="inlineStr"/>
      <c r="I313" s="4" t="inlineStr">
        <is>
          <t>https://www.facebook.com/www.facebook.com/pages/german-Sausages</t>
        </is>
      </c>
      <c r="J313" s="2" t="inlineStr"/>
      <c r="K313" s="2" t="inlineStr"/>
      <c r="L313" s="2" t="inlineStr">
        <is>
          <t>no website listed, only social media (verify on Google Maps)</t>
        </is>
      </c>
      <c r="M313" s="2" t="inlineStr">
        <is>
          <t>Hi German Sausages team! [one real detail from their page]. We're AceAds, a web design studio. We couldn't find a website for German Sausages, only your Facebook. We'd be happy to make you a free preview of what a website could look like. Want one? No cost, no obligation.</t>
        </is>
      </c>
      <c r="N313" s="4" t="inlineStr">
        <is>
          <t>Open map</t>
        </is>
      </c>
      <c r="O313" s="2" t="inlineStr">
        <is>
          <t>Not contacted</t>
        </is>
      </c>
      <c r="P313" s="2" t="inlineStr"/>
      <c r="Q313" s="2" t="inlineStr"/>
      <c r="R313" s="2" t="inlineStr"/>
      <c r="S313" s="2" t="inlineStr"/>
    </row>
    <row r="314">
      <c r="A314" s="2" t="n">
        <v>313</v>
      </c>
      <c r="B314" s="5" t="inlineStr">
        <is>
          <t>VERIFY FIRST</t>
        </is>
      </c>
      <c r="C314" s="2" t="inlineStr">
        <is>
          <t>No website found</t>
        </is>
      </c>
      <c r="D314" s="2" t="inlineStr">
        <is>
          <t>Magic Wok Chinese Restaurant</t>
        </is>
      </c>
      <c r="E314" s="2" t="inlineStr">
        <is>
          <t>restaurant</t>
        </is>
      </c>
      <c r="F314" s="2" t="inlineStr">
        <is>
          <t>Gold Coast</t>
        </is>
      </c>
      <c r="G314" s="2" t="inlineStr">
        <is>
          <t>Facebook</t>
        </is>
      </c>
      <c r="H314" s="2" t="inlineStr"/>
      <c r="I314" s="4" t="inlineStr">
        <is>
          <t>https://www.facebook.com/profile.php?id=100065273629487</t>
        </is>
      </c>
      <c r="J314" s="2" t="inlineStr">
        <is>
          <t>+61 7 5535 8619</t>
        </is>
      </c>
      <c r="K314" s="2" t="inlineStr"/>
      <c r="L314" s="2" t="inlineStr">
        <is>
          <t>no website listed, only social media (verify on Google Maps)</t>
        </is>
      </c>
      <c r="M314" s="2" t="inlineStr">
        <is>
          <t>Hi Magic Wok Chinese Restaurant team! [one real detail from their page]. We're AceAds, a web design studio. We couldn't find a website for Magic Wok Chinese Restaurant, only your Facebook. We'd be happy to make you a free preview of what a website could look like. Want one? No cost, no obligation.</t>
        </is>
      </c>
      <c r="N314" s="4" t="inlineStr">
        <is>
          <t>Open map</t>
        </is>
      </c>
      <c r="O314" s="2" t="inlineStr">
        <is>
          <t>Not contacted</t>
        </is>
      </c>
      <c r="P314" s="2" t="inlineStr"/>
      <c r="Q314" s="2" t="inlineStr"/>
      <c r="R314" s="2" t="inlineStr"/>
      <c r="S314" s="2" t="inlineStr"/>
    </row>
    <row r="315">
      <c r="A315" s="2" t="n">
        <v>314</v>
      </c>
      <c r="B315" s="5" t="inlineStr">
        <is>
          <t>VERIFY FIRST</t>
        </is>
      </c>
      <c r="C315" s="2" t="inlineStr">
        <is>
          <t>No website found</t>
        </is>
      </c>
      <c r="D315" s="2" t="inlineStr">
        <is>
          <t>Master Sushi</t>
        </is>
      </c>
      <c r="E315" s="2" t="inlineStr">
        <is>
          <t>restaurant</t>
        </is>
      </c>
      <c r="F315" s="2" t="inlineStr">
        <is>
          <t>Gold Coast</t>
        </is>
      </c>
      <c r="G315" s="2" t="inlineStr">
        <is>
          <t>Facebook</t>
        </is>
      </c>
      <c r="H315" s="2" t="inlineStr"/>
      <c r="I315" s="4" t="inlineStr">
        <is>
          <t>https://www.facebook.com/pages/Master-Sushi/157277494310497</t>
        </is>
      </c>
      <c r="J315" s="2" t="inlineStr">
        <is>
          <t>+61 7 5526 7557</t>
        </is>
      </c>
      <c r="K315" s="2" t="inlineStr"/>
      <c r="L315" s="2" t="inlineStr">
        <is>
          <t>no website listed, only social media (verify on Google Maps)</t>
        </is>
      </c>
      <c r="M315" s="2" t="inlineStr">
        <is>
          <t>Hi Master Sushi team! [one real detail from their page]. We're AceAds, a web design studio. We couldn't find a website for Master Sushi, only your Facebook. We'd be happy to make you a free preview of what a website could look like. Want one? No cost, no obligation.</t>
        </is>
      </c>
      <c r="N315" s="4" t="inlineStr">
        <is>
          <t>Open map</t>
        </is>
      </c>
      <c r="O315" s="2" t="inlineStr">
        <is>
          <t>Not contacted</t>
        </is>
      </c>
      <c r="P315" s="2" t="inlineStr"/>
      <c r="Q315" s="2" t="inlineStr"/>
      <c r="R315" s="2" t="inlineStr"/>
      <c r="S315" s="2" t="inlineStr"/>
    </row>
    <row r="316">
      <c r="A316" s="2" t="n">
        <v>315</v>
      </c>
      <c r="B316" s="5" t="inlineStr">
        <is>
          <t>VERIFY FIRST</t>
        </is>
      </c>
      <c r="C316" s="2" t="inlineStr">
        <is>
          <t>No website found</t>
        </is>
      </c>
      <c r="D316" s="2" t="inlineStr">
        <is>
          <t>Michael's Kitchen</t>
        </is>
      </c>
      <c r="E316" s="2" t="inlineStr">
        <is>
          <t>restaurant</t>
        </is>
      </c>
      <c r="F316" s="2" t="inlineStr">
        <is>
          <t>Gold Coast</t>
        </is>
      </c>
      <c r="G316" s="2" t="inlineStr">
        <is>
          <t>Facebook</t>
        </is>
      </c>
      <c r="H316" s="2" t="inlineStr"/>
      <c r="I316" s="4" t="inlineStr">
        <is>
          <t>https://www.facebook.com/p/Michaels-Kitchen-Chinese-Takeaway-100063715285734/</t>
        </is>
      </c>
      <c r="J316" s="2" t="inlineStr">
        <is>
          <t>+61 7 5523 1833</t>
        </is>
      </c>
      <c r="K316" s="2" t="inlineStr"/>
      <c r="L316" s="2" t="inlineStr">
        <is>
          <t>no website listed, only social media (verify on Google Maps)</t>
        </is>
      </c>
      <c r="M316" s="2" t="inlineStr">
        <is>
          <t>Hi Michael's Kitchen team! [one real detail from their page]. We're AceAds, a web design studio. We couldn't find a website for Michael's Kitchen, only your Facebook. We'd be happy to make you a free preview of what a website could look like. Want one? No cost, no obligation.</t>
        </is>
      </c>
      <c r="N316" s="4" t="inlineStr">
        <is>
          <t>Open map</t>
        </is>
      </c>
      <c r="O316" s="2" t="inlineStr">
        <is>
          <t>Not contacted</t>
        </is>
      </c>
      <c r="P316" s="2" t="inlineStr"/>
      <c r="Q316" s="2" t="inlineStr"/>
      <c r="R316" s="2" t="inlineStr"/>
      <c r="S316" s="2" t="inlineStr"/>
    </row>
    <row r="317">
      <c r="A317" s="2" t="n">
        <v>316</v>
      </c>
      <c r="B317" s="5" t="inlineStr">
        <is>
          <t>VERIFY FIRST</t>
        </is>
      </c>
      <c r="C317" s="2" t="inlineStr">
        <is>
          <t>No website found</t>
        </is>
      </c>
      <c r="D317" s="2" t="inlineStr">
        <is>
          <t>Shogun Japanese</t>
        </is>
      </c>
      <c r="E317" s="2" t="inlineStr">
        <is>
          <t>restaurant</t>
        </is>
      </c>
      <c r="F317" s="2" t="inlineStr">
        <is>
          <t>Gold Coast</t>
        </is>
      </c>
      <c r="G317" s="2" t="inlineStr">
        <is>
          <t>Facebook</t>
        </is>
      </c>
      <c r="H317" s="2" t="inlineStr"/>
      <c r="I317" s="4" t="inlineStr">
        <is>
          <t>https://www.facebook.com/goldcoastshogunjapaneserestaurant</t>
        </is>
      </c>
      <c r="J317" s="2" t="inlineStr">
        <is>
          <t>+61 7 5528 6998</t>
        </is>
      </c>
      <c r="K317" s="2" t="inlineStr"/>
      <c r="L317" s="2" t="inlineStr">
        <is>
          <t>no website listed, only social media (verify on Google Maps)</t>
        </is>
      </c>
      <c r="M317" s="2" t="inlineStr">
        <is>
          <t>Hi Shogun Japanese team! [one real detail from their page]. We're AceAds, a web design studio. We couldn't find a website for Shogun Japanese, only your Facebook. We'd be happy to make you a free preview of what a website could look like. Want one? No cost, no obligation.</t>
        </is>
      </c>
      <c r="N317" s="4" t="inlineStr">
        <is>
          <t>Open map</t>
        </is>
      </c>
      <c r="O317" s="2" t="inlineStr">
        <is>
          <t>Not contacted</t>
        </is>
      </c>
      <c r="P317" s="2" t="inlineStr"/>
      <c r="Q317" s="2" t="inlineStr"/>
      <c r="R317" s="2" t="inlineStr"/>
      <c r="S317" s="2" t="inlineStr"/>
    </row>
    <row r="318">
      <c r="A318" s="2" t="n">
        <v>317</v>
      </c>
      <c r="B318" s="5" t="inlineStr">
        <is>
          <t>VERIFY FIRST</t>
        </is>
      </c>
      <c r="C318" s="2" t="inlineStr">
        <is>
          <t>No website found</t>
        </is>
      </c>
      <c r="D318" s="2" t="inlineStr">
        <is>
          <t>Sogno Italiano</t>
        </is>
      </c>
      <c r="E318" s="2" t="inlineStr">
        <is>
          <t>restaurant</t>
        </is>
      </c>
      <c r="F318" s="2" t="inlineStr">
        <is>
          <t>Gold Coast</t>
        </is>
      </c>
      <c r="G318" s="2" t="inlineStr">
        <is>
          <t>Facebook</t>
        </is>
      </c>
      <c r="H318" s="2" t="inlineStr"/>
      <c r="I318" s="4" t="inlineStr">
        <is>
          <t>https://www.facebook.com/sognoitalian0/</t>
        </is>
      </c>
      <c r="J318" s="2" t="inlineStr">
        <is>
          <t>+61 7 5633 4494</t>
        </is>
      </c>
      <c r="K318" s="2" t="inlineStr"/>
      <c r="L318" s="2" t="inlineStr">
        <is>
          <t>no website listed, only social media (verify on Google Maps)</t>
        </is>
      </c>
      <c r="M318" s="2" t="inlineStr">
        <is>
          <t>Hi Sogno Italiano team! [one real detail from their page]. We're AceAds, a web design studio. We couldn't find a website for Sogno Italiano, only your Facebook. We'd be happy to make you a free preview of what a website could look like. Want one? No cost, no obligation.</t>
        </is>
      </c>
      <c r="N318" s="4" t="inlineStr">
        <is>
          <t>Open map</t>
        </is>
      </c>
      <c r="O318" s="2" t="inlineStr">
        <is>
          <t>Not contacted</t>
        </is>
      </c>
      <c r="P318" s="2" t="inlineStr"/>
      <c r="Q318" s="2" t="inlineStr"/>
      <c r="R318" s="2" t="inlineStr"/>
      <c r="S318" s="2" t="inlineStr"/>
    </row>
    <row r="319">
      <c r="A319" s="2" t="n">
        <v>318</v>
      </c>
      <c r="B319" s="5" t="inlineStr">
        <is>
          <t>VERIFY FIRST</t>
        </is>
      </c>
      <c r="C319" s="2" t="inlineStr">
        <is>
          <t>No website found</t>
        </is>
      </c>
      <c r="D319" s="2" t="inlineStr">
        <is>
          <t>Supranee’s Pork Crackling</t>
        </is>
      </c>
      <c r="E319" s="2" t="inlineStr">
        <is>
          <t>restaurant</t>
        </is>
      </c>
      <c r="F319" s="2" t="inlineStr">
        <is>
          <t>Gold Coast</t>
        </is>
      </c>
      <c r="G319" s="2" t="inlineStr">
        <is>
          <t>Facebook</t>
        </is>
      </c>
      <c r="H319" s="2" t="inlineStr"/>
      <c r="I319" s="4" t="inlineStr">
        <is>
          <t>https://www.facebook.com/p/Supranees-pork-crackling-thai-groceries-100064069959236/</t>
        </is>
      </c>
      <c r="J319" s="2" t="inlineStr">
        <is>
          <t>+61 7 5533 9284</t>
        </is>
      </c>
      <c r="K319" s="2" t="inlineStr"/>
      <c r="L319" s="2" t="inlineStr">
        <is>
          <t>no website listed, only social media (verify on Google Maps)</t>
        </is>
      </c>
      <c r="M319" s="2" t="inlineStr">
        <is>
          <t>Hi Supranee’s Pork Crackling team! [one real detail from their page]. We're AceAds, a web design studio. We couldn't find a website for Supranee’s Pork Crackling, only your Facebook. We'd be happy to make you a free preview of what a website could look like. Want one? No cost, no obligation.</t>
        </is>
      </c>
      <c r="N319" s="4" t="inlineStr">
        <is>
          <t>Open map</t>
        </is>
      </c>
      <c r="O319" s="2" t="inlineStr">
        <is>
          <t>Not contacted</t>
        </is>
      </c>
      <c r="P319" s="2" t="inlineStr"/>
      <c r="Q319" s="2" t="inlineStr"/>
      <c r="R319" s="2" t="inlineStr"/>
      <c r="S319" s="2" t="inlineStr"/>
    </row>
    <row r="320">
      <c r="A320" s="2" t="n">
        <v>319</v>
      </c>
      <c r="B320" s="5" t="inlineStr">
        <is>
          <t>VERIFY FIRST</t>
        </is>
      </c>
      <c r="C320" s="2" t="inlineStr">
        <is>
          <t>No website found</t>
        </is>
      </c>
      <c r="D320" s="2" t="inlineStr">
        <is>
          <t>Sushi Train</t>
        </is>
      </c>
      <c r="E320" s="2" t="inlineStr">
        <is>
          <t>restaurant</t>
        </is>
      </c>
      <c r="F320" s="2" t="inlineStr">
        <is>
          <t>Gold Coast</t>
        </is>
      </c>
      <c r="G320" s="2" t="inlineStr">
        <is>
          <t>Instagram</t>
        </is>
      </c>
      <c r="H320" s="4" t="inlineStr">
        <is>
          <t>https://www.instagram.com/sushitrain_coomera/</t>
        </is>
      </c>
      <c r="I320" s="2" t="inlineStr"/>
      <c r="J320" s="2" t="inlineStr"/>
      <c r="K320" s="2" t="inlineStr"/>
      <c r="L320" s="2" t="inlineStr">
        <is>
          <t>no website listed, only social media (verify on Google Maps)</t>
        </is>
      </c>
      <c r="M320" s="2" t="inlineStr">
        <is>
          <t>Hi Sushi Train team! [one real detail from their page]. We're AceAds, a web design studio. We couldn't find a website for Sushi Train, only your Instagram. We'd be happy to make you a free preview of what a website could look like. Want one? No cost, no obligation.</t>
        </is>
      </c>
      <c r="N320" s="4" t="inlineStr">
        <is>
          <t>Open map</t>
        </is>
      </c>
      <c r="O320" s="2" t="inlineStr">
        <is>
          <t>Not contacted</t>
        </is>
      </c>
      <c r="P320" s="2" t="inlineStr"/>
      <c r="Q320" s="2" t="inlineStr"/>
      <c r="R320" s="2" t="inlineStr"/>
      <c r="S320" s="2" t="inlineStr"/>
    </row>
    <row r="321">
      <c r="A321" s="2" t="n">
        <v>320</v>
      </c>
      <c r="B321" s="5" t="inlineStr">
        <is>
          <t>VERIFY FIRST</t>
        </is>
      </c>
      <c r="C321" s="2" t="inlineStr">
        <is>
          <t>No website found</t>
        </is>
      </c>
      <c r="D321" s="2" t="inlineStr">
        <is>
          <t>Sushi at Palm Beach</t>
        </is>
      </c>
      <c r="E321" s="2" t="inlineStr">
        <is>
          <t>restaurant</t>
        </is>
      </c>
      <c r="F321" s="2" t="inlineStr">
        <is>
          <t>Gold Coast</t>
        </is>
      </c>
      <c r="G321" s="2" t="inlineStr">
        <is>
          <t>Facebook</t>
        </is>
      </c>
      <c r="H321" s="2" t="inlineStr"/>
      <c r="I321" s="4" t="inlineStr">
        <is>
          <t>https://www.facebook.com/SushiAtPalmBeach/</t>
        </is>
      </c>
      <c r="J321" s="2" t="inlineStr">
        <is>
          <t>+61 7 5534 6911</t>
        </is>
      </c>
      <c r="K321" s="2" t="inlineStr"/>
      <c r="L321" s="2" t="inlineStr">
        <is>
          <t>no website listed, only social media (verify on Google Maps)</t>
        </is>
      </c>
      <c r="M321" s="2" t="inlineStr">
        <is>
          <t>Hi Sushi at Palm Beach team! [one real detail from their page]. We're AceAds, a web design studio. We couldn't find a website for Sushi at Palm Beach, only your Facebook. We'd be happy to make you a free preview of what a website could look like. Want one? No cost, no obligation.</t>
        </is>
      </c>
      <c r="N321" s="4" t="inlineStr">
        <is>
          <t>Open map</t>
        </is>
      </c>
      <c r="O321" s="2" t="inlineStr">
        <is>
          <t>Not contacted</t>
        </is>
      </c>
      <c r="P321" s="2" t="inlineStr"/>
      <c r="Q321" s="2" t="inlineStr"/>
      <c r="R321" s="2" t="inlineStr"/>
      <c r="S321" s="2" t="inlineStr"/>
    </row>
    <row r="322">
      <c r="A322" s="2" t="n">
        <v>321</v>
      </c>
      <c r="B322" s="5" t="inlineStr">
        <is>
          <t>VERIFY FIRST</t>
        </is>
      </c>
      <c r="C322" s="2" t="inlineStr">
        <is>
          <t>No website found</t>
        </is>
      </c>
      <c r="D322" s="2" t="inlineStr">
        <is>
          <t>The Greek Joint Brews And BBQs</t>
        </is>
      </c>
      <c r="E322" s="2" t="inlineStr">
        <is>
          <t>restaurant</t>
        </is>
      </c>
      <c r="F322" s="2" t="inlineStr">
        <is>
          <t>Gold Coast</t>
        </is>
      </c>
      <c r="G322" s="2" t="inlineStr">
        <is>
          <t>Facebook</t>
        </is>
      </c>
      <c r="H322" s="2" t="inlineStr"/>
      <c r="I322" s="4" t="inlineStr">
        <is>
          <t>https://www.facebook.com/thegreekjointburleigh</t>
        </is>
      </c>
      <c r="J322" s="2" t="inlineStr">
        <is>
          <t>+61 7 5535 2562</t>
        </is>
      </c>
      <c r="K322" s="2" t="inlineStr"/>
      <c r="L322" s="2" t="inlineStr">
        <is>
          <t>no website listed, only social media (verify on Google Maps)</t>
        </is>
      </c>
      <c r="M322" s="2" t="inlineStr">
        <is>
          <t>Hi The Greek Joint Brews And BBQs team! [one real detail from their page]. We're AceAds, a web design studio. We couldn't find a website for The Greek Joint Brews And BBQs, only your Facebook. We'd be happy to make you a free preview of what a website could look like. Want one? No cost, no obligation.</t>
        </is>
      </c>
      <c r="N322" s="4" t="inlineStr">
        <is>
          <t>Open map</t>
        </is>
      </c>
      <c r="O322" s="2" t="inlineStr">
        <is>
          <t>Not contacted</t>
        </is>
      </c>
      <c r="P322" s="2" t="inlineStr"/>
      <c r="Q322" s="2" t="inlineStr"/>
      <c r="R322" s="2" t="inlineStr"/>
      <c r="S322" s="2" t="inlineStr"/>
    </row>
    <row r="323">
      <c r="A323" s="2" t="n">
        <v>322</v>
      </c>
      <c r="B323" s="5" t="inlineStr">
        <is>
          <t>VERIFY FIRST</t>
        </is>
      </c>
      <c r="C323" s="2" t="inlineStr">
        <is>
          <t>No website found</t>
        </is>
      </c>
      <c r="D323" s="2" t="inlineStr">
        <is>
          <t>Tokyo Kitchen</t>
        </is>
      </c>
      <c r="E323" s="2" t="inlineStr">
        <is>
          <t>restaurant</t>
        </is>
      </c>
      <c r="F323" s="2" t="inlineStr">
        <is>
          <t>Gold Coast</t>
        </is>
      </c>
      <c r="G323" s="2" t="inlineStr">
        <is>
          <t>Instagram</t>
        </is>
      </c>
      <c r="H323" s="4" t="inlineStr">
        <is>
          <t>https://www.instagram.com/tokyokitchenpalmbeach/</t>
        </is>
      </c>
      <c r="I323" s="2" t="inlineStr"/>
      <c r="J323" s="2" t="inlineStr">
        <is>
          <t>+61 466 924 660</t>
        </is>
      </c>
      <c r="K323" s="2" t="inlineStr"/>
      <c r="L323" s="2" t="inlineStr">
        <is>
          <t>no website listed, only social media (verify on Google Maps)</t>
        </is>
      </c>
      <c r="M323" s="2" t="inlineStr">
        <is>
          <t>Hi Tokyo Kitchen team! [one real detail from their page]. We're AceAds, a web design studio. We couldn't find a website for Tokyo Kitchen, only your Instagram. We'd be happy to make you a free preview of what a website could look like. Want one? No cost, no obligation.</t>
        </is>
      </c>
      <c r="N323" s="4" t="inlineStr">
        <is>
          <t>Open map</t>
        </is>
      </c>
      <c r="O323" s="2" t="inlineStr">
        <is>
          <t>Not contacted</t>
        </is>
      </c>
      <c r="P323" s="2" t="inlineStr"/>
      <c r="Q323" s="2" t="inlineStr"/>
      <c r="R323" s="2" t="inlineStr"/>
      <c r="S323" s="2" t="inlineStr"/>
    </row>
    <row r="324">
      <c r="A324" s="2" t="n">
        <v>323</v>
      </c>
      <c r="B324" s="5" t="inlineStr">
        <is>
          <t>VERIFY FIRST</t>
        </is>
      </c>
      <c r="C324" s="2" t="inlineStr">
        <is>
          <t>No website found</t>
        </is>
      </c>
      <c r="D324" s="2" t="inlineStr">
        <is>
          <t>Zhang Liang Malatang</t>
        </is>
      </c>
      <c r="E324" s="2" t="inlineStr">
        <is>
          <t>restaurant</t>
        </is>
      </c>
      <c r="F324" s="2" t="inlineStr">
        <is>
          <t>Gold Coast</t>
        </is>
      </c>
      <c r="G324" s="2" t="inlineStr">
        <is>
          <t>Facebook</t>
        </is>
      </c>
      <c r="H324" s="2" t="inlineStr"/>
      <c r="I324" s="4" t="inlineStr">
        <is>
          <t>https://www.facebook.com/p/Zhang-Liang-Malatang-Southport-100076346656014/</t>
        </is>
      </c>
      <c r="J324" s="2" t="inlineStr"/>
      <c r="K324" s="2" t="inlineStr"/>
      <c r="L324" s="2" t="inlineStr">
        <is>
          <t>no website listed, only social media (verify on Google Maps)</t>
        </is>
      </c>
      <c r="M324" s="2" t="inlineStr">
        <is>
          <t>Hi Zhang Liang Malatang team! [one real detail from their page]. We're AceAds, a web design studio. We couldn't find a website for Zhang Liang Malatang, only your Facebook. We'd be happy to make you a free preview of what a website could look like. Want one? No cost, no obligation.</t>
        </is>
      </c>
      <c r="N324" s="4" t="inlineStr">
        <is>
          <t>Open map</t>
        </is>
      </c>
      <c r="O324" s="2" t="inlineStr">
        <is>
          <t>Not contacted</t>
        </is>
      </c>
      <c r="P324" s="2" t="inlineStr"/>
      <c r="Q324" s="2" t="inlineStr"/>
      <c r="R324" s="2" t="inlineStr"/>
      <c r="S324" s="2" t="inlineStr"/>
    </row>
    <row r="325">
      <c r="A325" s="2" t="n">
        <v>324</v>
      </c>
      <c r="B325" s="5" t="inlineStr">
        <is>
          <t>VERIFY FIRST</t>
        </is>
      </c>
      <c r="C325" s="2" t="inlineStr">
        <is>
          <t>No website found</t>
        </is>
      </c>
      <c r="D325" s="2" t="inlineStr">
        <is>
          <t>Fat Chicken</t>
        </is>
      </c>
      <c r="E325" s="2" t="inlineStr">
        <is>
          <t>takeaway</t>
        </is>
      </c>
      <c r="F325" s="2" t="inlineStr">
        <is>
          <t>Gold Coast</t>
        </is>
      </c>
      <c r="G325" s="2" t="inlineStr">
        <is>
          <t>Facebook</t>
        </is>
      </c>
      <c r="H325" s="2" t="inlineStr"/>
      <c r="I325" s="4" t="inlineStr">
        <is>
          <t>https://www.facebook.com/people/Fat-Chicken-West-Burleigh/100063635289144/</t>
        </is>
      </c>
      <c r="J325" s="2" t="inlineStr"/>
      <c r="K325" s="2" t="inlineStr"/>
      <c r="L325" s="2" t="inlineStr">
        <is>
          <t>no website listed, only social media (verify on Google Maps)</t>
        </is>
      </c>
      <c r="M325" s="2" t="inlineStr">
        <is>
          <t>Hi Fat Chicken team! [one real detail from their page]. We're AceAds, a web design studio. We couldn't find a website for Fat Chicken, only your Facebook. We'd be happy to make you a free preview of what a website could look like. Want one? No cost, no obligation.</t>
        </is>
      </c>
      <c r="N325" s="4" t="inlineStr">
        <is>
          <t>Open map</t>
        </is>
      </c>
      <c r="O325" s="2" t="inlineStr">
        <is>
          <t>Not contacted</t>
        </is>
      </c>
      <c r="P325" s="2" t="inlineStr"/>
      <c r="Q325" s="2" t="inlineStr"/>
      <c r="R325" s="2" t="inlineStr"/>
      <c r="S325" s="2" t="inlineStr"/>
    </row>
    <row r="326">
      <c r="A326" s="2" t="n">
        <v>325</v>
      </c>
      <c r="B326" s="5" t="inlineStr">
        <is>
          <t>VERIFY FIRST</t>
        </is>
      </c>
      <c r="C326" s="2" t="inlineStr">
        <is>
          <t>No website found</t>
        </is>
      </c>
      <c r="D326" s="2" t="inlineStr">
        <is>
          <t>MOFOS Tweed Heads</t>
        </is>
      </c>
      <c r="E326" s="2" t="inlineStr">
        <is>
          <t>takeaway</t>
        </is>
      </c>
      <c r="F326" s="2" t="inlineStr">
        <is>
          <t>Gold Coast</t>
        </is>
      </c>
      <c r="G326" s="2" t="inlineStr">
        <is>
          <t>Facebook</t>
        </is>
      </c>
      <c r="H326" s="2" t="inlineStr"/>
      <c r="I326" s="4" t="inlineStr">
        <is>
          <t>https://www.facebook.com/MOFOSTWEEDHEADS/</t>
        </is>
      </c>
      <c r="J326" s="2" t="inlineStr">
        <is>
          <t>+61 434 099 876</t>
        </is>
      </c>
      <c r="K326" s="2" t="inlineStr"/>
      <c r="L326" s="2" t="inlineStr">
        <is>
          <t>no website listed, only social media (verify on Google Maps)</t>
        </is>
      </c>
      <c r="M326" s="2" t="inlineStr">
        <is>
          <t>Hi MOFOS Tweed Heads team! [one real detail from their page]. We're AceAds, a web design studio. We couldn't find a website for MOFOS Tweed Heads, only your Facebook. We'd be happy to make you a free preview of what a website could look like. Want one? No cost, no obligation.</t>
        </is>
      </c>
      <c r="N326" s="4" t="inlineStr">
        <is>
          <t>Open map</t>
        </is>
      </c>
      <c r="O326" s="2" t="inlineStr">
        <is>
          <t>Not contacted</t>
        </is>
      </c>
      <c r="P326" s="2" t="inlineStr"/>
      <c r="Q326" s="2" t="inlineStr"/>
      <c r="R326" s="2" t="inlineStr"/>
      <c r="S326" s="2" t="inlineStr"/>
    </row>
    <row r="327">
      <c r="A327" s="2" t="n">
        <v>326</v>
      </c>
      <c r="B327" s="5" t="inlineStr">
        <is>
          <t>VERIFY FIRST</t>
        </is>
      </c>
      <c r="C327" s="2" t="inlineStr">
        <is>
          <t>No website found</t>
        </is>
      </c>
      <c r="D327" s="2" t="inlineStr">
        <is>
          <t>Notorious E.A.T Food Truck</t>
        </is>
      </c>
      <c r="E327" s="2" t="inlineStr">
        <is>
          <t>takeaway</t>
        </is>
      </c>
      <c r="F327" s="2" t="inlineStr">
        <is>
          <t>Gold Coast</t>
        </is>
      </c>
      <c r="G327" s="2" t="inlineStr">
        <is>
          <t>Facebook</t>
        </is>
      </c>
      <c r="H327" s="2" t="inlineStr"/>
      <c r="I327" s="4" t="inlineStr">
        <is>
          <t>https://www.facebook.com/notoriouseat/</t>
        </is>
      </c>
      <c r="J327" s="2" t="inlineStr">
        <is>
          <t>+61 419 472 407</t>
        </is>
      </c>
      <c r="K327" s="2" t="inlineStr"/>
      <c r="L327" s="2" t="inlineStr">
        <is>
          <t>no website listed, only social media (verify on Google Maps)</t>
        </is>
      </c>
      <c r="M327" s="2" t="inlineStr">
        <is>
          <t>Hi Notorious E.A.T Food Truck team! [one real detail from their page]. We're AceAds, a web design studio. We couldn't find a website for Notorious E.A.T Food Truck, only your Facebook. We'd be happy to make you a free preview of what a website could look like. Want one? No cost, no obligation.</t>
        </is>
      </c>
      <c r="N327" s="4" t="inlineStr">
        <is>
          <t>Open map</t>
        </is>
      </c>
      <c r="O327" s="2" t="inlineStr">
        <is>
          <t>Not contacted</t>
        </is>
      </c>
      <c r="P327" s="2" t="inlineStr"/>
      <c r="Q327" s="2" t="inlineStr"/>
      <c r="R327" s="2" t="inlineStr"/>
      <c r="S327" s="2" t="inlineStr"/>
    </row>
    <row r="328">
      <c r="A328" s="2" t="n">
        <v>327</v>
      </c>
      <c r="B328" s="5" t="inlineStr">
        <is>
          <t>VERIFY FIRST</t>
        </is>
      </c>
      <c r="C328" s="2" t="inlineStr">
        <is>
          <t>No website found</t>
        </is>
      </c>
      <c r="D328" s="2" t="inlineStr">
        <is>
          <t>Haree Tattoo Studio</t>
        </is>
      </c>
      <c r="E328" s="2" t="inlineStr">
        <is>
          <t>tattoo studio</t>
        </is>
      </c>
      <c r="F328" s="2" t="inlineStr">
        <is>
          <t>Gold Coast</t>
        </is>
      </c>
      <c r="G328" s="2" t="inlineStr">
        <is>
          <t>Facebook</t>
        </is>
      </c>
      <c r="H328" s="2" t="inlineStr"/>
      <c r="I328" s="4" t="inlineStr">
        <is>
          <t>https://www.facebook.com/hareetattoostudio/</t>
        </is>
      </c>
      <c r="J328" s="2" t="inlineStr"/>
      <c r="K328" s="2" t="inlineStr"/>
      <c r="L328" s="2" t="inlineStr">
        <is>
          <t>no website listed, only social media (verify on Google Maps)</t>
        </is>
      </c>
      <c r="M328" s="2" t="inlineStr">
        <is>
          <t>Hi Haree Tattoo Studio team! [one real detail from their page]. We're AceAds, a web design studio. We couldn't find a website for Haree Tattoo Studio, only your Facebook. We'd be happy to make you a free preview of what a website could look like. Want one? No cost, no obligation.</t>
        </is>
      </c>
      <c r="N328" s="4" t="inlineStr">
        <is>
          <t>Open map</t>
        </is>
      </c>
      <c r="O328" s="2" t="inlineStr">
        <is>
          <t>Not contacted</t>
        </is>
      </c>
      <c r="P328" s="2" t="inlineStr"/>
      <c r="Q328" s="2" t="inlineStr"/>
      <c r="R328" s="2" t="inlineStr"/>
      <c r="S328" s="2" t="inlineStr"/>
    </row>
    <row r="329">
      <c r="A329" s="2" t="n">
        <v>328</v>
      </c>
      <c r="B329" s="5" t="inlineStr">
        <is>
          <t>VERIFY FIRST</t>
        </is>
      </c>
      <c r="C329" s="2" t="inlineStr">
        <is>
          <t>No website found</t>
        </is>
      </c>
      <c r="D329" s="2" t="inlineStr">
        <is>
          <t>Inkhanced Cosmetic Tattoo</t>
        </is>
      </c>
      <c r="E329" s="2" t="inlineStr">
        <is>
          <t>tattoo studio</t>
        </is>
      </c>
      <c r="F329" s="2" t="inlineStr">
        <is>
          <t>Gold Coast</t>
        </is>
      </c>
      <c r="G329" s="2" t="inlineStr">
        <is>
          <t>Instagram</t>
        </is>
      </c>
      <c r="H329" s="4" t="inlineStr">
        <is>
          <t>https://instagram.com/inkhanced</t>
        </is>
      </c>
      <c r="I329" s="4" t="inlineStr">
        <is>
          <t>https://facebook.com/Inkhanced</t>
        </is>
      </c>
      <c r="J329" s="2" t="inlineStr">
        <is>
          <t>+61 406 917 329</t>
        </is>
      </c>
      <c r="K329" s="2" t="inlineStr"/>
      <c r="L329" s="2" t="inlineStr">
        <is>
          <t>no website listed, only social media (verify on Google Maps)</t>
        </is>
      </c>
      <c r="M329" s="2" t="inlineStr">
        <is>
          <t>Hi Inkhanced Cosmetic Tattoo team! [one real detail from their page]. We're AceAds, a web design studio. We couldn't find a website for Inkhanced Cosmetic Tattoo, only your Instagram. We'd be happy to make you a free preview of what a website could look like. Want one? No cost, no obligation.</t>
        </is>
      </c>
      <c r="N329" s="4" t="inlineStr">
        <is>
          <t>Open map</t>
        </is>
      </c>
      <c r="O329" s="2" t="inlineStr">
        <is>
          <t>Not contacted</t>
        </is>
      </c>
      <c r="P329" s="2" t="inlineStr"/>
      <c r="Q329" s="2" t="inlineStr"/>
      <c r="R329" s="2" t="inlineStr"/>
      <c r="S329" s="2" t="inlineStr"/>
    </row>
    <row r="330">
      <c r="A330" s="2" t="n">
        <v>329</v>
      </c>
      <c r="B330" s="5" t="inlineStr">
        <is>
          <t>VERIFY FIRST</t>
        </is>
      </c>
      <c r="C330" s="2" t="inlineStr">
        <is>
          <t>No website found</t>
        </is>
      </c>
      <c r="D330" s="2" t="inlineStr">
        <is>
          <t>La Femme Tattoo House</t>
        </is>
      </c>
      <c r="E330" s="2" t="inlineStr">
        <is>
          <t>tattoo studio</t>
        </is>
      </c>
      <c r="F330" s="2" t="inlineStr">
        <is>
          <t>Gold Coast</t>
        </is>
      </c>
      <c r="G330" s="2" t="inlineStr">
        <is>
          <t>Instagram</t>
        </is>
      </c>
      <c r="H330" s="4" t="inlineStr">
        <is>
          <t>https://www.instagram.com/lafemmetattoohouse/</t>
        </is>
      </c>
      <c r="I330" s="2" t="inlineStr"/>
      <c r="J330" s="2" t="inlineStr"/>
      <c r="K330" s="2" t="inlineStr"/>
      <c r="L330" s="2" t="inlineStr">
        <is>
          <t>no website listed, only social media (verify on Google Maps)</t>
        </is>
      </c>
      <c r="M330" s="2" t="inlineStr">
        <is>
          <t>Hi La Femme Tattoo House team! [one real detail from their page]. We're AceAds, a web design studio. We couldn't find a website for La Femme Tattoo House, only your Instagram. We'd be happy to make you a free preview of what a website could look like. Want one? No cost, no obligation.</t>
        </is>
      </c>
      <c r="N330" s="4" t="inlineStr">
        <is>
          <t>Open map</t>
        </is>
      </c>
      <c r="O330" s="2" t="inlineStr">
        <is>
          <t>Not contacted</t>
        </is>
      </c>
      <c r="P330" s="2" t="inlineStr"/>
      <c r="Q330" s="2" t="inlineStr"/>
      <c r="R330" s="2" t="inlineStr"/>
      <c r="S330" s="2" t="inlineStr"/>
    </row>
    <row r="331">
      <c r="A331" s="2" t="n">
        <v>330</v>
      </c>
      <c r="B331" s="5" t="inlineStr">
        <is>
          <t>VERIFY FIRST</t>
        </is>
      </c>
      <c r="C331" s="2" t="inlineStr">
        <is>
          <t>No website found</t>
        </is>
      </c>
      <c r="D331" s="2" t="inlineStr">
        <is>
          <t>Vision Tattoo Studio</t>
        </is>
      </c>
      <c r="E331" s="2" t="inlineStr">
        <is>
          <t>tattoo studio</t>
        </is>
      </c>
      <c r="F331" s="2" t="inlineStr">
        <is>
          <t>Gold Coast</t>
        </is>
      </c>
      <c r="G331" s="2" t="inlineStr">
        <is>
          <t>Instagram</t>
        </is>
      </c>
      <c r="H331" s="4" t="inlineStr">
        <is>
          <t>https://instagram.com/visiontattoomiami</t>
        </is>
      </c>
      <c r="I331" s="4" t="inlineStr">
        <is>
          <t>https://facebook.com/visiontattoomiami</t>
        </is>
      </c>
      <c r="J331" s="2" t="inlineStr">
        <is>
          <t>+61 7 5648 1664</t>
        </is>
      </c>
      <c r="K331" s="2" t="inlineStr"/>
      <c r="L331" s="2" t="inlineStr">
        <is>
          <t>no website listed, only social media (verify on Google Maps)</t>
        </is>
      </c>
      <c r="M331" s="2" t="inlineStr">
        <is>
          <t>Hi Vision Tattoo Studio team! [one real detail from their page]. We're AceAds, a web design studio. We couldn't find a website for Vision Tattoo Studio, only your Instagram. We'd be happy to make you a free preview of what a website could look like. Want one? No cost, no obligation.</t>
        </is>
      </c>
      <c r="N331" s="4" t="inlineStr">
        <is>
          <t>Open map</t>
        </is>
      </c>
      <c r="O331" s="2" t="inlineStr">
        <is>
          <t>Not contacted</t>
        </is>
      </c>
      <c r="P331" s="2" t="inlineStr"/>
      <c r="Q331" s="2" t="inlineStr"/>
      <c r="R331" s="2" t="inlineStr"/>
      <c r="S331" s="2" t="inlineStr"/>
    </row>
    <row r="332">
      <c r="A332" s="2" t="n">
        <v>331</v>
      </c>
      <c r="B332" s="5" t="inlineStr">
        <is>
          <t>VERIFY FIRST</t>
        </is>
      </c>
      <c r="C332" s="2" t="inlineStr">
        <is>
          <t>No website found</t>
        </is>
      </c>
      <c r="D332" s="2" t="inlineStr">
        <is>
          <t>Federal Hotel</t>
        </is>
      </c>
      <c r="E332" s="2" t="inlineStr">
        <is>
          <t>bar or pub</t>
        </is>
      </c>
      <c r="F332" s="2" t="inlineStr">
        <is>
          <t>Ipswich</t>
        </is>
      </c>
      <c r="G332" s="2" t="inlineStr">
        <is>
          <t>Facebook</t>
        </is>
      </c>
      <c r="H332" s="2" t="inlineStr"/>
      <c r="I332" s="4" t="inlineStr">
        <is>
          <t>https://www.facebook.com/FederalHotelIpswich/</t>
        </is>
      </c>
      <c r="J332" s="2" t="inlineStr">
        <is>
          <t>+61 7 3281 4855</t>
        </is>
      </c>
      <c r="K332" s="2" t="inlineStr"/>
      <c r="L332" s="2" t="inlineStr">
        <is>
          <t>no website listed, only social media (verify on Google Maps)</t>
        </is>
      </c>
      <c r="M332" s="2" t="inlineStr">
        <is>
          <t>Hi Federal Hotel team! [one real detail from their page]. We're AceAds, a web design studio. We couldn't find a website for Federal Hotel, only your Facebook. We'd be happy to make you a free preview of what a website could look like. Want one? No cost, no obligation.</t>
        </is>
      </c>
      <c r="N332" s="4" t="inlineStr">
        <is>
          <t>Open map</t>
        </is>
      </c>
      <c r="O332" s="2" t="inlineStr">
        <is>
          <t>Not contacted</t>
        </is>
      </c>
      <c r="P332" s="2" t="inlineStr"/>
      <c r="Q332" s="2" t="inlineStr"/>
      <c r="R332" s="2" t="inlineStr"/>
      <c r="S332" s="2" t="inlineStr"/>
    </row>
    <row r="333">
      <c r="A333" s="2" t="n">
        <v>332</v>
      </c>
      <c r="B333" s="5" t="inlineStr">
        <is>
          <t>VERIFY FIRST</t>
        </is>
      </c>
      <c r="C333" s="2" t="inlineStr">
        <is>
          <t>No website found</t>
        </is>
      </c>
      <c r="D333" s="2" t="inlineStr">
        <is>
          <t>HeavyW8 Barbers</t>
        </is>
      </c>
      <c r="E333" s="2" t="inlineStr">
        <is>
          <t>barber or hairdresser</t>
        </is>
      </c>
      <c r="F333" s="2" t="inlineStr">
        <is>
          <t>Ipswich</t>
        </is>
      </c>
      <c r="G333" s="2" t="inlineStr">
        <is>
          <t>Facebook</t>
        </is>
      </c>
      <c r="H333" s="2" t="inlineStr"/>
      <c r="I333" s="4" t="inlineStr">
        <is>
          <t>https://www.facebook.com/HeavyW8Barbers/</t>
        </is>
      </c>
      <c r="J333" s="2" t="inlineStr">
        <is>
          <t>+61 411 428 917</t>
        </is>
      </c>
      <c r="K333" s="2" t="inlineStr"/>
      <c r="L333" s="2" t="inlineStr">
        <is>
          <t>no website listed, only social media (verify on Google Maps)</t>
        </is>
      </c>
      <c r="M333" s="2" t="inlineStr">
        <is>
          <t>Hi HeavyW8 Barbers team! [one real detail from their page]. We're AceAds, a web design studio. We couldn't find a website for HeavyW8 Barbers, only your Facebook. We'd be happy to make you a free preview of what a website could look like. Want one? No cost, no obligation.</t>
        </is>
      </c>
      <c r="N333" s="4" t="inlineStr">
        <is>
          <t>Open map</t>
        </is>
      </c>
      <c r="O333" s="2" t="inlineStr">
        <is>
          <t>Not contacted</t>
        </is>
      </c>
      <c r="P333" s="2" t="inlineStr"/>
      <c r="Q333" s="2" t="inlineStr"/>
      <c r="R333" s="2" t="inlineStr"/>
      <c r="S333" s="2" t="inlineStr"/>
    </row>
    <row r="334">
      <c r="A334" s="2" t="n">
        <v>333</v>
      </c>
      <c r="B334" s="5" t="inlineStr">
        <is>
          <t>VERIFY FIRST</t>
        </is>
      </c>
      <c r="C334" s="2" t="inlineStr">
        <is>
          <t>No website found</t>
        </is>
      </c>
      <c r="D334" s="2" t="inlineStr">
        <is>
          <t>Ellen &amp; Rod Cafe</t>
        </is>
      </c>
      <c r="E334" s="2" t="inlineStr">
        <is>
          <t>cafe</t>
        </is>
      </c>
      <c r="F334" s="2" t="inlineStr">
        <is>
          <t>Ipswich</t>
        </is>
      </c>
      <c r="G334" s="2" t="inlineStr">
        <is>
          <t>Facebook</t>
        </is>
      </c>
      <c r="H334" s="2" t="inlineStr"/>
      <c r="I334" s="4" t="inlineStr">
        <is>
          <t>https://www.facebook.com/Ellenandrod/</t>
        </is>
      </c>
      <c r="J334" s="2" t="inlineStr">
        <is>
          <t>+61 488 598 290</t>
        </is>
      </c>
      <c r="K334" s="2" t="inlineStr"/>
      <c r="L334" s="2" t="inlineStr">
        <is>
          <t>no website listed, only social media (verify on Google Maps)</t>
        </is>
      </c>
      <c r="M334" s="2" t="inlineStr">
        <is>
          <t>Hi Ellen &amp; Rod Cafe team! [one real detail from their page]. We're AceAds, a web design studio. We couldn't find a website for Ellen &amp; Rod Cafe, only your Facebook. We'd be happy to make you a free preview of what a website could look like. Want one? No cost, no obligation.</t>
        </is>
      </c>
      <c r="N334" s="4" t="inlineStr">
        <is>
          <t>Open map</t>
        </is>
      </c>
      <c r="O334" s="2" t="inlineStr">
        <is>
          <t>Not contacted</t>
        </is>
      </c>
      <c r="P334" s="2" t="inlineStr"/>
      <c r="Q334" s="2" t="inlineStr"/>
      <c r="R334" s="2" t="inlineStr"/>
      <c r="S334" s="2" t="inlineStr"/>
    </row>
    <row r="335">
      <c r="A335" s="2" t="n">
        <v>334</v>
      </c>
      <c r="B335" s="5" t="inlineStr">
        <is>
          <t>VERIFY FIRST</t>
        </is>
      </c>
      <c r="C335" s="2" t="inlineStr">
        <is>
          <t>No website found</t>
        </is>
      </c>
      <c r="D335" s="2" t="inlineStr">
        <is>
          <t>The Chambers Cafe</t>
        </is>
      </c>
      <c r="E335" s="2" t="inlineStr">
        <is>
          <t>cafe</t>
        </is>
      </c>
      <c r="F335" s="2" t="inlineStr">
        <is>
          <t>Ipswich</t>
        </is>
      </c>
      <c r="G335" s="2" t="inlineStr">
        <is>
          <t>Facebook</t>
        </is>
      </c>
      <c r="H335" s="2" t="inlineStr"/>
      <c r="I335" s="4" t="inlineStr">
        <is>
          <t>https://www.facebook.com/thechamberscafe</t>
        </is>
      </c>
      <c r="J335" s="2" t="inlineStr">
        <is>
          <t>+61 491 875 347</t>
        </is>
      </c>
      <c r="K335" s="2" t="inlineStr"/>
      <c r="L335" s="2" t="inlineStr">
        <is>
          <t>no website listed, only social media (verify on Google Maps)</t>
        </is>
      </c>
      <c r="M335" s="2" t="inlineStr">
        <is>
          <t>Hi The Chambers Cafe team! [one real detail from their page]. We're AceAds, a web design studio. We couldn't find a website for The Chambers Cafe, only your Facebook. We'd be happy to make you a free preview of what a website could look like. Want one? No cost, no obligation.</t>
        </is>
      </c>
      <c r="N335" s="4" t="inlineStr">
        <is>
          <t>Open map</t>
        </is>
      </c>
      <c r="O335" s="2" t="inlineStr">
        <is>
          <t>Not contacted</t>
        </is>
      </c>
      <c r="P335" s="2" t="inlineStr"/>
      <c r="Q335" s="2" t="inlineStr"/>
      <c r="R335" s="2" t="inlineStr"/>
      <c r="S335" s="2" t="inlineStr"/>
    </row>
    <row r="336">
      <c r="A336" s="2" t="n">
        <v>335</v>
      </c>
      <c r="B336" s="5" t="inlineStr">
        <is>
          <t>VERIFY FIRST</t>
        </is>
      </c>
      <c r="C336" s="2" t="inlineStr">
        <is>
          <t>No website found</t>
        </is>
      </c>
      <c r="D336" s="2" t="inlineStr">
        <is>
          <t>Tower Central Cafe</t>
        </is>
      </c>
      <c r="E336" s="2" t="inlineStr">
        <is>
          <t>cafe</t>
        </is>
      </c>
      <c r="F336" s="2" t="inlineStr">
        <is>
          <t>Ipswich</t>
        </is>
      </c>
      <c r="G336" s="2" t="inlineStr">
        <is>
          <t>Facebook</t>
        </is>
      </c>
      <c r="H336" s="2" t="inlineStr"/>
      <c r="I336" s="4" t="inlineStr">
        <is>
          <t>https://www.facebook.com/towercentralcafeipswich/</t>
        </is>
      </c>
      <c r="J336" s="2" t="inlineStr">
        <is>
          <t>+61 7 3812 3157</t>
        </is>
      </c>
      <c r="K336" s="2" t="inlineStr"/>
      <c r="L336" s="2" t="inlineStr">
        <is>
          <t>no website listed, only social media (verify on Google Maps)</t>
        </is>
      </c>
      <c r="M336" s="2" t="inlineStr">
        <is>
          <t>Hi Tower Central Cafe team! [one real detail from their page]. We're AceAds, a web design studio. We couldn't find a website for Tower Central Cafe, only your Facebook. We'd be happy to make you a free preview of what a website could look like. Want one? No cost, no obligation.</t>
        </is>
      </c>
      <c r="N336" s="4" t="inlineStr">
        <is>
          <t>Open map</t>
        </is>
      </c>
      <c r="O336" s="2" t="inlineStr">
        <is>
          <t>Not contacted</t>
        </is>
      </c>
      <c r="P336" s="2" t="inlineStr"/>
      <c r="Q336" s="2" t="inlineStr"/>
      <c r="R336" s="2" t="inlineStr"/>
      <c r="S336" s="2" t="inlineStr"/>
    </row>
    <row r="337">
      <c r="A337" s="2" t="n">
        <v>336</v>
      </c>
      <c r="B337" s="5" t="inlineStr">
        <is>
          <t>VERIFY FIRST</t>
        </is>
      </c>
      <c r="C337" s="2" t="inlineStr">
        <is>
          <t>No website found</t>
        </is>
      </c>
      <c r="D337" s="2" t="inlineStr">
        <is>
          <t>Hoe Inn Food Bar</t>
        </is>
      </c>
      <c r="E337" s="2" t="inlineStr">
        <is>
          <t>takeaway</t>
        </is>
      </c>
      <c r="F337" s="2" t="inlineStr">
        <is>
          <t>Ipswich</t>
        </is>
      </c>
      <c r="G337" s="2" t="inlineStr">
        <is>
          <t>Facebook</t>
        </is>
      </c>
      <c r="H337" s="2" t="inlineStr"/>
      <c r="I337" s="4" t="inlineStr">
        <is>
          <t>https://www.facebook.com/HoeInnFoodBar/</t>
        </is>
      </c>
      <c r="J337" s="2" t="inlineStr">
        <is>
          <t>+61 7 3281 3822</t>
        </is>
      </c>
      <c r="K337" s="2" t="inlineStr"/>
      <c r="L337" s="2" t="inlineStr">
        <is>
          <t>no website listed, only social media (verify on Google Maps)</t>
        </is>
      </c>
      <c r="M337" s="2" t="inlineStr">
        <is>
          <t>Hi Hoe Inn Food Bar team! [one real detail from their page]. We're AceAds, a web design studio. We couldn't find a website for Hoe Inn Food Bar, only your Facebook. We'd be happy to make you a free preview of what a website could look like. Want one? No cost, no obligation.</t>
        </is>
      </c>
      <c r="N337" s="4" t="inlineStr">
        <is>
          <t>Open map</t>
        </is>
      </c>
      <c r="O337" s="2" t="inlineStr">
        <is>
          <t>Not contacted</t>
        </is>
      </c>
      <c r="P337" s="2" t="inlineStr"/>
      <c r="Q337" s="2" t="inlineStr"/>
      <c r="R337" s="2" t="inlineStr"/>
      <c r="S337" s="2" t="inlineStr"/>
    </row>
    <row r="338">
      <c r="A338" s="2" t="n">
        <v>337</v>
      </c>
      <c r="B338" s="5" t="inlineStr">
        <is>
          <t>VERIFY FIRST</t>
        </is>
      </c>
      <c r="C338" s="2" t="inlineStr">
        <is>
          <t>No website found</t>
        </is>
      </c>
      <c r="D338" s="2" t="inlineStr">
        <is>
          <t>Miaá Lashes</t>
        </is>
      </c>
      <c r="E338" s="2" t="inlineStr">
        <is>
          <t>beauty salon</t>
        </is>
      </c>
      <c r="F338" s="2" t="inlineStr">
        <is>
          <t>Logan</t>
        </is>
      </c>
      <c r="G338" s="2" t="inlineStr">
        <is>
          <t>Instagram</t>
        </is>
      </c>
      <c r="H338" s="4" t="inlineStr">
        <is>
          <t>https://www.instagram.com/miaalashes_/?igshid=YmMyMTA2M2Y=</t>
        </is>
      </c>
      <c r="I338" s="2" t="inlineStr"/>
      <c r="J338" s="2" t="inlineStr">
        <is>
          <t>+61 413 430 741</t>
        </is>
      </c>
      <c r="K338" s="2" t="inlineStr"/>
      <c r="L338" s="2" t="inlineStr">
        <is>
          <t>no website listed, only social media (verify on Google Maps)</t>
        </is>
      </c>
      <c r="M338" s="2" t="inlineStr">
        <is>
          <t>Hi Miaá Lashes team! [one real detail from their page]. We're AceAds, a web design studio. We couldn't find a website for Miaá Lashes, only your Instagram. We'd be happy to make you a free preview of what a website could look like. Want one? No cost, no obligation.</t>
        </is>
      </c>
      <c r="N338" s="4" t="inlineStr">
        <is>
          <t>Open map</t>
        </is>
      </c>
      <c r="O338" s="2" t="inlineStr">
        <is>
          <t>Not contacted</t>
        </is>
      </c>
      <c r="P338" s="2" t="inlineStr"/>
      <c r="Q338" s="2" t="inlineStr"/>
      <c r="R338" s="2" t="inlineStr"/>
      <c r="S338" s="2" t="inlineStr"/>
    </row>
    <row r="339">
      <c r="A339" s="2" t="n">
        <v>338</v>
      </c>
      <c r="B339" s="5" t="inlineStr">
        <is>
          <t>VERIFY FIRST</t>
        </is>
      </c>
      <c r="C339" s="2" t="inlineStr">
        <is>
          <t>No website found</t>
        </is>
      </c>
      <c r="D339" s="2" t="inlineStr">
        <is>
          <t>Hot Property Realty</t>
        </is>
      </c>
      <c r="E339" s="2" t="inlineStr">
        <is>
          <t>real estate agent</t>
        </is>
      </c>
      <c r="F339" s="2" t="inlineStr">
        <is>
          <t>Mackay</t>
        </is>
      </c>
      <c r="G339" s="2" t="inlineStr">
        <is>
          <t>Facebook</t>
        </is>
      </c>
      <c r="H339" s="2" t="inlineStr"/>
      <c r="I339" s="4" t="inlineStr">
        <is>
          <t>https://facebook.com/hotpropertymackay</t>
        </is>
      </c>
      <c r="J339" s="2" t="inlineStr">
        <is>
          <t>+61 7 4942 8855</t>
        </is>
      </c>
      <c r="K339" s="2" t="inlineStr"/>
      <c r="L339" s="2" t="inlineStr">
        <is>
          <t>no website listed, only social media (verify on Google Maps)</t>
        </is>
      </c>
      <c r="M339" s="2" t="inlineStr">
        <is>
          <t>Hi Hot Property Realty team! [one real detail from their page]. We're AceAds, a web design studio. We couldn't find a website for Hot Property Realty, only your Facebook. We'd be happy to make you a free preview of what a website could look like. Want one? No cost, no obligation.</t>
        </is>
      </c>
      <c r="N339" s="4" t="inlineStr">
        <is>
          <t>Open map</t>
        </is>
      </c>
      <c r="O339" s="2" t="inlineStr">
        <is>
          <t>Not contacted</t>
        </is>
      </c>
      <c r="P339" s="2" t="inlineStr"/>
      <c r="Q339" s="2" t="inlineStr"/>
      <c r="R339" s="2" t="inlineStr"/>
      <c r="S339" s="2" t="inlineStr"/>
    </row>
    <row r="340">
      <c r="A340" s="2" t="n">
        <v>339</v>
      </c>
      <c r="B340" s="5" t="inlineStr">
        <is>
          <t>VERIFY FIRST</t>
        </is>
      </c>
      <c r="C340" s="2" t="inlineStr">
        <is>
          <t>No website found</t>
        </is>
      </c>
      <c r="D340" s="2" t="inlineStr">
        <is>
          <t>SG Cafe</t>
        </is>
      </c>
      <c r="E340" s="2" t="inlineStr">
        <is>
          <t>bakery</t>
        </is>
      </c>
      <c r="F340" s="2" t="inlineStr">
        <is>
          <t>Moreton Bay</t>
        </is>
      </c>
      <c r="G340" s="2" t="inlineStr">
        <is>
          <t>Facebook</t>
        </is>
      </c>
      <c r="H340" s="2" t="inlineStr"/>
      <c r="I340" s="4" t="inlineStr">
        <is>
          <t>https://www.facebook.com/sgcafe.com.au/</t>
        </is>
      </c>
      <c r="J340" s="2" t="inlineStr">
        <is>
          <t>+61 7 5432 3071</t>
        </is>
      </c>
      <c r="K340" s="2" t="inlineStr"/>
      <c r="L340" s="2" t="inlineStr">
        <is>
          <t>no website listed, only social media (verify on Google Maps)</t>
        </is>
      </c>
      <c r="M340" s="2" t="inlineStr">
        <is>
          <t>Hi SG Cafe team! [one real detail from their page]. We're AceAds, a web design studio. We couldn't find a website for SG Cafe, only your Facebook. We'd be happy to make you a free preview of what a website could look like. Want one? No cost, no obligation.</t>
        </is>
      </c>
      <c r="N340" s="4" t="inlineStr">
        <is>
          <t>Open map</t>
        </is>
      </c>
      <c r="O340" s="2" t="inlineStr">
        <is>
          <t>Not contacted</t>
        </is>
      </c>
      <c r="P340" s="2" t="inlineStr"/>
      <c r="Q340" s="2" t="inlineStr"/>
      <c r="R340" s="2" t="inlineStr"/>
      <c r="S340" s="2" t="inlineStr"/>
    </row>
    <row r="341">
      <c r="A341" s="2" t="n">
        <v>340</v>
      </c>
      <c r="B341" s="5" t="inlineStr">
        <is>
          <t>VERIFY FIRST</t>
        </is>
      </c>
      <c r="C341" s="2" t="inlineStr">
        <is>
          <t>No website found</t>
        </is>
      </c>
      <c r="D341" s="2" t="inlineStr">
        <is>
          <t>Cuts on Cresthaven</t>
        </is>
      </c>
      <c r="E341" s="2" t="inlineStr">
        <is>
          <t>barber or hairdresser</t>
        </is>
      </c>
      <c r="F341" s="2" t="inlineStr">
        <is>
          <t>Moreton Bay</t>
        </is>
      </c>
      <c r="G341" s="2" t="inlineStr">
        <is>
          <t>Facebook</t>
        </is>
      </c>
      <c r="H341" s="2" t="inlineStr"/>
      <c r="I341" s="4" t="inlineStr">
        <is>
          <t>https://www.facebook.com/profile.php/?id=100054399854687</t>
        </is>
      </c>
      <c r="J341" s="2" t="inlineStr">
        <is>
          <t>+61 7 5499 0042</t>
        </is>
      </c>
      <c r="K341" s="2" t="inlineStr"/>
      <c r="L341" s="2" t="inlineStr">
        <is>
          <t>no website listed, only social media (verify on Google Maps)</t>
        </is>
      </c>
      <c r="M341" s="2" t="inlineStr">
        <is>
          <t>Hi Cuts on Cresthaven team! [one real detail from their page]. We're AceAds, a web design studio. We couldn't find a website for Cuts on Cresthaven, only your Facebook. We'd be happy to make you a free preview of what a website could look like. Want one? No cost, no obligation.</t>
        </is>
      </c>
      <c r="N341" s="4" t="inlineStr">
        <is>
          <t>Open map</t>
        </is>
      </c>
      <c r="O341" s="2" t="inlineStr">
        <is>
          <t>Not contacted</t>
        </is>
      </c>
      <c r="P341" s="2" t="inlineStr"/>
      <c r="Q341" s="2" t="inlineStr"/>
      <c r="R341" s="2" t="inlineStr"/>
      <c r="S341" s="2" t="inlineStr"/>
    </row>
    <row r="342">
      <c r="A342" s="2" t="n">
        <v>341</v>
      </c>
      <c r="B342" s="5" t="inlineStr">
        <is>
          <t>VERIFY FIRST</t>
        </is>
      </c>
      <c r="C342" s="2" t="inlineStr">
        <is>
          <t>No website found</t>
        </is>
      </c>
      <c r="D342" s="2" t="inlineStr">
        <is>
          <t>Hair on Archer</t>
        </is>
      </c>
      <c r="E342" s="2" t="inlineStr">
        <is>
          <t>barber or hairdresser</t>
        </is>
      </c>
      <c r="F342" s="2" t="inlineStr">
        <is>
          <t>Moreton Bay</t>
        </is>
      </c>
      <c r="G342" s="2" t="inlineStr">
        <is>
          <t>Facebook</t>
        </is>
      </c>
      <c r="H342" s="2" t="inlineStr"/>
      <c r="I342" s="4" t="inlineStr">
        <is>
          <t>https://www.facebook.com/haironarcher/</t>
        </is>
      </c>
      <c r="J342" s="2" t="inlineStr">
        <is>
          <t>+61 410 882 702</t>
        </is>
      </c>
      <c r="K342" s="2" t="inlineStr"/>
      <c r="L342" s="2" t="inlineStr">
        <is>
          <t>no website listed, only social media (verify on Google Maps)</t>
        </is>
      </c>
      <c r="M342" s="2" t="inlineStr">
        <is>
          <t>Hi Hair on Archer team! [one real detail from their page]. We're AceAds, a web design studio. We couldn't find a website for Hair on Archer, only your Facebook. We'd be happy to make you a free preview of what a website could look like. Want one? No cost, no obligation.</t>
        </is>
      </c>
      <c r="N342" s="4" t="inlineStr">
        <is>
          <t>Open map</t>
        </is>
      </c>
      <c r="O342" s="2" t="inlineStr">
        <is>
          <t>Not contacted</t>
        </is>
      </c>
      <c r="P342" s="2" t="inlineStr"/>
      <c r="Q342" s="2" t="inlineStr"/>
      <c r="R342" s="2" t="inlineStr"/>
      <c r="S342" s="2" t="inlineStr"/>
    </row>
    <row r="343">
      <c r="A343" s="2" t="n">
        <v>342</v>
      </c>
      <c r="B343" s="5" t="inlineStr">
        <is>
          <t>VERIFY FIRST</t>
        </is>
      </c>
      <c r="C343" s="2" t="inlineStr">
        <is>
          <t>No website found</t>
        </is>
      </c>
      <c r="D343" s="2" t="inlineStr">
        <is>
          <t>Sway on Bribie</t>
        </is>
      </c>
      <c r="E343" s="2" t="inlineStr">
        <is>
          <t>boutique</t>
        </is>
      </c>
      <c r="F343" s="2" t="inlineStr">
        <is>
          <t>Moreton Bay</t>
        </is>
      </c>
      <c r="G343" s="2" t="inlineStr">
        <is>
          <t>Facebook</t>
        </is>
      </c>
      <c r="H343" s="2" t="inlineStr"/>
      <c r="I343" s="4" t="inlineStr">
        <is>
          <t>https://www.facebook.com/SwayonBribie</t>
        </is>
      </c>
      <c r="J343" s="2" t="inlineStr">
        <is>
          <t>+61 439 757 772</t>
        </is>
      </c>
      <c r="K343" s="2" t="inlineStr"/>
      <c r="L343" s="2" t="inlineStr">
        <is>
          <t>no website listed, only social media (verify on Google Maps)</t>
        </is>
      </c>
      <c r="M343" s="2" t="inlineStr">
        <is>
          <t>Hi Sway on Bribie team! [one real detail from their page]. We're AceAds, a web design studio. We couldn't find a website for Sway on Bribie, only your Facebook. We'd be happy to make you a free preview of what a website could look like. Want one? No cost, no obligation.</t>
        </is>
      </c>
      <c r="N343" s="4" t="inlineStr">
        <is>
          <t>Open map</t>
        </is>
      </c>
      <c r="O343" s="2" t="inlineStr">
        <is>
          <t>Not contacted</t>
        </is>
      </c>
      <c r="P343" s="2" t="inlineStr"/>
      <c r="Q343" s="2" t="inlineStr"/>
      <c r="R343" s="2" t="inlineStr"/>
      <c r="S343" s="2" t="inlineStr"/>
    </row>
    <row r="344">
      <c r="A344" s="2" t="n">
        <v>343</v>
      </c>
      <c r="B344" s="5" t="inlineStr">
        <is>
          <t>VERIFY FIRST</t>
        </is>
      </c>
      <c r="C344" s="2" t="inlineStr">
        <is>
          <t>No website found</t>
        </is>
      </c>
      <c r="D344" s="2" t="inlineStr">
        <is>
          <t>Gather and Feast</t>
        </is>
      </c>
      <c r="E344" s="2" t="inlineStr">
        <is>
          <t>cafe</t>
        </is>
      </c>
      <c r="F344" s="2" t="inlineStr">
        <is>
          <t>Moreton Bay</t>
        </is>
      </c>
      <c r="G344" s="2" t="inlineStr">
        <is>
          <t>Facebook</t>
        </is>
      </c>
      <c r="H344" s="2" t="inlineStr"/>
      <c r="I344" s="4" t="inlineStr">
        <is>
          <t>https://m.facebook.com/gatherandfeastcafe</t>
        </is>
      </c>
      <c r="J344" s="2" t="inlineStr"/>
      <c r="K344" s="2" t="inlineStr"/>
      <c r="L344" s="2" t="inlineStr">
        <is>
          <t>no website listed, only social media (verify on Google Maps)</t>
        </is>
      </c>
      <c r="M344" s="2" t="inlineStr">
        <is>
          <t>Hi Gather and Feast team! [one real detail from their page]. We're AceAds, a web design studio. We couldn't find a website for Gather and Feast, only your Facebook. We'd be happy to make you a free preview of what a website could look like. Want one? No cost, no obligation.</t>
        </is>
      </c>
      <c r="N344" s="4" t="inlineStr">
        <is>
          <t>Open map</t>
        </is>
      </c>
      <c r="O344" s="2" t="inlineStr">
        <is>
          <t>Not contacted</t>
        </is>
      </c>
      <c r="P344" s="2" t="inlineStr"/>
      <c r="Q344" s="2" t="inlineStr"/>
      <c r="R344" s="2" t="inlineStr"/>
      <c r="S344" s="2" t="inlineStr"/>
    </row>
    <row r="345">
      <c r="A345" s="2" t="n">
        <v>344</v>
      </c>
      <c r="B345" s="5" t="inlineStr">
        <is>
          <t>VERIFY FIRST</t>
        </is>
      </c>
      <c r="C345" s="2" t="inlineStr">
        <is>
          <t>No website found</t>
        </is>
      </c>
      <c r="D345" s="2" t="inlineStr">
        <is>
          <t>The Beach Shak Cafe</t>
        </is>
      </c>
      <c r="E345" s="2" t="inlineStr">
        <is>
          <t>cafe</t>
        </is>
      </c>
      <c r="F345" s="2" t="inlineStr">
        <is>
          <t>Moreton Bay</t>
        </is>
      </c>
      <c r="G345" s="2" t="inlineStr">
        <is>
          <t>Facebook</t>
        </is>
      </c>
      <c r="H345" s="2" t="inlineStr"/>
      <c r="I345" s="4" t="inlineStr">
        <is>
          <t>https://www.facebook.com/thebeachshakcafe/</t>
        </is>
      </c>
      <c r="J345" s="2" t="inlineStr"/>
      <c r="K345" s="2" t="inlineStr"/>
      <c r="L345" s="2" t="inlineStr">
        <is>
          <t>no website listed, only social media (verify on Google Maps)</t>
        </is>
      </c>
      <c r="M345" s="2" t="inlineStr">
        <is>
          <t>Hi The Beach Shak Cafe team! [one real detail from their page]. We're AceAds, a web design studio. We couldn't find a website for The Beach Shak Cafe, only your Facebook. We'd be happy to make you a free preview of what a website could look like. Want one? No cost, no obligation.</t>
        </is>
      </c>
      <c r="N345" s="4" t="inlineStr">
        <is>
          <t>Open map</t>
        </is>
      </c>
      <c r="O345" s="2" t="inlineStr">
        <is>
          <t>Not contacted</t>
        </is>
      </c>
      <c r="P345" s="2" t="inlineStr"/>
      <c r="Q345" s="2" t="inlineStr"/>
      <c r="R345" s="2" t="inlineStr"/>
      <c r="S345" s="2" t="inlineStr"/>
    </row>
    <row r="346">
      <c r="A346" s="2" t="n">
        <v>345</v>
      </c>
      <c r="B346" s="5" t="inlineStr">
        <is>
          <t>VERIFY FIRST</t>
        </is>
      </c>
      <c r="C346" s="2" t="inlineStr">
        <is>
          <t>No website found</t>
        </is>
      </c>
      <c r="D346" s="2" t="inlineStr">
        <is>
          <t>Village Deli Bongaree</t>
        </is>
      </c>
      <c r="E346" s="2" t="inlineStr">
        <is>
          <t>cafe</t>
        </is>
      </c>
      <c r="F346" s="2" t="inlineStr">
        <is>
          <t>Moreton Bay</t>
        </is>
      </c>
      <c r="G346" s="2" t="inlineStr">
        <is>
          <t>Instagram</t>
        </is>
      </c>
      <c r="H346" s="4" t="inlineStr">
        <is>
          <t>https://www.instagram.com/village_deli_bongaree/</t>
        </is>
      </c>
      <c r="I346" s="4" t="inlineStr">
        <is>
          <t>https://www.facebook.com/villagedelibongaree</t>
        </is>
      </c>
      <c r="J346" s="2" t="inlineStr">
        <is>
          <t>+61 7 3408 4188</t>
        </is>
      </c>
      <c r="K346" s="2" t="inlineStr"/>
      <c r="L346" s="2" t="inlineStr">
        <is>
          <t>no website listed, only social media (verify on Google Maps)</t>
        </is>
      </c>
      <c r="M346" s="2" t="inlineStr">
        <is>
          <t>Hi Village Deli Bongaree team! [one real detail from their page]. We're AceAds, a web design studio. We couldn't find a website for Village Deli Bongaree, only your Instagram. We'd be happy to make you a free preview of what a website could look like. Want one? No cost, no obligation.</t>
        </is>
      </c>
      <c r="N346" s="4" t="inlineStr">
        <is>
          <t>Open map</t>
        </is>
      </c>
      <c r="O346" s="2" t="inlineStr">
        <is>
          <t>Not contacted</t>
        </is>
      </c>
      <c r="P346" s="2" t="inlineStr"/>
      <c r="Q346" s="2" t="inlineStr"/>
      <c r="R346" s="2" t="inlineStr"/>
      <c r="S346" s="2" t="inlineStr"/>
    </row>
    <row r="347">
      <c r="A347" s="2" t="n">
        <v>346</v>
      </c>
      <c r="B347" s="5" t="inlineStr">
        <is>
          <t>VERIFY FIRST</t>
        </is>
      </c>
      <c r="C347" s="2" t="inlineStr">
        <is>
          <t>No website found</t>
        </is>
      </c>
      <c r="D347" s="2" t="inlineStr">
        <is>
          <t>JEZ Automotive</t>
        </is>
      </c>
      <c r="E347" s="2" t="inlineStr">
        <is>
          <t>mechanic</t>
        </is>
      </c>
      <c r="F347" s="2" t="inlineStr">
        <is>
          <t>Moreton Bay</t>
        </is>
      </c>
      <c r="G347" s="2" t="inlineStr">
        <is>
          <t>Facebook</t>
        </is>
      </c>
      <c r="H347" s="2" t="inlineStr"/>
      <c r="I347" s="4" t="inlineStr">
        <is>
          <t>https://www.facebook.com/JezAutomotive/</t>
        </is>
      </c>
      <c r="J347" s="2" t="inlineStr"/>
      <c r="K347" s="2" t="inlineStr"/>
      <c r="L347" s="2" t="inlineStr">
        <is>
          <t>no website listed, only social media (verify on Google Maps)</t>
        </is>
      </c>
      <c r="M347" s="2" t="inlineStr">
        <is>
          <t>Hi JEZ Automotive team! [one real detail from their page]. We're AceAds, a web design studio. We couldn't find a website for JEZ Automotive, only your Facebook. We'd be happy to make you a free preview of what a website could look like. Want one? No cost, no obligation.</t>
        </is>
      </c>
      <c r="N347" s="4" t="inlineStr">
        <is>
          <t>Open map</t>
        </is>
      </c>
      <c r="O347" s="2" t="inlineStr">
        <is>
          <t>Not contacted</t>
        </is>
      </c>
      <c r="P347" s="2" t="inlineStr"/>
      <c r="Q347" s="2" t="inlineStr"/>
      <c r="R347" s="2" t="inlineStr"/>
      <c r="S347" s="2" t="inlineStr"/>
    </row>
    <row r="348">
      <c r="A348" s="2" t="n">
        <v>347</v>
      </c>
      <c r="B348" s="5" t="inlineStr">
        <is>
          <t>VERIFY FIRST</t>
        </is>
      </c>
      <c r="C348" s="2" t="inlineStr">
        <is>
          <t>No website found</t>
        </is>
      </c>
      <c r="D348" s="2" t="inlineStr">
        <is>
          <t>Bongaree Pet Food</t>
        </is>
      </c>
      <c r="E348" s="2" t="inlineStr">
        <is>
          <t>pet business</t>
        </is>
      </c>
      <c r="F348" s="2" t="inlineStr">
        <is>
          <t>Moreton Bay</t>
        </is>
      </c>
      <c r="G348" s="2" t="inlineStr">
        <is>
          <t>Facebook</t>
        </is>
      </c>
      <c r="H348" s="2" t="inlineStr"/>
      <c r="I348" s="4" t="inlineStr">
        <is>
          <t>https://www.facebook.com/profile.php/?id=100057076285153</t>
        </is>
      </c>
      <c r="J348" s="2" t="inlineStr">
        <is>
          <t>+61 455 372 014</t>
        </is>
      </c>
      <c r="K348" s="2" t="inlineStr"/>
      <c r="L348" s="2" t="inlineStr">
        <is>
          <t>no website listed, only social media (verify on Google Maps)</t>
        </is>
      </c>
      <c r="M348" s="2" t="inlineStr">
        <is>
          <t>Hi Bongaree Pet Food team! [one real detail from their page]. We're AceAds, a web design studio. We couldn't find a website for Bongaree Pet Food, only your Facebook. We'd be happy to make you a free preview of what a website could look like. Want one? No cost, no obligation.</t>
        </is>
      </c>
      <c r="N348" s="4" t="inlineStr">
        <is>
          <t>Open map</t>
        </is>
      </c>
      <c r="O348" s="2" t="inlineStr">
        <is>
          <t>Not contacted</t>
        </is>
      </c>
      <c r="P348" s="2" t="inlineStr"/>
      <c r="Q348" s="2" t="inlineStr"/>
      <c r="R348" s="2" t="inlineStr"/>
      <c r="S348" s="2" t="inlineStr"/>
    </row>
    <row r="349">
      <c r="A349" s="2" t="n">
        <v>348</v>
      </c>
      <c r="B349" s="5" t="inlineStr">
        <is>
          <t>VERIFY FIRST</t>
        </is>
      </c>
      <c r="C349" s="2" t="inlineStr">
        <is>
          <t>No website found</t>
        </is>
      </c>
      <c r="D349" s="2" t="inlineStr">
        <is>
          <t>Council Corner Cafe</t>
        </is>
      </c>
      <c r="E349" s="2" t="inlineStr">
        <is>
          <t>takeaway</t>
        </is>
      </c>
      <c r="F349" s="2" t="inlineStr">
        <is>
          <t>Moreton Bay</t>
        </is>
      </c>
      <c r="G349" s="2" t="inlineStr">
        <is>
          <t>Facebook</t>
        </is>
      </c>
      <c r="H349" s="2" t="inlineStr"/>
      <c r="I349" s="4" t="inlineStr">
        <is>
          <t>https://www.facebook.com/p/Council-Corner-Cafe-61560625214132/</t>
        </is>
      </c>
      <c r="J349" s="2" t="inlineStr"/>
      <c r="K349" s="2" t="inlineStr"/>
      <c r="L349" s="2" t="inlineStr">
        <is>
          <t>no website listed, only social media (verify on Google Maps)</t>
        </is>
      </c>
      <c r="M349" s="2" t="inlineStr">
        <is>
          <t>Hi Council Corner Cafe team! [one real detail from their page]. We're AceAds, a web design studio. We couldn't find a website for Council Corner Cafe, only your Facebook. We'd be happy to make you a free preview of what a website could look like. Want one? No cost, no obligation.</t>
        </is>
      </c>
      <c r="N349" s="4" t="inlineStr">
        <is>
          <t>Open map</t>
        </is>
      </c>
      <c r="O349" s="2" t="inlineStr">
        <is>
          <t>Not contacted</t>
        </is>
      </c>
      <c r="P349" s="2" t="inlineStr"/>
      <c r="Q349" s="2" t="inlineStr"/>
      <c r="R349" s="2" t="inlineStr"/>
      <c r="S349" s="2" t="inlineStr"/>
    </row>
    <row r="350">
      <c r="A350" s="2" t="n">
        <v>349</v>
      </c>
      <c r="B350" s="5" t="inlineStr">
        <is>
          <t>VERIFY FIRST</t>
        </is>
      </c>
      <c r="C350" s="2" t="inlineStr">
        <is>
          <t>No website found</t>
        </is>
      </c>
      <c r="D350" s="2" t="inlineStr">
        <is>
          <t>Fishermans Daughter</t>
        </is>
      </c>
      <c r="E350" s="2" t="inlineStr">
        <is>
          <t>takeaway</t>
        </is>
      </c>
      <c r="F350" s="2" t="inlineStr">
        <is>
          <t>Moreton Bay</t>
        </is>
      </c>
      <c r="G350" s="2" t="inlineStr">
        <is>
          <t>Facebook</t>
        </is>
      </c>
      <c r="H350" s="2" t="inlineStr"/>
      <c r="I350" s="4" t="inlineStr">
        <is>
          <t>https://www.facebook.com/fishermansdaughterdeceptionbay/</t>
        </is>
      </c>
      <c r="J350" s="2" t="inlineStr">
        <is>
          <t>+61 7 3204 8144</t>
        </is>
      </c>
      <c r="K350" s="2" t="inlineStr"/>
      <c r="L350" s="2" t="inlineStr">
        <is>
          <t>no website listed, only social media (verify on Google Maps)</t>
        </is>
      </c>
      <c r="M350" s="2" t="inlineStr">
        <is>
          <t>Hi Fishermans Daughter team! [one real detail from their page]. We're AceAds, a web design studio. We couldn't find a website for Fishermans Daughter, only your Facebook. We'd be happy to make you a free preview of what a website could look like. Want one? No cost, no obligation.</t>
        </is>
      </c>
      <c r="N350" s="4" t="inlineStr">
        <is>
          <t>Open map</t>
        </is>
      </c>
      <c r="O350" s="2" t="inlineStr">
        <is>
          <t>Not contacted</t>
        </is>
      </c>
      <c r="P350" s="2" t="inlineStr"/>
      <c r="Q350" s="2" t="inlineStr"/>
      <c r="R350" s="2" t="inlineStr"/>
      <c r="S350" s="2" t="inlineStr"/>
    </row>
    <row r="351">
      <c r="A351" s="2" t="n">
        <v>350</v>
      </c>
      <c r="B351" s="5" t="inlineStr">
        <is>
          <t>VERIFY FIRST</t>
        </is>
      </c>
      <c r="C351" s="2" t="inlineStr">
        <is>
          <t>No website found</t>
        </is>
      </c>
      <c r="D351" s="2" t="inlineStr">
        <is>
          <t>Johnny's Pizza Place</t>
        </is>
      </c>
      <c r="E351" s="2" t="inlineStr">
        <is>
          <t>takeaway</t>
        </is>
      </c>
      <c r="F351" s="2" t="inlineStr">
        <is>
          <t>Moreton Bay</t>
        </is>
      </c>
      <c r="G351" s="2" t="inlineStr">
        <is>
          <t>Facebook</t>
        </is>
      </c>
      <c r="H351" s="2" t="inlineStr"/>
      <c r="I351" s="4" t="inlineStr">
        <is>
          <t>https://www.facebook.com/johnnyspizzaplace</t>
        </is>
      </c>
      <c r="J351" s="2" t="inlineStr">
        <is>
          <t>+61 7 3425 2208</t>
        </is>
      </c>
      <c r="K351" s="2" t="inlineStr"/>
      <c r="L351" s="2" t="inlineStr">
        <is>
          <t>no website listed, only social media (verify on Google Maps)</t>
        </is>
      </c>
      <c r="M351" s="2" t="inlineStr">
        <is>
          <t>Hi Johnny's Pizza Place team! [one real detail from their page]. We're AceAds, a web design studio. We couldn't find a website for Johnny's Pizza Place, only your Facebook. We'd be happy to make you a free preview of what a website could look like. Want one? No cost, no obligation.</t>
        </is>
      </c>
      <c r="N351" s="4" t="inlineStr">
        <is>
          <t>Open map</t>
        </is>
      </c>
      <c r="O351" s="2" t="inlineStr">
        <is>
          <t>Not contacted</t>
        </is>
      </c>
      <c r="P351" s="2" t="inlineStr"/>
      <c r="Q351" s="2" t="inlineStr"/>
      <c r="R351" s="2" t="inlineStr"/>
      <c r="S351" s="2" t="inlineStr"/>
    </row>
    <row r="352">
      <c r="A352" s="2" t="n">
        <v>351</v>
      </c>
      <c r="B352" s="5" t="inlineStr">
        <is>
          <t>VERIFY FIRST</t>
        </is>
      </c>
      <c r="C352" s="2" t="inlineStr">
        <is>
          <t>No website found</t>
        </is>
      </c>
      <c r="D352" s="2" t="inlineStr">
        <is>
          <t>Emjay Spa &amp; Beauty</t>
        </is>
      </c>
      <c r="E352" s="2" t="inlineStr">
        <is>
          <t>beauty salon</t>
        </is>
      </c>
      <c r="F352" s="2" t="inlineStr">
        <is>
          <t>Redlands</t>
        </is>
      </c>
      <c r="G352" s="2" t="inlineStr">
        <is>
          <t>Facebook</t>
        </is>
      </c>
      <c r="H352" s="2" t="inlineStr"/>
      <c r="I352" s="4" t="inlineStr">
        <is>
          <t>https://www.facebook.com/emjaybeautyspa/</t>
        </is>
      </c>
      <c r="J352" s="2" t="inlineStr"/>
      <c r="K352" s="2" t="inlineStr"/>
      <c r="L352" s="2" t="inlineStr">
        <is>
          <t>no website listed, only social media (verify on Google Maps)</t>
        </is>
      </c>
      <c r="M352" s="2" t="inlineStr">
        <is>
          <t>Hi Emjay Spa &amp; Beauty team! [one real detail from their page]. We're AceAds, a web design studio. We couldn't find a website for Emjay Spa &amp; Beauty, only your Facebook. We'd be happy to make you a free preview of what a website could look like. Want one? No cost, no obligation.</t>
        </is>
      </c>
      <c r="N352" s="4" t="inlineStr">
        <is>
          <t>Open map</t>
        </is>
      </c>
      <c r="O352" s="2" t="inlineStr">
        <is>
          <t>Not contacted</t>
        </is>
      </c>
      <c r="P352" s="2" t="inlineStr"/>
      <c r="Q352" s="2" t="inlineStr"/>
      <c r="R352" s="2" t="inlineStr"/>
      <c r="S352" s="2" t="inlineStr"/>
    </row>
    <row r="353">
      <c r="A353" s="2" t="n">
        <v>352</v>
      </c>
      <c r="B353" s="5" t="inlineStr">
        <is>
          <t>VERIFY FIRST</t>
        </is>
      </c>
      <c r="C353" s="2" t="inlineStr">
        <is>
          <t>No website found</t>
        </is>
      </c>
      <c r="D353" s="2" t="inlineStr">
        <is>
          <t>Curlew Cafe</t>
        </is>
      </c>
      <c r="E353" s="2" t="inlineStr">
        <is>
          <t>cafe</t>
        </is>
      </c>
      <c r="F353" s="2" t="inlineStr">
        <is>
          <t>Redlands</t>
        </is>
      </c>
      <c r="G353" s="2" t="inlineStr">
        <is>
          <t>Facebook</t>
        </is>
      </c>
      <c r="H353" s="2" t="inlineStr"/>
      <c r="I353" s="4" t="inlineStr">
        <is>
          <t>https://www.facebook.com/curlewcoochie</t>
        </is>
      </c>
      <c r="J353" s="2" t="inlineStr"/>
      <c r="K353" s="2" t="inlineStr"/>
      <c r="L353" s="2" t="inlineStr">
        <is>
          <t>no website listed, only social media (verify on Google Maps)</t>
        </is>
      </c>
      <c r="M353" s="2" t="inlineStr">
        <is>
          <t>Hi Curlew Cafe team! [one real detail from their page]. We're AceAds, a web design studio. We couldn't find a website for Curlew Cafe, only your Facebook. We'd be happy to make you a free preview of what a website could look like. Want one? No cost, no obligation.</t>
        </is>
      </c>
      <c r="N353" s="4" t="inlineStr">
        <is>
          <t>Open map</t>
        </is>
      </c>
      <c r="O353" s="2" t="inlineStr">
        <is>
          <t>Not contacted</t>
        </is>
      </c>
      <c r="P353" s="2" t="inlineStr"/>
      <c r="Q353" s="2" t="inlineStr"/>
      <c r="R353" s="2" t="inlineStr"/>
      <c r="S353" s="2" t="inlineStr"/>
    </row>
    <row r="354">
      <c r="A354" s="2" t="n">
        <v>353</v>
      </c>
      <c r="B354" s="5" t="inlineStr">
        <is>
          <t>VERIFY FIRST</t>
        </is>
      </c>
      <c r="C354" s="2" t="inlineStr">
        <is>
          <t>No website found</t>
        </is>
      </c>
      <c r="D354" s="2" t="inlineStr">
        <is>
          <t>Pelican Cafe</t>
        </is>
      </c>
      <c r="E354" s="2" t="inlineStr">
        <is>
          <t>cafe</t>
        </is>
      </c>
      <c r="F354" s="2" t="inlineStr">
        <is>
          <t>Redlands</t>
        </is>
      </c>
      <c r="G354" s="2" t="inlineStr">
        <is>
          <t>Facebook</t>
        </is>
      </c>
      <c r="H354" s="2" t="inlineStr"/>
      <c r="I354" s="4" t="inlineStr">
        <is>
          <t>https://www.facebook.com/PelicanCafe293/</t>
        </is>
      </c>
      <c r="J354" s="2" t="inlineStr"/>
      <c r="K354" s="2" t="inlineStr"/>
      <c r="L354" s="2" t="inlineStr">
        <is>
          <t>no website listed, only social media (verify on Google Maps)</t>
        </is>
      </c>
      <c r="M354" s="2" t="inlineStr">
        <is>
          <t>Hi Pelican Cafe team! [one real detail from their page]. We're AceAds, a web design studio. We couldn't find a website for Pelican Cafe, only your Facebook. We'd be happy to make you a free preview of what a website could look like. Want one? No cost, no obligation.</t>
        </is>
      </c>
      <c r="N354" s="4" t="inlineStr">
        <is>
          <t>Open map</t>
        </is>
      </c>
      <c r="O354" s="2" t="inlineStr">
        <is>
          <t>Not contacted</t>
        </is>
      </c>
      <c r="P354" s="2" t="inlineStr"/>
      <c r="Q354" s="2" t="inlineStr"/>
      <c r="R354" s="2" t="inlineStr"/>
      <c r="S354" s="2" t="inlineStr"/>
    </row>
    <row r="355">
      <c r="A355" s="2" t="n">
        <v>354</v>
      </c>
      <c r="B355" s="5" t="inlineStr">
        <is>
          <t>VERIFY FIRST</t>
        </is>
      </c>
      <c r="C355" s="2" t="inlineStr">
        <is>
          <t>No website found</t>
        </is>
      </c>
      <c r="D355" s="2" t="inlineStr">
        <is>
          <t>The Big Mushroom Fruit Barn</t>
        </is>
      </c>
      <c r="E355" s="2" t="inlineStr">
        <is>
          <t>deli or specialty food</t>
        </is>
      </c>
      <c r="F355" s="2" t="inlineStr">
        <is>
          <t>Redlands</t>
        </is>
      </c>
      <c r="G355" s="2" t="inlineStr">
        <is>
          <t>Facebook</t>
        </is>
      </c>
      <c r="H355" s="2" t="inlineStr"/>
      <c r="I355" s="4" t="inlineStr">
        <is>
          <t>https://www.facebook.com/103601592445707</t>
        </is>
      </c>
      <c r="J355" s="2" t="inlineStr">
        <is>
          <t>+61 490 871 225</t>
        </is>
      </c>
      <c r="K355" s="2" t="inlineStr"/>
      <c r="L355" s="2" t="inlineStr">
        <is>
          <t>no website listed, only social media (verify on Google Maps)</t>
        </is>
      </c>
      <c r="M355" s="2" t="inlineStr">
        <is>
          <t>Hi The Big Mushroom Fruit Barn team! [one real detail from their page]. We're AceAds, a web design studio. We couldn't find a website for The Big Mushroom Fruit Barn, only your Facebook. We'd be happy to make you a free preview of what a website could look like. Want one? No cost, no obligation.</t>
        </is>
      </c>
      <c r="N355" s="4" t="inlineStr">
        <is>
          <t>Open map</t>
        </is>
      </c>
      <c r="O355" s="2" t="inlineStr">
        <is>
          <t>Not contacted</t>
        </is>
      </c>
      <c r="P355" s="2" t="inlineStr"/>
      <c r="Q355" s="2" t="inlineStr"/>
      <c r="R355" s="2" t="inlineStr"/>
      <c r="S355" s="2" t="inlineStr"/>
    </row>
    <row r="356">
      <c r="A356" s="2" t="n">
        <v>355</v>
      </c>
      <c r="B356" s="5" t="inlineStr">
        <is>
          <t>VERIFY FIRST</t>
        </is>
      </c>
      <c r="C356" s="2" t="inlineStr">
        <is>
          <t>No website found</t>
        </is>
      </c>
      <c r="D356" s="2" t="inlineStr">
        <is>
          <t>Top Gun Restorations</t>
        </is>
      </c>
      <c r="E356" s="2" t="inlineStr">
        <is>
          <t>mechanic</t>
        </is>
      </c>
      <c r="F356" s="2" t="inlineStr">
        <is>
          <t>Redlands</t>
        </is>
      </c>
      <c r="G356" s="2" t="inlineStr">
        <is>
          <t>Facebook</t>
        </is>
      </c>
      <c r="H356" s="2" t="inlineStr"/>
      <c r="I356" s="4" t="inlineStr">
        <is>
          <t>https://www.facebook.com/p/Top-Gun-Restoration-100063707569188</t>
        </is>
      </c>
      <c r="J356" s="2" t="inlineStr"/>
      <c r="K356" s="2" t="inlineStr"/>
      <c r="L356" s="2" t="inlineStr">
        <is>
          <t>no website listed, only social media (verify on Google Maps)</t>
        </is>
      </c>
      <c r="M356" s="2" t="inlineStr">
        <is>
          <t>Hi Top Gun Restorations team! [one real detail from their page]. We're AceAds, a web design studio. We couldn't find a website for Top Gun Restorations, only your Facebook. We'd be happy to make you a free preview of what a website could look like. Want one? No cost, no obligation.</t>
        </is>
      </c>
      <c r="N356" s="4" t="inlineStr">
        <is>
          <t>Open map</t>
        </is>
      </c>
      <c r="O356" s="2" t="inlineStr">
        <is>
          <t>Not contacted</t>
        </is>
      </c>
      <c r="P356" s="2" t="inlineStr"/>
      <c r="Q356" s="2" t="inlineStr"/>
      <c r="R356" s="2" t="inlineStr"/>
      <c r="S356" s="2" t="inlineStr"/>
    </row>
    <row r="357">
      <c r="A357" s="2" t="n">
        <v>356</v>
      </c>
      <c r="B357" s="5" t="inlineStr">
        <is>
          <t>VERIFY FIRST</t>
        </is>
      </c>
      <c r="C357" s="2" t="inlineStr">
        <is>
          <t>No website found</t>
        </is>
      </c>
      <c r="D357" s="2" t="inlineStr">
        <is>
          <t>Koala Park Veterinary Surgery</t>
        </is>
      </c>
      <c r="E357" s="2" t="inlineStr">
        <is>
          <t>pet business</t>
        </is>
      </c>
      <c r="F357" s="2" t="inlineStr">
        <is>
          <t>Redlands</t>
        </is>
      </c>
      <c r="G357" s="2" t="inlineStr">
        <is>
          <t>Facebook</t>
        </is>
      </c>
      <c r="H357" s="2" t="inlineStr"/>
      <c r="I357" s="4" t="inlineStr">
        <is>
          <t>https://www.facebook.com/KoalaParkVeterinarySurgery?mibextid=ZbWKwL</t>
        </is>
      </c>
      <c r="J357" s="2" t="inlineStr">
        <is>
          <t>+61 7 3207 6041</t>
        </is>
      </c>
      <c r="K357" s="2" t="inlineStr"/>
      <c r="L357" s="2" t="inlineStr">
        <is>
          <t>no website listed, only social media (verify on Google Maps)</t>
        </is>
      </c>
      <c r="M357" s="2" t="inlineStr">
        <is>
          <t>Hi Koala Park Veterinary Surgery team! [one real detail from their page]. We're AceAds, a web design studio. We couldn't find a website for Koala Park Veterinary Surgery, only your Facebook. We'd be happy to make you a free preview of what a website could look like. Want one? No cost, no obligation.</t>
        </is>
      </c>
      <c r="N357" s="4" t="inlineStr">
        <is>
          <t>Open map</t>
        </is>
      </c>
      <c r="O357" s="2" t="inlineStr">
        <is>
          <t>Not contacted</t>
        </is>
      </c>
      <c r="P357" s="2" t="inlineStr"/>
      <c r="Q357" s="2" t="inlineStr"/>
      <c r="R357" s="2" t="inlineStr"/>
      <c r="S357" s="2" t="inlineStr"/>
    </row>
    <row r="358">
      <c r="A358" s="2" t="n">
        <v>357</v>
      </c>
      <c r="B358" s="5" t="inlineStr">
        <is>
          <t>VERIFY FIRST</t>
        </is>
      </c>
      <c r="C358" s="2" t="inlineStr">
        <is>
          <t>No website found</t>
        </is>
      </c>
      <c r="D358" s="2" t="inlineStr">
        <is>
          <t>Coochiemudlo Island Beach Bar and Grill</t>
        </is>
      </c>
      <c r="E358" s="2" t="inlineStr">
        <is>
          <t>restaurant</t>
        </is>
      </c>
      <c r="F358" s="2" t="inlineStr">
        <is>
          <t>Redlands</t>
        </is>
      </c>
      <c r="G358" s="2" t="inlineStr">
        <is>
          <t>Facebook</t>
        </is>
      </c>
      <c r="H358" s="2" t="inlineStr"/>
      <c r="I358" s="4" t="inlineStr">
        <is>
          <t>https://www.facebook.com/coochiemudloislandbeachbar</t>
        </is>
      </c>
      <c r="J358" s="2" t="inlineStr">
        <is>
          <t>+61 484 064 014</t>
        </is>
      </c>
      <c r="K358" s="2" t="inlineStr"/>
      <c r="L358" s="2" t="inlineStr">
        <is>
          <t>no website listed, only social media (verify on Google Maps)</t>
        </is>
      </c>
      <c r="M358" s="2" t="inlineStr">
        <is>
          <t>Hi Coochiemudlo Island Beach Bar and Grill team! [one real detail from their page]. We're AceAds, a web design studio. We couldn't find a website for Coochiemudlo Island Beach Bar and Grill, only your Facebook. We'd be happy to make you a free preview of what a website could look like. Want one? No cost, no obligation.</t>
        </is>
      </c>
      <c r="N358" s="4" t="inlineStr">
        <is>
          <t>Open map</t>
        </is>
      </c>
      <c r="O358" s="2" t="inlineStr">
        <is>
          <t>Not contacted</t>
        </is>
      </c>
      <c r="P358" s="2" t="inlineStr"/>
      <c r="Q358" s="2" t="inlineStr"/>
      <c r="R358" s="2" t="inlineStr"/>
      <c r="S358" s="2" t="inlineStr"/>
    </row>
    <row r="359">
      <c r="A359" s="2" t="n">
        <v>358</v>
      </c>
      <c r="B359" s="5" t="inlineStr">
        <is>
          <t>VERIFY FIRST</t>
        </is>
      </c>
      <c r="C359" s="2" t="inlineStr">
        <is>
          <t>No website found</t>
        </is>
      </c>
      <c r="D359" s="2" t="inlineStr">
        <is>
          <t>Jetty Store II</t>
        </is>
      </c>
      <c r="E359" s="2" t="inlineStr">
        <is>
          <t>takeaway</t>
        </is>
      </c>
      <c r="F359" s="2" t="inlineStr">
        <is>
          <t>Redlands</t>
        </is>
      </c>
      <c r="G359" s="2" t="inlineStr">
        <is>
          <t>Facebook</t>
        </is>
      </c>
      <c r="H359" s="2" t="inlineStr"/>
      <c r="I359" s="4" t="inlineStr">
        <is>
          <t>https://www.facebook.com/TheJettyStore/</t>
        </is>
      </c>
      <c r="J359" s="2" t="inlineStr">
        <is>
          <t>+61 7 3206 7674</t>
        </is>
      </c>
      <c r="K359" s="2" t="inlineStr"/>
      <c r="L359" s="2" t="inlineStr">
        <is>
          <t>no website listed, only social media (verify on Google Maps)</t>
        </is>
      </c>
      <c r="M359" s="2" t="inlineStr">
        <is>
          <t>Hi Jetty Store II team! [one real detail from their page]. We're AceAds, a web design studio. We couldn't find a website for Jetty Store II, only your Facebook. We'd be happy to make you a free preview of what a website could look like. Want one? No cost, no obligation.</t>
        </is>
      </c>
      <c r="N359" s="4" t="inlineStr">
        <is>
          <t>Open map</t>
        </is>
      </c>
      <c r="O359" s="2" t="inlineStr">
        <is>
          <t>Not contacted</t>
        </is>
      </c>
      <c r="P359" s="2" t="inlineStr"/>
      <c r="Q359" s="2" t="inlineStr"/>
      <c r="R359" s="2" t="inlineStr"/>
      <c r="S359" s="2" t="inlineStr"/>
    </row>
    <row r="360">
      <c r="A360" s="2" t="n">
        <v>359</v>
      </c>
      <c r="B360" s="5" t="inlineStr">
        <is>
          <t>VERIFY FIRST</t>
        </is>
      </c>
      <c r="C360" s="2" t="inlineStr">
        <is>
          <t>No website found</t>
        </is>
      </c>
      <c r="D360" s="2" t="inlineStr">
        <is>
          <t>The Bakers Pantry</t>
        </is>
      </c>
      <c r="E360" s="2" t="inlineStr">
        <is>
          <t>bakery</t>
        </is>
      </c>
      <c r="F360" s="2" t="inlineStr">
        <is>
          <t>Sunshine Coast</t>
        </is>
      </c>
      <c r="G360" s="2" t="inlineStr">
        <is>
          <t>Instagram</t>
        </is>
      </c>
      <c r="H360" s="4" t="inlineStr">
        <is>
          <t>https://www.instagram.com/thebakerspantrynoosa</t>
        </is>
      </c>
      <c r="I360" s="4" t="inlineStr">
        <is>
          <t>https://www.facebook.com/thebakerspantrynoosa</t>
        </is>
      </c>
      <c r="J360" s="2" t="inlineStr">
        <is>
          <t>+61 7 5448 0780</t>
        </is>
      </c>
      <c r="K360" s="2" t="inlineStr"/>
      <c r="L360" s="2" t="inlineStr">
        <is>
          <t>no website listed, only social media (verify on Google Maps)</t>
        </is>
      </c>
      <c r="M360" s="2" t="inlineStr">
        <is>
          <t>Hi The Bakers Pantry team! [one real detail from their page]. We're AceAds, a web design studio. We couldn't find a website for The Bakers Pantry, only your Instagram. We'd be happy to make you a free preview of what a website could look like. Want one? No cost, no obligation.</t>
        </is>
      </c>
      <c r="N360" s="4" t="inlineStr">
        <is>
          <t>Open map</t>
        </is>
      </c>
      <c r="O360" s="2" t="inlineStr">
        <is>
          <t>Not contacted</t>
        </is>
      </c>
      <c r="P360" s="2" t="inlineStr"/>
      <c r="Q360" s="2" t="inlineStr"/>
      <c r="R360" s="2" t="inlineStr"/>
      <c r="S360" s="2" t="inlineStr"/>
    </row>
    <row r="361">
      <c r="A361" s="2" t="n">
        <v>360</v>
      </c>
      <c r="B361" s="5" t="inlineStr">
        <is>
          <t>VERIFY FIRST</t>
        </is>
      </c>
      <c r="C361" s="2" t="inlineStr">
        <is>
          <t>No website found</t>
        </is>
      </c>
      <c r="D361" s="2" t="inlineStr">
        <is>
          <t>Homegrown Cafe</t>
        </is>
      </c>
      <c r="E361" s="2" t="inlineStr">
        <is>
          <t>cafe</t>
        </is>
      </c>
      <c r="F361" s="2" t="inlineStr">
        <is>
          <t>Sunshine Coast</t>
        </is>
      </c>
      <c r="G361" s="2" t="inlineStr">
        <is>
          <t>Facebook</t>
        </is>
      </c>
      <c r="H361" s="2" t="inlineStr"/>
      <c r="I361" s="4" t="inlineStr">
        <is>
          <t>https://www.facebook.com/homegrownpalmwoods/</t>
        </is>
      </c>
      <c r="J361" s="2" t="inlineStr">
        <is>
          <t>+61 458 270 368</t>
        </is>
      </c>
      <c r="K361" s="2" t="inlineStr"/>
      <c r="L361" s="2" t="inlineStr">
        <is>
          <t>no website listed, only social media (verify on Google Maps)</t>
        </is>
      </c>
      <c r="M361" s="2" t="inlineStr">
        <is>
          <t>Hi Homegrown Cafe team! [one real detail from their page]. We're AceAds, a web design studio. We couldn't find a website for Homegrown Cafe, only your Facebook. We'd be happy to make you a free preview of what a website could look like. Want one? No cost, no obligation.</t>
        </is>
      </c>
      <c r="N361" s="4" t="inlineStr">
        <is>
          <t>Open map</t>
        </is>
      </c>
      <c r="O361" s="2" t="inlineStr">
        <is>
          <t>Not contacted</t>
        </is>
      </c>
      <c r="P361" s="2" t="inlineStr"/>
      <c r="Q361" s="2" t="inlineStr"/>
      <c r="R361" s="2" t="inlineStr"/>
      <c r="S361" s="2" t="inlineStr"/>
    </row>
    <row r="362">
      <c r="A362" s="2" t="n">
        <v>361</v>
      </c>
      <c r="B362" s="5" t="inlineStr">
        <is>
          <t>VERIFY FIRST</t>
        </is>
      </c>
      <c r="C362" s="2" t="inlineStr">
        <is>
          <t>No website found</t>
        </is>
      </c>
      <c r="D362" s="2" t="inlineStr">
        <is>
          <t>Nambour Social</t>
        </is>
      </c>
      <c r="E362" s="2" t="inlineStr">
        <is>
          <t>cafe</t>
        </is>
      </c>
      <c r="F362" s="2" t="inlineStr">
        <is>
          <t>Sunshine Coast</t>
        </is>
      </c>
      <c r="G362" s="2" t="inlineStr">
        <is>
          <t>Facebook</t>
        </is>
      </c>
      <c r="H362" s="2" t="inlineStr"/>
      <c r="I362" s="4" t="inlineStr">
        <is>
          <t>https://www.facebook.com/namboursocial</t>
        </is>
      </c>
      <c r="J362" s="2" t="inlineStr"/>
      <c r="K362" s="2" t="inlineStr"/>
      <c r="L362" s="2" t="inlineStr">
        <is>
          <t>no website listed, only social media (verify on Google Maps)</t>
        </is>
      </c>
      <c r="M362" s="2" t="inlineStr">
        <is>
          <t>Hi Nambour Social team! [one real detail from their page]. We're AceAds, a web design studio. We couldn't find a website for Nambour Social, only your Facebook. We'd be happy to make you a free preview of what a website could look like. Want one? No cost, no obligation.</t>
        </is>
      </c>
      <c r="N362" s="4" t="inlineStr">
        <is>
          <t>Open map</t>
        </is>
      </c>
      <c r="O362" s="2" t="inlineStr">
        <is>
          <t>Not contacted</t>
        </is>
      </c>
      <c r="P362" s="2" t="inlineStr"/>
      <c r="Q362" s="2" t="inlineStr"/>
      <c r="R362" s="2" t="inlineStr"/>
      <c r="S362" s="2" t="inlineStr"/>
    </row>
    <row r="363">
      <c r="A363" s="2" t="n">
        <v>362</v>
      </c>
      <c r="B363" s="5" t="inlineStr">
        <is>
          <t>VERIFY FIRST</t>
        </is>
      </c>
      <c r="C363" s="2" t="inlineStr">
        <is>
          <t>No website found</t>
        </is>
      </c>
      <c r="D363" s="2" t="inlineStr">
        <is>
          <t>Press at Noosa</t>
        </is>
      </c>
      <c r="E363" s="2" t="inlineStr">
        <is>
          <t>cafe</t>
        </is>
      </c>
      <c r="F363" s="2" t="inlineStr">
        <is>
          <t>Sunshine Coast</t>
        </is>
      </c>
      <c r="G363" s="2" t="inlineStr">
        <is>
          <t>Facebook</t>
        </is>
      </c>
      <c r="H363" s="2" t="inlineStr"/>
      <c r="I363" s="4" t="inlineStr">
        <is>
          <t>https://www.facebook.com/profile.php?id=100054504337824</t>
        </is>
      </c>
      <c r="J363" s="2" t="inlineStr"/>
      <c r="K363" s="2" t="inlineStr"/>
      <c r="L363" s="2" t="inlineStr">
        <is>
          <t>no website listed, only social media (verify on Google Maps)</t>
        </is>
      </c>
      <c r="M363" s="2" t="inlineStr">
        <is>
          <t>Hi Press at Noosa team! [one real detail from their page]. We're AceAds, a web design studio. We couldn't find a website for Press at Noosa, only your Facebook. We'd be happy to make you a free preview of what a website could look like. Want one? No cost, no obligation.</t>
        </is>
      </c>
      <c r="N363" s="4" t="inlineStr">
        <is>
          <t>Open map</t>
        </is>
      </c>
      <c r="O363" s="2" t="inlineStr">
        <is>
          <t>Not contacted</t>
        </is>
      </c>
      <c r="P363" s="2" t="inlineStr"/>
      <c r="Q363" s="2" t="inlineStr"/>
      <c r="R363" s="2" t="inlineStr"/>
      <c r="S363" s="2" t="inlineStr"/>
    </row>
    <row r="364">
      <c r="A364" s="2" t="n">
        <v>363</v>
      </c>
      <c r="B364" s="5" t="inlineStr">
        <is>
          <t>VERIFY FIRST</t>
        </is>
      </c>
      <c r="C364" s="2" t="inlineStr">
        <is>
          <t>No website found</t>
        </is>
      </c>
      <c r="D364" s="2" t="inlineStr">
        <is>
          <t>Brown Sugar Espresso</t>
        </is>
      </c>
      <c r="E364" s="2" t="inlineStr">
        <is>
          <t>deli or specialty food</t>
        </is>
      </c>
      <c r="F364" s="2" t="inlineStr">
        <is>
          <t>Sunshine Coast</t>
        </is>
      </c>
      <c r="G364" s="2" t="inlineStr">
        <is>
          <t>Facebook</t>
        </is>
      </c>
      <c r="H364" s="2" t="inlineStr"/>
      <c r="I364" s="4" t="inlineStr">
        <is>
          <t>https://www.facebook.com/brownsugarespressonambour/</t>
        </is>
      </c>
      <c r="J364" s="2" t="inlineStr"/>
      <c r="K364" s="2" t="inlineStr"/>
      <c r="L364" s="2" t="inlineStr">
        <is>
          <t>no website listed, only social media (verify on Google Maps)</t>
        </is>
      </c>
      <c r="M364" s="2" t="inlineStr">
        <is>
          <t>Hi Brown Sugar Espresso team! [one real detail from their page]. We're AceAds, a web design studio. We couldn't find a website for Brown Sugar Espresso, only your Facebook. We'd be happy to make you a free preview of what a website could look like. Want one? No cost, no obligation.</t>
        </is>
      </c>
      <c r="N364" s="4" t="inlineStr">
        <is>
          <t>Open map</t>
        </is>
      </c>
      <c r="O364" s="2" t="inlineStr">
        <is>
          <t>Not contacted</t>
        </is>
      </c>
      <c r="P364" s="2" t="inlineStr"/>
      <c r="Q364" s="2" t="inlineStr"/>
      <c r="R364" s="2" t="inlineStr"/>
      <c r="S364" s="2" t="inlineStr"/>
    </row>
    <row r="365">
      <c r="A365" s="2" t="n">
        <v>364</v>
      </c>
      <c r="B365" s="5" t="inlineStr">
        <is>
          <t>VERIFY FIRST</t>
        </is>
      </c>
      <c r="C365" s="2" t="inlineStr">
        <is>
          <t>No website found</t>
        </is>
      </c>
      <c r="D365" s="2" t="inlineStr">
        <is>
          <t>Yandina Market Garden</t>
        </is>
      </c>
      <c r="E365" s="2" t="inlineStr">
        <is>
          <t>deli or specialty food</t>
        </is>
      </c>
      <c r="F365" s="2" t="inlineStr">
        <is>
          <t>Sunshine Coast</t>
        </is>
      </c>
      <c r="G365" s="2" t="inlineStr">
        <is>
          <t>Facebook</t>
        </is>
      </c>
      <c r="H365" s="2" t="inlineStr"/>
      <c r="I365" s="4" t="inlineStr">
        <is>
          <t>https://www.facebook.com/yandinamarketgarden/</t>
        </is>
      </c>
      <c r="J365" s="2" t="inlineStr">
        <is>
          <t>+61 7 5446 8944</t>
        </is>
      </c>
      <c r="K365" s="2" t="inlineStr"/>
      <c r="L365" s="2" t="inlineStr">
        <is>
          <t>no website listed, only social media (verify on Google Maps)</t>
        </is>
      </c>
      <c r="M365" s="2" t="inlineStr">
        <is>
          <t>Hi Yandina Market Garden team! [one real detail from their page]. We're AceAds, a web design studio. We couldn't find a website for Yandina Market Garden, only your Facebook. We'd be happy to make you a free preview of what a website could look like. Want one? No cost, no obligation.</t>
        </is>
      </c>
      <c r="N365" s="4" t="inlineStr">
        <is>
          <t>Open map</t>
        </is>
      </c>
      <c r="O365" s="2" t="inlineStr">
        <is>
          <t>Not contacted</t>
        </is>
      </c>
      <c r="P365" s="2" t="inlineStr"/>
      <c r="Q365" s="2" t="inlineStr"/>
      <c r="R365" s="2" t="inlineStr"/>
      <c r="S365" s="2" t="inlineStr"/>
    </row>
    <row r="366">
      <c r="A366" s="2" t="n">
        <v>365</v>
      </c>
      <c r="B366" s="5" t="inlineStr">
        <is>
          <t>VERIFY FIRST</t>
        </is>
      </c>
      <c r="C366" s="2" t="inlineStr">
        <is>
          <t>No website found</t>
        </is>
      </c>
      <c r="D366" s="2" t="inlineStr">
        <is>
          <t>Suncoast Mechanical</t>
        </is>
      </c>
      <c r="E366" s="2" t="inlineStr">
        <is>
          <t>mechanic</t>
        </is>
      </c>
      <c r="F366" s="2" t="inlineStr">
        <is>
          <t>Sunshine Coast</t>
        </is>
      </c>
      <c r="G366" s="2" t="inlineStr">
        <is>
          <t>Facebook</t>
        </is>
      </c>
      <c r="H366" s="2" t="inlineStr"/>
      <c r="I366" s="4" t="inlineStr">
        <is>
          <t>https://www.facebook.com/SuncoastMechanical/</t>
        </is>
      </c>
      <c r="J366" s="2" t="inlineStr"/>
      <c r="K366" s="2" t="inlineStr"/>
      <c r="L366" s="2" t="inlineStr">
        <is>
          <t>no website listed, only social media (verify on Google Maps)</t>
        </is>
      </c>
      <c r="M366" s="2" t="inlineStr">
        <is>
          <t>Hi Suncoast Mechanical team! [one real detail from their page]. We're AceAds, a web design studio. We couldn't find a website for Suncoast Mechanical, only your Facebook. We'd be happy to make you a free preview of what a website could look like. Want one? No cost, no obligation.</t>
        </is>
      </c>
      <c r="N366" s="4" t="inlineStr">
        <is>
          <t>Open map</t>
        </is>
      </c>
      <c r="O366" s="2" t="inlineStr">
        <is>
          <t>Not contacted</t>
        </is>
      </c>
      <c r="P366" s="2" t="inlineStr"/>
      <c r="Q366" s="2" t="inlineStr"/>
      <c r="R366" s="2" t="inlineStr"/>
      <c r="S366" s="2" t="inlineStr"/>
    </row>
    <row r="367">
      <c r="A367" s="2" t="n">
        <v>366</v>
      </c>
      <c r="B367" s="5" t="inlineStr">
        <is>
          <t>VERIFY FIRST</t>
        </is>
      </c>
      <c r="C367" s="2" t="inlineStr">
        <is>
          <t>No website found</t>
        </is>
      </c>
      <c r="D367" s="2" t="inlineStr">
        <is>
          <t>J J Sushi</t>
        </is>
      </c>
      <c r="E367" s="2" t="inlineStr">
        <is>
          <t>restaurant</t>
        </is>
      </c>
      <c r="F367" s="2" t="inlineStr">
        <is>
          <t>Sunshine Coast</t>
        </is>
      </c>
      <c r="G367" s="2" t="inlineStr">
        <is>
          <t>Facebook</t>
        </is>
      </c>
      <c r="H367" s="2" t="inlineStr"/>
      <c r="I367" s="4" t="inlineStr">
        <is>
          <t>https://www.facebook.com/jjsushichicken/</t>
        </is>
      </c>
      <c r="J367" s="2" t="inlineStr">
        <is>
          <t>+61 480 253 468</t>
        </is>
      </c>
      <c r="K367" s="2" t="inlineStr"/>
      <c r="L367" s="2" t="inlineStr">
        <is>
          <t>no website listed, only social media (verify on Google Maps)</t>
        </is>
      </c>
      <c r="M367" s="2" t="inlineStr">
        <is>
          <t>Hi J J Sushi team! [one real detail from their page]. We're AceAds, a web design studio. We couldn't find a website for J J Sushi, only your Facebook. We'd be happy to make you a free preview of what a website could look like. Want one? No cost, no obligation.</t>
        </is>
      </c>
      <c r="N367" s="4" t="inlineStr">
        <is>
          <t>Open map</t>
        </is>
      </c>
      <c r="O367" s="2" t="inlineStr">
        <is>
          <t>Not contacted</t>
        </is>
      </c>
      <c r="P367" s="2" t="inlineStr"/>
      <c r="Q367" s="2" t="inlineStr"/>
      <c r="R367" s="2" t="inlineStr"/>
      <c r="S367" s="2" t="inlineStr"/>
    </row>
    <row r="368">
      <c r="A368" s="2" t="n">
        <v>367</v>
      </c>
      <c r="B368" s="5" t="inlineStr">
        <is>
          <t>VERIFY FIRST</t>
        </is>
      </c>
      <c r="C368" s="2" t="inlineStr">
        <is>
          <t>No website found</t>
        </is>
      </c>
      <c r="D368" s="2" t="inlineStr">
        <is>
          <t>MM&amp;</t>
        </is>
      </c>
      <c r="E368" s="2" t="inlineStr">
        <is>
          <t>bakery</t>
        </is>
      </c>
      <c r="F368" s="2" t="inlineStr">
        <is>
          <t>Townsville</t>
        </is>
      </c>
      <c r="G368" s="2" t="inlineStr">
        <is>
          <t>Instagram</t>
        </is>
      </c>
      <c r="H368" s="4" t="inlineStr">
        <is>
          <t>https://www.instagram.com/mmandcoffeebaking</t>
        </is>
      </c>
      <c r="I368" s="4" t="inlineStr">
        <is>
          <t>https://www.facebook.com/mmandcoffeebaking/</t>
        </is>
      </c>
      <c r="J368" s="2" t="inlineStr"/>
      <c r="K368" s="2" t="inlineStr"/>
      <c r="L368" s="2" t="inlineStr">
        <is>
          <t>no website listed, only social media (verify on Google Maps)</t>
        </is>
      </c>
      <c r="M368" s="2" t="inlineStr">
        <is>
          <t>Hi MM&amp; team! [one real detail from their page]. We're AceAds, a web design studio. We couldn't find a website for MM&amp;, only your Instagram. We'd be happy to make you a free preview of what a website could look like. Want one? No cost, no obligation.</t>
        </is>
      </c>
      <c r="N368" s="4" t="inlineStr">
        <is>
          <t>Open map</t>
        </is>
      </c>
      <c r="O368" s="2" t="inlineStr">
        <is>
          <t>Not contacted</t>
        </is>
      </c>
      <c r="P368" s="2" t="inlineStr"/>
      <c r="Q368" s="2" t="inlineStr"/>
      <c r="R368" s="2" t="inlineStr"/>
      <c r="S368" s="2" t="inlineStr"/>
    </row>
    <row r="369">
      <c r="A369" s="2" t="n">
        <v>368</v>
      </c>
      <c r="B369" s="5" t="inlineStr">
        <is>
          <t>VERIFY FIRST</t>
        </is>
      </c>
      <c r="C369" s="2" t="inlineStr">
        <is>
          <t>No website found</t>
        </is>
      </c>
      <c r="D369" s="2" t="inlineStr">
        <is>
          <t>Hotel Allen</t>
        </is>
      </c>
      <c r="E369" s="2" t="inlineStr">
        <is>
          <t>bar or pub</t>
        </is>
      </c>
      <c r="F369" s="2" t="inlineStr">
        <is>
          <t>Townsville</t>
        </is>
      </c>
      <c r="G369" s="2" t="inlineStr">
        <is>
          <t>Facebook</t>
        </is>
      </c>
      <c r="H369" s="2" t="inlineStr"/>
      <c r="I369" s="4" t="inlineStr">
        <is>
          <t>https://www.facebook.com/hotelallentownsville</t>
        </is>
      </c>
      <c r="J369" s="2" t="inlineStr">
        <is>
          <t>+61 7 3051 7692</t>
        </is>
      </c>
      <c r="K369" s="2" t="inlineStr"/>
      <c r="L369" s="2" t="inlineStr">
        <is>
          <t>no website listed, only social media (verify on Google Maps)</t>
        </is>
      </c>
      <c r="M369" s="2" t="inlineStr">
        <is>
          <t>Hi Hotel Allen team! [one real detail from their page]. We're AceAds, a web design studio. We couldn't find a website for Hotel Allen, only your Facebook. We'd be happy to make you a free preview of what a website could look like. Want one? No cost, no obligation.</t>
        </is>
      </c>
      <c r="N369" s="4" t="inlineStr">
        <is>
          <t>Open map</t>
        </is>
      </c>
      <c r="O369" s="2" t="inlineStr">
        <is>
          <t>Not contacted</t>
        </is>
      </c>
      <c r="P369" s="2" t="inlineStr"/>
      <c r="Q369" s="2" t="inlineStr"/>
      <c r="R369" s="2" t="inlineStr"/>
      <c r="S369" s="2" t="inlineStr"/>
    </row>
    <row r="370">
      <c r="A370" s="2" t="n">
        <v>369</v>
      </c>
      <c r="B370" s="5" t="inlineStr">
        <is>
          <t>VERIFY FIRST</t>
        </is>
      </c>
      <c r="C370" s="2" t="inlineStr">
        <is>
          <t>No website found</t>
        </is>
      </c>
      <c r="D370" s="2" t="inlineStr">
        <is>
          <t>Lads 'n' Ladies Barber Shop</t>
        </is>
      </c>
      <c r="E370" s="2" t="inlineStr">
        <is>
          <t>barber or hairdresser</t>
        </is>
      </c>
      <c r="F370" s="2" t="inlineStr">
        <is>
          <t>Townsville</t>
        </is>
      </c>
      <c r="G370" s="2" t="inlineStr">
        <is>
          <t>Facebook</t>
        </is>
      </c>
      <c r="H370" s="2" t="inlineStr"/>
      <c r="I370" s="4" t="inlineStr">
        <is>
          <t>https://www.facebook.com/p/Lads-n-Ladies-Barber-Shop-100069962165987/</t>
        </is>
      </c>
      <c r="J370" s="2" t="inlineStr">
        <is>
          <t>+61 7 4723 6234</t>
        </is>
      </c>
      <c r="K370" s="2" t="inlineStr"/>
      <c r="L370" s="2" t="inlineStr">
        <is>
          <t>no website listed, only social media (verify on Google Maps)</t>
        </is>
      </c>
      <c r="M370" s="2" t="inlineStr">
        <is>
          <t>Hi Lads 'n' Ladies Barber Shop team! [one real detail from their page]. We're AceAds, a web design studio. We couldn't find a website for Lads 'n' Ladies Barber Shop, only your Facebook. We'd be happy to make you a free preview of what a website could look like. Want one? No cost, no obligation.</t>
        </is>
      </c>
      <c r="N370" s="4" t="inlineStr">
        <is>
          <t>Open map</t>
        </is>
      </c>
      <c r="O370" s="2" t="inlineStr">
        <is>
          <t>Not contacted</t>
        </is>
      </c>
      <c r="P370" s="2" t="inlineStr"/>
      <c r="Q370" s="2" t="inlineStr"/>
      <c r="R370" s="2" t="inlineStr"/>
      <c r="S370" s="2" t="inlineStr"/>
    </row>
    <row r="371">
      <c r="A371" s="2" t="n">
        <v>370</v>
      </c>
      <c r="B371" s="5" t="inlineStr">
        <is>
          <t>VERIFY FIRST</t>
        </is>
      </c>
      <c r="C371" s="2" t="inlineStr">
        <is>
          <t>No website found</t>
        </is>
      </c>
      <c r="D371" s="2" t="inlineStr">
        <is>
          <t>Artside</t>
        </is>
      </c>
      <c r="E371" s="2" t="inlineStr">
        <is>
          <t>beauty salon</t>
        </is>
      </c>
      <c r="F371" s="2" t="inlineStr">
        <is>
          <t>Townsville</t>
        </is>
      </c>
      <c r="G371" s="2" t="inlineStr">
        <is>
          <t>Instagram</t>
        </is>
      </c>
      <c r="H371" s="4" t="inlineStr">
        <is>
          <t>https://www.instagram.com/artside.studio</t>
        </is>
      </c>
      <c r="I371" s="2" t="inlineStr"/>
      <c r="J371" s="2" t="inlineStr"/>
      <c r="K371" s="2" t="inlineStr"/>
      <c r="L371" s="2" t="inlineStr">
        <is>
          <t>no website listed, only social media (verify on Google Maps)</t>
        </is>
      </c>
      <c r="M371" s="2" t="inlineStr">
        <is>
          <t>Hi Artside team! [one real detail from their page]. We're AceAds, a web design studio. We couldn't find a website for Artside, only your Instagram. We'd be happy to make you a free preview of what a website could look like. Want one? No cost, no obligation.</t>
        </is>
      </c>
      <c r="N371" s="4" t="inlineStr">
        <is>
          <t>Open map</t>
        </is>
      </c>
      <c r="O371" s="2" t="inlineStr">
        <is>
          <t>Not contacted</t>
        </is>
      </c>
      <c r="P371" s="2" t="inlineStr"/>
      <c r="Q371" s="2" t="inlineStr"/>
      <c r="R371" s="2" t="inlineStr"/>
      <c r="S371" s="2" t="inlineStr"/>
    </row>
    <row r="372">
      <c r="A372" s="2" t="n">
        <v>371</v>
      </c>
      <c r="B372" s="5" t="inlineStr">
        <is>
          <t>VERIFY FIRST</t>
        </is>
      </c>
      <c r="C372" s="2" t="inlineStr">
        <is>
          <t>No website found</t>
        </is>
      </c>
      <c r="D372" s="2" t="inlineStr">
        <is>
          <t>Leena's Nail and Beauty</t>
        </is>
      </c>
      <c r="E372" s="2" t="inlineStr">
        <is>
          <t>beauty salon</t>
        </is>
      </c>
      <c r="F372" s="2" t="inlineStr">
        <is>
          <t>Townsville</t>
        </is>
      </c>
      <c r="G372" s="2" t="inlineStr">
        <is>
          <t>Facebook</t>
        </is>
      </c>
      <c r="H372" s="2" t="inlineStr"/>
      <c r="I372" s="4" t="inlineStr">
        <is>
          <t>https://www.facebook.com/QueensNailsNBeauty</t>
        </is>
      </c>
      <c r="J372" s="2" t="inlineStr">
        <is>
          <t>+61 401 774 252</t>
        </is>
      </c>
      <c r="K372" s="2" t="inlineStr"/>
      <c r="L372" s="2" t="inlineStr">
        <is>
          <t>no website listed, only social media (verify on Google Maps)</t>
        </is>
      </c>
      <c r="M372" s="2" t="inlineStr">
        <is>
          <t>Hi Leena's Nail and Beauty team! [one real detail from their page]. We're AceAds, a web design studio. We couldn't find a website for Leena's Nail and Beauty, only your Facebook. We'd be happy to make you a free preview of what a website could look like. Want one? No cost, no obligation.</t>
        </is>
      </c>
      <c r="N372" s="4" t="inlineStr">
        <is>
          <t>Open map</t>
        </is>
      </c>
      <c r="O372" s="2" t="inlineStr">
        <is>
          <t>Not contacted</t>
        </is>
      </c>
      <c r="P372" s="2" t="inlineStr"/>
      <c r="Q372" s="2" t="inlineStr"/>
      <c r="R372" s="2" t="inlineStr"/>
      <c r="S372" s="2" t="inlineStr"/>
    </row>
    <row r="373">
      <c r="A373" s="2" t="n">
        <v>372</v>
      </c>
      <c r="B373" s="5" t="inlineStr">
        <is>
          <t>VERIFY FIRST</t>
        </is>
      </c>
      <c r="C373" s="2" t="inlineStr">
        <is>
          <t>No website found</t>
        </is>
      </c>
      <c r="D373" s="2" t="inlineStr">
        <is>
          <t>Axell Rose</t>
        </is>
      </c>
      <c r="E373" s="2" t="inlineStr">
        <is>
          <t>boutique</t>
        </is>
      </c>
      <c r="F373" s="2" t="inlineStr">
        <is>
          <t>Townsville</t>
        </is>
      </c>
      <c r="G373" s="2" t="inlineStr">
        <is>
          <t>Instagram</t>
        </is>
      </c>
      <c r="H373" s="4" t="inlineStr">
        <is>
          <t>https://www.instagram.com/axellroseboutique</t>
        </is>
      </c>
      <c r="I373" s="4" t="inlineStr">
        <is>
          <t>https://www.facebook.com/Axell-Rose-Boutique-102241341219356/</t>
        </is>
      </c>
      <c r="J373" s="2" t="inlineStr">
        <is>
          <t>+61 417 079 165</t>
        </is>
      </c>
      <c r="K373" s="2" t="inlineStr"/>
      <c r="L373" s="2" t="inlineStr">
        <is>
          <t>no website listed, only social media (verify on Google Maps)</t>
        </is>
      </c>
      <c r="M373" s="2" t="inlineStr">
        <is>
          <t>Hi Axell Rose team! [one real detail from their page]. We're AceAds, a web design studio. We couldn't find a website for Axell Rose, only your Instagram. We'd be happy to make you a free preview of what a website could look like. Want one? No cost, no obligation.</t>
        </is>
      </c>
      <c r="N373" s="4" t="inlineStr">
        <is>
          <t>Open map</t>
        </is>
      </c>
      <c r="O373" s="2" t="inlineStr">
        <is>
          <t>Not contacted</t>
        </is>
      </c>
      <c r="P373" s="2" t="inlineStr"/>
      <c r="Q373" s="2" t="inlineStr"/>
      <c r="R373" s="2" t="inlineStr"/>
      <c r="S373" s="2" t="inlineStr"/>
    </row>
    <row r="374">
      <c r="A374" s="2" t="n">
        <v>373</v>
      </c>
      <c r="B374" s="5" t="inlineStr">
        <is>
          <t>VERIFY FIRST</t>
        </is>
      </c>
      <c r="C374" s="2" t="inlineStr">
        <is>
          <t>No website found</t>
        </is>
      </c>
      <c r="D374" s="2" t="inlineStr">
        <is>
          <t>Summer Land</t>
        </is>
      </c>
      <c r="E374" s="2" t="inlineStr">
        <is>
          <t>boutique</t>
        </is>
      </c>
      <c r="F374" s="2" t="inlineStr">
        <is>
          <t>Townsville</t>
        </is>
      </c>
      <c r="G374" s="2" t="inlineStr">
        <is>
          <t>Instagram</t>
        </is>
      </c>
      <c r="H374" s="4" t="inlineStr">
        <is>
          <t>https://www.instagram.com/summerland_aus</t>
        </is>
      </c>
      <c r="I374" s="2" t="inlineStr"/>
      <c r="J374" s="2" t="inlineStr">
        <is>
          <t>+61 7 4724 2346</t>
        </is>
      </c>
      <c r="K374" s="2" t="inlineStr"/>
      <c r="L374" s="2" t="inlineStr">
        <is>
          <t>no website listed, only social media (verify on Google Maps)</t>
        </is>
      </c>
      <c r="M374" s="2" t="inlineStr">
        <is>
          <t>Hi Summer Land team! [one real detail from their page]. We're AceAds, a web design studio. We couldn't find a website for Summer Land, only your Instagram. We'd be happy to make you a free preview of what a website could look like. Want one? No cost, no obligation.</t>
        </is>
      </c>
      <c r="N374" s="4" t="inlineStr">
        <is>
          <t>Open map</t>
        </is>
      </c>
      <c r="O374" s="2" t="inlineStr">
        <is>
          <t>Not contacted</t>
        </is>
      </c>
      <c r="P374" s="2" t="inlineStr"/>
      <c r="Q374" s="2" t="inlineStr"/>
      <c r="R374" s="2" t="inlineStr"/>
      <c r="S374" s="2" t="inlineStr"/>
    </row>
    <row r="375">
      <c r="A375" s="2" t="n">
        <v>374</v>
      </c>
      <c r="B375" s="5" t="inlineStr">
        <is>
          <t>VERIFY FIRST</t>
        </is>
      </c>
      <c r="C375" s="2" t="inlineStr">
        <is>
          <t>No website found</t>
        </is>
      </c>
      <c r="D375" s="2" t="inlineStr">
        <is>
          <t>Urban Loft Lifestyle</t>
        </is>
      </c>
      <c r="E375" s="2" t="inlineStr">
        <is>
          <t>boutique</t>
        </is>
      </c>
      <c r="F375" s="2" t="inlineStr">
        <is>
          <t>Townsville</t>
        </is>
      </c>
      <c r="G375" s="2" t="inlineStr">
        <is>
          <t>Facebook</t>
        </is>
      </c>
      <c r="H375" s="2" t="inlineStr"/>
      <c r="I375" s="4" t="inlineStr">
        <is>
          <t>https://www.facebook.com/northwardtownsville</t>
        </is>
      </c>
      <c r="J375" s="2" t="inlineStr">
        <is>
          <t>+61 7 4724 5665</t>
        </is>
      </c>
      <c r="K375" s="2" t="inlineStr"/>
      <c r="L375" s="2" t="inlineStr">
        <is>
          <t>no website listed, only social media (verify on Google Maps)</t>
        </is>
      </c>
      <c r="M375" s="2" t="inlineStr">
        <is>
          <t>Hi Urban Loft Lifestyle team! [one real detail from their page]. We're AceAds, a web design studio. We couldn't find a website for Urban Loft Lifestyle, only your Facebook. We'd be happy to make you a free preview of what a website could look like. Want one? No cost, no obligation.</t>
        </is>
      </c>
      <c r="N375" s="4" t="inlineStr">
        <is>
          <t>Open map</t>
        </is>
      </c>
      <c r="O375" s="2" t="inlineStr">
        <is>
          <t>Not contacted</t>
        </is>
      </c>
      <c r="P375" s="2" t="inlineStr"/>
      <c r="Q375" s="2" t="inlineStr"/>
      <c r="R375" s="2" t="inlineStr"/>
      <c r="S375" s="2" t="inlineStr"/>
    </row>
    <row r="376">
      <c r="A376" s="2" t="n">
        <v>375</v>
      </c>
      <c r="B376" s="5" t="inlineStr">
        <is>
          <t>VERIFY FIRST</t>
        </is>
      </c>
      <c r="C376" s="2" t="inlineStr">
        <is>
          <t>No website found</t>
        </is>
      </c>
      <c r="D376" s="2" t="inlineStr">
        <is>
          <t>Balabite</t>
        </is>
      </c>
      <c r="E376" s="2" t="inlineStr">
        <is>
          <t>cafe</t>
        </is>
      </c>
      <c r="F376" s="2" t="inlineStr">
        <is>
          <t>Townsville</t>
        </is>
      </c>
      <c r="G376" s="2" t="inlineStr">
        <is>
          <t>Instagram</t>
        </is>
      </c>
      <c r="H376" s="4" t="inlineStr">
        <is>
          <t>https://www.instagram.com/balabite</t>
        </is>
      </c>
      <c r="I376" s="4" t="inlineStr">
        <is>
          <t>https://www.facebook.com/balabite/</t>
        </is>
      </c>
      <c r="J376" s="2" t="inlineStr"/>
      <c r="K376" s="2" t="inlineStr"/>
      <c r="L376" s="2" t="inlineStr">
        <is>
          <t>no website listed, only social media (verify on Google Maps)</t>
        </is>
      </c>
      <c r="M376" s="2" t="inlineStr">
        <is>
          <t>Hi Balabite team! [one real detail from their page]. We're AceAds, a web design studio. We couldn't find a website for Balabite, only your Instagram. We'd be happy to make you a free preview of what a website could look like. Want one? No cost, no obligation.</t>
        </is>
      </c>
      <c r="N376" s="4" t="inlineStr">
        <is>
          <t>Open map</t>
        </is>
      </c>
      <c r="O376" s="2" t="inlineStr">
        <is>
          <t>Not contacted</t>
        </is>
      </c>
      <c r="P376" s="2" t="inlineStr"/>
      <c r="Q376" s="2" t="inlineStr"/>
      <c r="R376" s="2" t="inlineStr"/>
      <c r="S376" s="2" t="inlineStr"/>
    </row>
    <row r="377">
      <c r="A377" s="2" t="n">
        <v>376</v>
      </c>
      <c r="B377" s="5" t="inlineStr">
        <is>
          <t>VERIFY FIRST</t>
        </is>
      </c>
      <c r="C377" s="2" t="inlineStr">
        <is>
          <t>No website found</t>
        </is>
      </c>
      <c r="D377" s="2" t="inlineStr">
        <is>
          <t>Bubble Shack</t>
        </is>
      </c>
      <c r="E377" s="2" t="inlineStr">
        <is>
          <t>cafe</t>
        </is>
      </c>
      <c r="F377" s="2" t="inlineStr">
        <is>
          <t>Townsville</t>
        </is>
      </c>
      <c r="G377" s="2" t="inlineStr">
        <is>
          <t>Facebook</t>
        </is>
      </c>
      <c r="H377" s="2" t="inlineStr"/>
      <c r="I377" s="4" t="inlineStr">
        <is>
          <t>https://www.facebook.com/thebubbleshackbubbletea</t>
        </is>
      </c>
      <c r="J377" s="2" t="inlineStr">
        <is>
          <t>+61 7 4772 0103</t>
        </is>
      </c>
      <c r="K377" s="2" t="inlineStr"/>
      <c r="L377" s="2" t="inlineStr">
        <is>
          <t>no website listed, only social media (verify on Google Maps)</t>
        </is>
      </c>
      <c r="M377" s="2" t="inlineStr">
        <is>
          <t>Hi Bubble Shack team! [one real detail from their page]. We're AceAds, a web design studio. We couldn't find a website for Bubble Shack, only your Facebook. We'd be happy to make you a free preview of what a website could look like. Want one? No cost, no obligation.</t>
        </is>
      </c>
      <c r="N377" s="4" t="inlineStr">
        <is>
          <t>Open map</t>
        </is>
      </c>
      <c r="O377" s="2" t="inlineStr">
        <is>
          <t>Not contacted</t>
        </is>
      </c>
      <c r="P377" s="2" t="inlineStr"/>
      <c r="Q377" s="2" t="inlineStr"/>
      <c r="R377" s="2" t="inlineStr"/>
      <c r="S377" s="2" t="inlineStr"/>
    </row>
    <row r="378">
      <c r="A378" s="2" t="n">
        <v>377</v>
      </c>
      <c r="B378" s="5" t="inlineStr">
        <is>
          <t>VERIFY FIRST</t>
        </is>
      </c>
      <c r="C378" s="2" t="inlineStr">
        <is>
          <t>No website found</t>
        </is>
      </c>
      <c r="D378" s="2" t="inlineStr">
        <is>
          <t>Sunvale Meats</t>
        </is>
      </c>
      <c r="E378" s="2" t="inlineStr">
        <is>
          <t>deli or specialty food</t>
        </is>
      </c>
      <c r="F378" s="2" t="inlineStr">
        <is>
          <t>Townsville</t>
        </is>
      </c>
      <c r="G378" s="2" t="inlineStr">
        <is>
          <t>Facebook</t>
        </is>
      </c>
      <c r="H378" s="2" t="inlineStr"/>
      <c r="I378" s="4" t="inlineStr">
        <is>
          <t>https://m.facebook.com/people/Sunvale-Meats/100063491471034/</t>
        </is>
      </c>
      <c r="J378" s="2" t="inlineStr">
        <is>
          <t>+61 7 4775 3750</t>
        </is>
      </c>
      <c r="K378" s="2" t="inlineStr"/>
      <c r="L378" s="2" t="inlineStr">
        <is>
          <t>no website listed, only social media (verify on Google Maps)</t>
        </is>
      </c>
      <c r="M378" s="2" t="inlineStr">
        <is>
          <t>Hi Sunvale Meats team! [one real detail from their page]. We're AceAds, a web design studio. We couldn't find a website for Sunvale Meats, only your Facebook. We'd be happy to make you a free preview of what a website could look like. Want one? No cost, no obligation.</t>
        </is>
      </c>
      <c r="N378" s="4" t="inlineStr">
        <is>
          <t>Open map</t>
        </is>
      </c>
      <c r="O378" s="2" t="inlineStr">
        <is>
          <t>Not contacted</t>
        </is>
      </c>
      <c r="P378" s="2" t="inlineStr"/>
      <c r="Q378" s="2" t="inlineStr"/>
      <c r="R378" s="2" t="inlineStr"/>
      <c r="S378" s="2" t="inlineStr"/>
    </row>
    <row r="379">
      <c r="A379" s="2" t="n">
        <v>378</v>
      </c>
      <c r="B379" s="5" t="inlineStr">
        <is>
          <t>VERIFY FIRST</t>
        </is>
      </c>
      <c r="C379" s="2" t="inlineStr">
        <is>
          <t>No website found</t>
        </is>
      </c>
      <c r="D379" s="2" t="inlineStr">
        <is>
          <t>Aussie Thai Fusion</t>
        </is>
      </c>
      <c r="E379" s="2" t="inlineStr">
        <is>
          <t>restaurant</t>
        </is>
      </c>
      <c r="F379" s="2" t="inlineStr">
        <is>
          <t>Townsville</t>
        </is>
      </c>
      <c r="G379" s="2" t="inlineStr">
        <is>
          <t>Facebook</t>
        </is>
      </c>
      <c r="H379" s="2" t="inlineStr"/>
      <c r="I379" s="4" t="inlineStr">
        <is>
          <t>https://www.facebook.com/Aussie-Thai-Fusion-413149449023841</t>
        </is>
      </c>
      <c r="J379" s="2" t="inlineStr">
        <is>
          <t>+61 7 4721 2524</t>
        </is>
      </c>
      <c r="K379" s="2" t="inlineStr"/>
      <c r="L379" s="2" t="inlineStr">
        <is>
          <t>no website listed, only social media (verify on Google Maps)</t>
        </is>
      </c>
      <c r="M379" s="2" t="inlineStr">
        <is>
          <t>Hi Aussie Thai Fusion team! [one real detail from their page]. We're AceAds, a web design studio. We couldn't find a website for Aussie Thai Fusion, only your Facebook. We'd be happy to make you a free preview of what a website could look like. Want one? No cost, no obligation.</t>
        </is>
      </c>
      <c r="N379" s="4" t="inlineStr">
        <is>
          <t>Open map</t>
        </is>
      </c>
      <c r="O379" s="2" t="inlineStr">
        <is>
          <t>Not contacted</t>
        </is>
      </c>
      <c r="P379" s="2" t="inlineStr"/>
      <c r="Q379" s="2" t="inlineStr"/>
      <c r="R379" s="2" t="inlineStr"/>
      <c r="S379" s="2" t="inlineStr"/>
    </row>
    <row r="380">
      <c r="A380" s="2" t="n">
        <v>379</v>
      </c>
      <c r="B380" s="5" t="inlineStr">
        <is>
          <t>VERIFY FIRST</t>
        </is>
      </c>
      <c r="C380" s="2" t="inlineStr">
        <is>
          <t>No website found</t>
        </is>
      </c>
      <c r="D380" s="2" t="inlineStr">
        <is>
          <t>Bountiful Thai</t>
        </is>
      </c>
      <c r="E380" s="2" t="inlineStr">
        <is>
          <t>restaurant</t>
        </is>
      </c>
      <c r="F380" s="2" t="inlineStr">
        <is>
          <t>Townsville</t>
        </is>
      </c>
      <c r="G380" s="2" t="inlineStr">
        <is>
          <t>Facebook</t>
        </is>
      </c>
      <c r="H380" s="2" t="inlineStr"/>
      <c r="I380" s="4" t="inlineStr">
        <is>
          <t>https://www.facebook.com/bountifulthai</t>
        </is>
      </c>
      <c r="J380" s="2" t="inlineStr">
        <is>
          <t>+61 7 4771 5578</t>
        </is>
      </c>
      <c r="K380" s="2" t="inlineStr"/>
      <c r="L380" s="2" t="inlineStr">
        <is>
          <t>no website listed, only social media (verify on Google Maps)</t>
        </is>
      </c>
      <c r="M380" s="2" t="inlineStr">
        <is>
          <t>Hi Bountiful Thai team! [one real detail from their page]. We're AceAds, a web design studio. We couldn't find a website for Bountiful Thai, only your Facebook. We'd be happy to make you a free preview of what a website could look like. Want one? No cost, no obligation.</t>
        </is>
      </c>
      <c r="N380" s="4" t="inlineStr">
        <is>
          <t>Open map</t>
        </is>
      </c>
      <c r="O380" s="2" t="inlineStr">
        <is>
          <t>Not contacted</t>
        </is>
      </c>
      <c r="P380" s="2" t="inlineStr"/>
      <c r="Q380" s="2" t="inlineStr"/>
      <c r="R380" s="2" t="inlineStr"/>
      <c r="S380" s="2" t="inlineStr"/>
    </row>
    <row r="381">
      <c r="A381" s="2" t="n">
        <v>380</v>
      </c>
      <c r="B381" s="5" t="inlineStr">
        <is>
          <t>VERIFY FIRST</t>
        </is>
      </c>
      <c r="C381" s="2" t="inlineStr">
        <is>
          <t>No website found</t>
        </is>
      </c>
      <c r="D381" s="2" t="inlineStr">
        <is>
          <t>Chico Rio</t>
        </is>
      </c>
      <c r="E381" s="2" t="inlineStr">
        <is>
          <t>restaurant</t>
        </is>
      </c>
      <c r="F381" s="2" t="inlineStr">
        <is>
          <t>Townsville</t>
        </is>
      </c>
      <c r="G381" s="2" t="inlineStr">
        <is>
          <t>Facebook</t>
        </is>
      </c>
      <c r="H381" s="2" t="inlineStr"/>
      <c r="I381" s="4" t="inlineStr">
        <is>
          <t>https://www.facebook.com/chicoriotsv</t>
        </is>
      </c>
      <c r="J381" s="2" t="inlineStr">
        <is>
          <t>+61 7 4772 1073</t>
        </is>
      </c>
      <c r="K381" s="2" t="inlineStr"/>
      <c r="L381" s="2" t="inlineStr">
        <is>
          <t>no website listed, only social media (verify on Google Maps)</t>
        </is>
      </c>
      <c r="M381" s="2" t="inlineStr">
        <is>
          <t>Hi Chico Rio team! [one real detail from their page]. We're AceAds, a web design studio. We couldn't find a website for Chico Rio, only your Facebook. We'd be happy to make you a free preview of what a website could look like. Want one? No cost, no obligation.</t>
        </is>
      </c>
      <c r="N381" s="4" t="inlineStr">
        <is>
          <t>Open map</t>
        </is>
      </c>
      <c r="O381" s="2" t="inlineStr">
        <is>
          <t>Not contacted</t>
        </is>
      </c>
      <c r="P381" s="2" t="inlineStr"/>
      <c r="Q381" s="2" t="inlineStr"/>
      <c r="R381" s="2" t="inlineStr"/>
      <c r="S381" s="2" t="inlineStr"/>
    </row>
    <row r="382">
      <c r="A382" s="2" t="n">
        <v>381</v>
      </c>
      <c r="B382" s="5" t="inlineStr">
        <is>
          <t>VERIFY FIRST</t>
        </is>
      </c>
      <c r="C382" s="2" t="inlineStr">
        <is>
          <t>No website found</t>
        </is>
      </c>
      <c r="D382" s="2" t="inlineStr">
        <is>
          <t>Wild Rice</t>
        </is>
      </c>
      <c r="E382" s="2" t="inlineStr">
        <is>
          <t>restaurant</t>
        </is>
      </c>
      <c r="F382" s="2" t="inlineStr">
        <is>
          <t>Townsville</t>
        </is>
      </c>
      <c r="G382" s="2" t="inlineStr">
        <is>
          <t>Facebook</t>
        </is>
      </c>
      <c r="H382" s="2" t="inlineStr"/>
      <c r="I382" s="4" t="inlineStr">
        <is>
          <t>https://www.facebook.com/WildRiceLaoThai</t>
        </is>
      </c>
      <c r="J382" s="2" t="inlineStr">
        <is>
          <t>+61 7 4771 6242</t>
        </is>
      </c>
      <c r="K382" s="2" t="inlineStr"/>
      <c r="L382" s="2" t="inlineStr">
        <is>
          <t>no website listed, only social media (verify on Google Maps)</t>
        </is>
      </c>
      <c r="M382" s="2" t="inlineStr">
        <is>
          <t>Hi Wild Rice team! [one real detail from their page]. We're AceAds, a web design studio. We couldn't find a website for Wild Rice, only your Facebook. We'd be happy to make you a free preview of what a website could look like. Want one? No cost, no obligation.</t>
        </is>
      </c>
      <c r="N382" s="4" t="inlineStr">
        <is>
          <t>Open map</t>
        </is>
      </c>
      <c r="O382" s="2" t="inlineStr">
        <is>
          <t>Not contacted</t>
        </is>
      </c>
      <c r="P382" s="2" t="inlineStr"/>
      <c r="Q382" s="2" t="inlineStr"/>
      <c r="R382" s="2" t="inlineStr"/>
      <c r="S382" s="2" t="inlineStr"/>
    </row>
    <row r="383">
      <c r="A383" s="2" t="n">
        <v>382</v>
      </c>
      <c r="B383" s="5" t="inlineStr">
        <is>
          <t>VERIFY FIRST</t>
        </is>
      </c>
      <c r="C383" s="2" t="inlineStr">
        <is>
          <t>No website found</t>
        </is>
      </c>
      <c r="D383" s="2" t="inlineStr">
        <is>
          <t>Fish N Chip Delights</t>
        </is>
      </c>
      <c r="E383" s="2" t="inlineStr">
        <is>
          <t>takeaway</t>
        </is>
      </c>
      <c r="F383" s="2" t="inlineStr">
        <is>
          <t>Townsville</t>
        </is>
      </c>
      <c r="G383" s="2" t="inlineStr">
        <is>
          <t>Facebook</t>
        </is>
      </c>
      <c r="H383" s="2" t="inlineStr"/>
      <c r="I383" s="4" t="inlineStr">
        <is>
          <t>https://facebook.com/FISHnCHIPDelights</t>
        </is>
      </c>
      <c r="J383" s="2" t="inlineStr">
        <is>
          <t>+61 7 4740 4949</t>
        </is>
      </c>
      <c r="K383" s="2" t="inlineStr"/>
      <c r="L383" s="2" t="inlineStr">
        <is>
          <t>no website listed, only social media (verify on Google Maps)</t>
        </is>
      </c>
      <c r="M383" s="2" t="inlineStr">
        <is>
          <t>Hi Fish N Chip Delights team! [one real detail from their page]. We're AceAds, a web design studio. We couldn't find a website for Fish N Chip Delights, only your Facebook. We'd be happy to make you a free preview of what a website could look like. Want one? No cost, no obligation.</t>
        </is>
      </c>
      <c r="N383" s="4" t="inlineStr">
        <is>
          <t>Open map</t>
        </is>
      </c>
      <c r="O383" s="2" t="inlineStr">
        <is>
          <t>Not contacted</t>
        </is>
      </c>
      <c r="P383" s="2" t="inlineStr"/>
      <c r="Q383" s="2" t="inlineStr"/>
      <c r="R383" s="2" t="inlineStr"/>
      <c r="S383" s="2" t="inlineStr"/>
    </row>
    <row r="384">
      <c r="A384" s="2" t="n">
        <v>383</v>
      </c>
      <c r="B384" s="5" t="inlineStr">
        <is>
          <t>VERIFY FIRST</t>
        </is>
      </c>
      <c r="C384" s="2" t="inlineStr">
        <is>
          <t>Site shows an error</t>
        </is>
      </c>
      <c r="D384" s="2" t="inlineStr">
        <is>
          <t>Squeeze Me</t>
        </is>
      </c>
      <c r="E384" s="2" t="inlineStr">
        <is>
          <t>takeaway</t>
        </is>
      </c>
      <c r="F384" s="2" t="inlineStr">
        <is>
          <t>Townsville</t>
        </is>
      </c>
      <c r="G384" s="2" t="inlineStr">
        <is>
          <t>Facebook</t>
        </is>
      </c>
      <c r="H384" s="2" t="inlineStr"/>
      <c r="I384" s="4" t="inlineStr">
        <is>
          <t>https://www.facebook.com/Squeezemetownsville</t>
        </is>
      </c>
      <c r="J384" s="2" t="inlineStr">
        <is>
          <t>+61 7 4721 0322</t>
        </is>
      </c>
      <c r="K384" s="4" t="inlineStr">
        <is>
          <t>https://www.squeezeme.com.au/</t>
        </is>
      </c>
      <c r="L384" s="2" t="inlineStr">
        <is>
          <t>homepage shows an error page (HTTP 404)</t>
        </is>
      </c>
      <c r="M384" s="2" t="inlineStr">
        <is>
          <t>Hi Squeeze Me team! [one real detail from their page]. We're AceAds, a web design studio. We noticed your website was showing an error page when we tried it. We'd be happy to make you a free preview of what a website could look like. Want one? No cost, no obligation.</t>
        </is>
      </c>
      <c r="N384" s="4" t="inlineStr">
        <is>
          <t>Open map</t>
        </is>
      </c>
      <c r="O384" s="2" t="inlineStr">
        <is>
          <t>Not contacted</t>
        </is>
      </c>
      <c r="P384" s="2" t="inlineStr"/>
      <c r="Q384" s="2" t="inlineStr"/>
      <c r="R384" s="2" t="inlineStr"/>
      <c r="S384" s="2" t="inlineStr"/>
    </row>
    <row r="385">
      <c r="A385" s="2" t="n">
        <v>384</v>
      </c>
      <c r="B385" s="5" t="inlineStr">
        <is>
          <t>VERIFY FIRST</t>
        </is>
      </c>
      <c r="C385" s="2" t="inlineStr">
        <is>
          <t>No website found</t>
        </is>
      </c>
      <c r="D385" s="2" t="inlineStr">
        <is>
          <t>Dark Arts Tattoo</t>
        </is>
      </c>
      <c r="E385" s="2" t="inlineStr">
        <is>
          <t>tattoo studio</t>
        </is>
      </c>
      <c r="F385" s="2" t="inlineStr">
        <is>
          <t>Townsville</t>
        </is>
      </c>
      <c r="G385" s="2" t="inlineStr">
        <is>
          <t>Facebook</t>
        </is>
      </c>
      <c r="H385" s="2" t="inlineStr"/>
      <c r="I385" s="4" t="inlineStr">
        <is>
          <t>https://www.facebook.com/DarkArtsTattooTsv/</t>
        </is>
      </c>
      <c r="J385" s="2" t="inlineStr"/>
      <c r="K385" s="2" t="inlineStr"/>
      <c r="L385" s="2" t="inlineStr">
        <is>
          <t>no website listed, only social media (verify on Google Maps)</t>
        </is>
      </c>
      <c r="M385" s="2" t="inlineStr">
        <is>
          <t>Hi Dark Arts Tattoo team! [one real detail from their page]. We're AceAds, a web design studio. We couldn't find a website for Dark Arts Tattoo, only your Facebook. We'd be happy to make you a free preview of what a website could look like. Want one? No cost, no obligation.</t>
        </is>
      </c>
      <c r="N385" s="4" t="inlineStr">
        <is>
          <t>Open map</t>
        </is>
      </c>
      <c r="O385" s="2" t="inlineStr">
        <is>
          <t>Not contacted</t>
        </is>
      </c>
      <c r="P385" s="2" t="inlineStr"/>
      <c r="Q385" s="2" t="inlineStr"/>
      <c r="R385" s="2" t="inlineStr"/>
      <c r="S385" s="2" t="inlineStr"/>
    </row>
    <row r="386">
      <c r="A386" s="2" t="n">
        <v>385</v>
      </c>
      <c r="B386" s="6" t="inlineStr">
        <is>
          <t>MEDIUM</t>
        </is>
      </c>
      <c r="C386" s="2" t="inlineStr">
        <is>
          <t>Weak website</t>
        </is>
      </c>
      <c r="D386" s="2" t="inlineStr">
        <is>
          <t>Proactive Coaching</t>
        </is>
      </c>
      <c r="E386" s="2" t="inlineStr">
        <is>
          <t>allied health</t>
        </is>
      </c>
      <c r="F386" s="2" t="inlineStr">
        <is>
          <t>Brisbane</t>
        </is>
      </c>
      <c r="G386" s="2" t="inlineStr">
        <is>
          <t>Facebook</t>
        </is>
      </c>
      <c r="H386" s="2" t="inlineStr"/>
      <c r="I386" s="4" t="inlineStr">
        <is>
          <t>https://www.facebook.com/lindsay.trims</t>
        </is>
      </c>
      <c r="J386" s="2" t="inlineStr">
        <is>
          <t>+61 411 036 297</t>
        </is>
      </c>
      <c r="K386" s="4" t="inlineStr">
        <is>
          <t>http://proactivecoaching.net/</t>
        </is>
      </c>
      <c r="L386" s="2" t="inlineStr">
        <is>
          <t>no HTTPS (browser shows 'Not secure'); not mobile-friendly (no viewport tag)</t>
        </is>
      </c>
      <c r="M386" s="2" t="inlineStr">
        <is>
          <t>Hi Proactive Coaching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86" s="4" t="inlineStr">
        <is>
          <t>Open map</t>
        </is>
      </c>
      <c r="O386" s="2" t="inlineStr">
        <is>
          <t>Not contacted</t>
        </is>
      </c>
      <c r="P386" s="2" t="inlineStr"/>
      <c r="Q386" s="2" t="inlineStr"/>
      <c r="R386" s="2" t="inlineStr"/>
      <c r="S386" s="2" t="inlineStr"/>
    </row>
    <row r="387">
      <c r="A387" s="2" t="n">
        <v>386</v>
      </c>
      <c r="B387" s="6" t="inlineStr">
        <is>
          <t>MEDIUM</t>
        </is>
      </c>
      <c r="C387" s="2" t="inlineStr">
        <is>
          <t>Weak website</t>
        </is>
      </c>
      <c r="D387" s="2" t="inlineStr">
        <is>
          <t>Contrasts Hair Studio</t>
        </is>
      </c>
      <c r="E387" s="2" t="inlineStr">
        <is>
          <t>barber or hairdresser</t>
        </is>
      </c>
      <c r="F387" s="2" t="inlineStr">
        <is>
          <t>Brisbane</t>
        </is>
      </c>
      <c r="G387" s="2" t="inlineStr">
        <is>
          <t>Facebook</t>
        </is>
      </c>
      <c r="H387" s="2" t="inlineStr"/>
      <c r="I387" s="4" t="inlineStr">
        <is>
          <t>https://www.facebook.com/Contrastshairstudio</t>
        </is>
      </c>
      <c r="J387" s="2" t="inlineStr">
        <is>
          <t>+61 7 3356 4433</t>
        </is>
      </c>
      <c r="K387" s="4" t="inlineStr">
        <is>
          <t>https://contrasts.com.au/</t>
        </is>
      </c>
      <c r="L387" s="2" t="inlineStr">
        <is>
          <t>not mobile-friendly (no viewport tag); missing meta description</t>
        </is>
      </c>
      <c r="M387" s="2" t="inlineStr">
        <is>
          <t>Hi Contrasts Hair Studio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87" s="4" t="inlineStr">
        <is>
          <t>Open map</t>
        </is>
      </c>
      <c r="O387" s="2" t="inlineStr">
        <is>
          <t>Not contacted</t>
        </is>
      </c>
      <c r="P387" s="2" t="inlineStr"/>
      <c r="Q387" s="2" t="inlineStr"/>
      <c r="R387" s="2" t="inlineStr"/>
      <c r="S387" s="2" t="inlineStr"/>
    </row>
    <row r="388">
      <c r="A388" s="2" t="n">
        <v>387</v>
      </c>
      <c r="B388" s="6" t="inlineStr">
        <is>
          <t>MEDIUM</t>
        </is>
      </c>
      <c r="C388" s="2" t="inlineStr">
        <is>
          <t>Weak website</t>
        </is>
      </c>
      <c r="D388" s="2" t="inlineStr">
        <is>
          <t>Embroidery Queen</t>
        </is>
      </c>
      <c r="E388" s="2" t="inlineStr">
        <is>
          <t>boutique</t>
        </is>
      </c>
      <c r="F388" s="2" t="inlineStr">
        <is>
          <t>Brisbane</t>
        </is>
      </c>
      <c r="G388" s="2" t="inlineStr">
        <is>
          <t>Instagram</t>
        </is>
      </c>
      <c r="H388" s="4" t="inlineStr">
        <is>
          <t>https://www.instagram.com/embroideryqueenau</t>
        </is>
      </c>
      <c r="I388" s="4" t="inlineStr">
        <is>
          <t>https://www.facebook.com/EmbroideryQueens</t>
        </is>
      </c>
      <c r="J388" s="2" t="inlineStr">
        <is>
          <t>+61 422 597 294</t>
        </is>
      </c>
      <c r="K388" s="4" t="inlineStr">
        <is>
          <t>http://www.embroideryqueen.com.au/</t>
        </is>
      </c>
      <c r="L388" s="2" t="inlineStr">
        <is>
          <t>no HTTPS (browser shows 'Not secure'); not mobile-friendly (no viewport tag)</t>
        </is>
      </c>
      <c r="M388" s="2" t="inlineStr">
        <is>
          <t>Hi Embroidery Queen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88" s="4" t="inlineStr">
        <is>
          <t>Open map</t>
        </is>
      </c>
      <c r="O388" s="2" t="inlineStr">
        <is>
          <t>Not contacted</t>
        </is>
      </c>
      <c r="P388" s="2" t="inlineStr"/>
      <c r="Q388" s="2" t="inlineStr"/>
      <c r="R388" s="2" t="inlineStr"/>
      <c r="S388" s="2" t="inlineStr"/>
    </row>
    <row r="389">
      <c r="A389" s="2" t="n">
        <v>388</v>
      </c>
      <c r="B389" s="6" t="inlineStr">
        <is>
          <t>MEDIUM</t>
        </is>
      </c>
      <c r="C389" s="2" t="inlineStr">
        <is>
          <t>Weak website</t>
        </is>
      </c>
      <c r="D389" s="2" t="inlineStr">
        <is>
          <t>Forages</t>
        </is>
      </c>
      <c r="E389" s="2" t="inlineStr">
        <is>
          <t>cafe</t>
        </is>
      </c>
      <c r="F389" s="2" t="inlineStr">
        <is>
          <t>Brisbane</t>
        </is>
      </c>
      <c r="G389" s="2" t="inlineStr">
        <is>
          <t>Facebook</t>
        </is>
      </c>
      <c r="H389" s="2" t="inlineStr"/>
      <c r="I389" s="4" t="inlineStr">
        <is>
          <t>https://www.facebook.com/foragesdelicafe</t>
        </is>
      </c>
      <c r="J389" s="2" t="inlineStr"/>
      <c r="K389" s="4" t="inlineStr">
        <is>
          <t>https://www.foragesdelicafe.com.au/</t>
        </is>
      </c>
      <c r="L389" s="2" t="inlineStr">
        <is>
          <t>looks outdated (copyright 2018); missing meta description; slow to load (4.1s)</t>
        </is>
      </c>
      <c r="M389" s="2" t="inlineStr">
        <is>
          <t>Hi Forages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89" s="4" t="inlineStr">
        <is>
          <t>Open map</t>
        </is>
      </c>
      <c r="O389" s="2" t="inlineStr">
        <is>
          <t>Not contacted</t>
        </is>
      </c>
      <c r="P389" s="2" t="inlineStr"/>
      <c r="Q389" s="2" t="inlineStr"/>
      <c r="R389" s="2" t="inlineStr"/>
      <c r="S389" s="2" t="inlineStr"/>
    </row>
    <row r="390">
      <c r="A390" s="2" t="n">
        <v>389</v>
      </c>
      <c r="B390" s="6" t="inlineStr">
        <is>
          <t>MEDIUM</t>
        </is>
      </c>
      <c r="C390" s="2" t="inlineStr">
        <is>
          <t>Weak website</t>
        </is>
      </c>
      <c r="D390" s="2" t="inlineStr">
        <is>
          <t>Mia Bella's Coffee Drive Thru</t>
        </is>
      </c>
      <c r="E390" s="2" t="inlineStr">
        <is>
          <t>cafe</t>
        </is>
      </c>
      <c r="F390" s="2" t="inlineStr">
        <is>
          <t>Brisbane</t>
        </is>
      </c>
      <c r="G390" s="2" t="inlineStr">
        <is>
          <t>Facebook</t>
        </is>
      </c>
      <c r="H390" s="2" t="inlineStr"/>
      <c r="I390" s="4" t="inlineStr">
        <is>
          <t>https://www.facebook.com/miabellascoffee</t>
        </is>
      </c>
      <c r="J390" s="2" t="inlineStr"/>
      <c r="K390" s="4" t="inlineStr">
        <is>
          <t>http://miabellascoffee.com/</t>
        </is>
      </c>
      <c r="L390" s="2" t="inlineStr">
        <is>
          <t>no HTTPS (browser shows 'Not secure'); looks outdated (copyright 2015); missing meta description</t>
        </is>
      </c>
      <c r="M390" s="2" t="inlineStr">
        <is>
          <t>Hi Mia Bella's Coffee Drive Thru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0" s="4" t="inlineStr">
        <is>
          <t>Open map</t>
        </is>
      </c>
      <c r="O390" s="2" t="inlineStr">
        <is>
          <t>Not contacted</t>
        </is>
      </c>
      <c r="P390" s="2" t="inlineStr"/>
      <c r="Q390" s="2" t="inlineStr"/>
      <c r="R390" s="2" t="inlineStr"/>
      <c r="S390" s="2" t="inlineStr"/>
    </row>
    <row r="391">
      <c r="A391" s="2" t="n">
        <v>390</v>
      </c>
      <c r="B391" s="6" t="inlineStr">
        <is>
          <t>MEDIUM</t>
        </is>
      </c>
      <c r="C391" s="2" t="inlineStr">
        <is>
          <t>Weak website</t>
        </is>
      </c>
      <c r="D391" s="2" t="inlineStr">
        <is>
          <t>Alderley Kindergarten</t>
        </is>
      </c>
      <c r="E391" s="2" t="inlineStr">
        <is>
          <t>childcare</t>
        </is>
      </c>
      <c r="F391" s="2" t="inlineStr">
        <is>
          <t>Brisbane</t>
        </is>
      </c>
      <c r="G391" s="2" t="inlineStr">
        <is>
          <t>Facebook</t>
        </is>
      </c>
      <c r="H391" s="2" t="inlineStr"/>
      <c r="I391" s="4" t="inlineStr">
        <is>
          <t>https://www.facebook.com/AlderleyKindy</t>
        </is>
      </c>
      <c r="J391" s="2" t="inlineStr"/>
      <c r="K391" s="4" t="inlineStr">
        <is>
          <t>https://alderleykindy.com.au</t>
        </is>
      </c>
      <c r="L391" s="2" t="inlineStr">
        <is>
          <t>looks outdated (copyright 2020); missing meta description; slow to load (3.3s)</t>
        </is>
      </c>
      <c r="M391" s="2" t="inlineStr">
        <is>
          <t>Hi Alderley Kindergarten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1" s="4" t="inlineStr">
        <is>
          <t>Open map</t>
        </is>
      </c>
      <c r="O391" s="2" t="inlineStr">
        <is>
          <t>Not contacted</t>
        </is>
      </c>
      <c r="P391" s="2" t="inlineStr"/>
      <c r="Q391" s="2" t="inlineStr"/>
      <c r="R391" s="2" t="inlineStr"/>
      <c r="S391" s="2" t="inlineStr"/>
    </row>
    <row r="392">
      <c r="A392" s="2" t="n">
        <v>391</v>
      </c>
      <c r="B392" s="6" t="inlineStr">
        <is>
          <t>MEDIUM</t>
        </is>
      </c>
      <c r="C392" s="2" t="inlineStr">
        <is>
          <t>Weak website</t>
        </is>
      </c>
      <c r="D392" s="2" t="inlineStr">
        <is>
          <t>Little Bouncing Bears Early Learning Centre</t>
        </is>
      </c>
      <c r="E392" s="2" t="inlineStr">
        <is>
          <t>childcare</t>
        </is>
      </c>
      <c r="F392" s="2" t="inlineStr">
        <is>
          <t>Brisbane</t>
        </is>
      </c>
      <c r="G392" s="2" t="inlineStr">
        <is>
          <t>Facebook</t>
        </is>
      </c>
      <c r="H392" s="2" t="inlineStr"/>
      <c r="I392" s="4" t="inlineStr">
        <is>
          <t>https://www.facebook.com/littlebouncingbears</t>
        </is>
      </c>
      <c r="J392" s="2" t="inlineStr"/>
      <c r="K392" s="4" t="inlineStr">
        <is>
          <t>https://littlebouncingbears.com.au/</t>
        </is>
      </c>
      <c r="L392" s="2" t="inlineStr">
        <is>
          <t>looks outdated (copyright 2023); missing meta description; slow to load (3.1s)</t>
        </is>
      </c>
      <c r="M392" s="2" t="inlineStr">
        <is>
          <t>Hi Little Bouncing Bears Early Learning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2" s="4" t="inlineStr">
        <is>
          <t>Open map</t>
        </is>
      </c>
      <c r="O392" s="2" t="inlineStr">
        <is>
          <t>Not contacted</t>
        </is>
      </c>
      <c r="P392" s="2" t="inlineStr"/>
      <c r="Q392" s="2" t="inlineStr"/>
      <c r="R392" s="2" t="inlineStr"/>
      <c r="S392" s="2" t="inlineStr"/>
    </row>
    <row r="393">
      <c r="A393" s="2" t="n">
        <v>392</v>
      </c>
      <c r="B393" s="6" t="inlineStr">
        <is>
          <t>MEDIUM</t>
        </is>
      </c>
      <c r="C393" s="2" t="inlineStr">
        <is>
          <t>Weak website</t>
        </is>
      </c>
      <c r="D393" s="2" t="inlineStr">
        <is>
          <t>Little School Loganholme</t>
        </is>
      </c>
      <c r="E393" s="2" t="inlineStr">
        <is>
          <t>childcare</t>
        </is>
      </c>
      <c r="F393" s="2" t="inlineStr">
        <is>
          <t>Brisbane</t>
        </is>
      </c>
      <c r="G393" s="2" t="inlineStr">
        <is>
          <t>Instagram</t>
        </is>
      </c>
      <c r="H393" s="4" t="inlineStr">
        <is>
          <t>https://www.instagram.com/littleschoolhighlandpark</t>
        </is>
      </c>
      <c r="I393" s="4" t="inlineStr">
        <is>
          <t>https://www.facebook.com/littleschoolhighlandpark</t>
        </is>
      </c>
      <c r="J393" s="2" t="inlineStr"/>
      <c r="K393" s="4" t="inlineStr">
        <is>
          <t>https://littleschoolelc.com.au/loganholme/</t>
        </is>
      </c>
      <c r="L393" s="2" t="inlineStr">
        <is>
          <t>looks outdated (copyright 2015); missing meta description; slow to load (3.2s)</t>
        </is>
      </c>
      <c r="M393" s="2" t="inlineStr">
        <is>
          <t>Hi Little School Loganholme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3" s="4" t="inlineStr">
        <is>
          <t>Open map</t>
        </is>
      </c>
      <c r="O393" s="2" t="inlineStr">
        <is>
          <t>Not contacted</t>
        </is>
      </c>
      <c r="P393" s="2" t="inlineStr"/>
      <c r="Q393" s="2" t="inlineStr"/>
      <c r="R393" s="2" t="inlineStr"/>
      <c r="S393" s="2" t="inlineStr"/>
    </row>
    <row r="394">
      <c r="A394" s="2" t="n">
        <v>393</v>
      </c>
      <c r="B394" s="6" t="inlineStr">
        <is>
          <t>MEDIUM</t>
        </is>
      </c>
      <c r="C394" s="2" t="inlineStr">
        <is>
          <t>Weak website</t>
        </is>
      </c>
      <c r="D394" s="2" t="inlineStr">
        <is>
          <t>Fit N Fab Fitness</t>
        </is>
      </c>
      <c r="E394" s="2" t="inlineStr">
        <is>
          <t>gym or studio</t>
        </is>
      </c>
      <c r="F394" s="2" t="inlineStr">
        <is>
          <t>Brisbane</t>
        </is>
      </c>
      <c r="G394" s="2" t="inlineStr">
        <is>
          <t>Instagram</t>
        </is>
      </c>
      <c r="H394" s="4" t="inlineStr">
        <is>
          <t>https://www.instagram.com/fitnfabfitness</t>
        </is>
      </c>
      <c r="I394" s="4" t="inlineStr">
        <is>
          <t>https://www.facebook.com/fitty.fabbo.7</t>
        </is>
      </c>
      <c r="J394" s="2" t="inlineStr"/>
      <c r="K394" s="4" t="inlineStr">
        <is>
          <t>https://www.fitnfab.com.au/</t>
        </is>
      </c>
      <c r="L394" s="2" t="inlineStr">
        <is>
          <t>looks outdated (copyright 2021); missing meta description; slow to load (5.9s)</t>
        </is>
      </c>
      <c r="M394" s="2" t="inlineStr">
        <is>
          <t>Hi Fit N Fab Fitness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4" s="4" t="inlineStr">
        <is>
          <t>Open map</t>
        </is>
      </c>
      <c r="O394" s="2" t="inlineStr">
        <is>
          <t>Not contacted</t>
        </is>
      </c>
      <c r="P394" s="2" t="inlineStr"/>
      <c r="Q394" s="2" t="inlineStr"/>
      <c r="R394" s="2" t="inlineStr"/>
      <c r="S394" s="2" t="inlineStr"/>
    </row>
    <row r="395">
      <c r="A395" s="2" t="n">
        <v>394</v>
      </c>
      <c r="B395" s="6" t="inlineStr">
        <is>
          <t>MEDIUM</t>
        </is>
      </c>
      <c r="C395" s="2" t="inlineStr">
        <is>
          <t>Weak website</t>
        </is>
      </c>
      <c r="D395" s="2" t="inlineStr">
        <is>
          <t>Parkinson Veterinary Surgery</t>
        </is>
      </c>
      <c r="E395" s="2" t="inlineStr">
        <is>
          <t>pet business</t>
        </is>
      </c>
      <c r="F395" s="2" t="inlineStr">
        <is>
          <t>Brisbane</t>
        </is>
      </c>
      <c r="G395" s="2" t="inlineStr">
        <is>
          <t>Instagram</t>
        </is>
      </c>
      <c r="H395" s="4" t="inlineStr">
        <is>
          <t>https://www.instagram.com/parkinsonvetsurgery</t>
        </is>
      </c>
      <c r="I395" s="4" t="inlineStr">
        <is>
          <t>https://www.facebook.com/parkinsonvetclinic</t>
        </is>
      </c>
      <c r="J395" s="2" t="inlineStr"/>
      <c r="K395" s="4" t="inlineStr">
        <is>
          <t>https://parkinsonvet.com.au/</t>
        </is>
      </c>
      <c r="L395" s="2" t="inlineStr">
        <is>
          <t>looks outdated (copyright 2020); missing meta description; slow to load (3.2s)</t>
        </is>
      </c>
      <c r="M395" s="2" t="inlineStr">
        <is>
          <t>Hi Parkinson Veterinary Surgery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5" s="4" t="inlineStr">
        <is>
          <t>Open map</t>
        </is>
      </c>
      <c r="O395" s="2" t="inlineStr">
        <is>
          <t>Not contacted</t>
        </is>
      </c>
      <c r="P395" s="2" t="inlineStr"/>
      <c r="Q395" s="2" t="inlineStr"/>
      <c r="R395" s="2" t="inlineStr"/>
      <c r="S395" s="2" t="inlineStr"/>
    </row>
    <row r="396">
      <c r="A396" s="2" t="n">
        <v>395</v>
      </c>
      <c r="B396" s="6" t="inlineStr">
        <is>
          <t>MEDIUM</t>
        </is>
      </c>
      <c r="C396" s="2" t="inlineStr">
        <is>
          <t>Weak website</t>
        </is>
      </c>
      <c r="D396" s="2" t="inlineStr">
        <is>
          <t>Burrito Bar</t>
        </is>
      </c>
      <c r="E396" s="2" t="inlineStr">
        <is>
          <t>restaurant</t>
        </is>
      </c>
      <c r="F396" s="2" t="inlineStr">
        <is>
          <t>Brisbane</t>
        </is>
      </c>
      <c r="G396" s="2" t="inlineStr">
        <is>
          <t>Instagram</t>
        </is>
      </c>
      <c r="H396" s="4" t="inlineStr">
        <is>
          <t>https://instagram.com/burritobar_</t>
        </is>
      </c>
      <c r="I396" s="4" t="inlineStr">
        <is>
          <t>https://www.facebook.com/TheBurritoBar</t>
        </is>
      </c>
      <c r="J396" s="2" t="inlineStr"/>
      <c r="K396" s="4" t="inlineStr">
        <is>
          <t>http://theburritobar.com.au</t>
        </is>
      </c>
      <c r="L396" s="2" t="inlineStr">
        <is>
          <t>no HTTPS (browser shows 'Not secure'); looks outdated (copyright 2023)</t>
        </is>
      </c>
      <c r="M396" s="2" t="inlineStr">
        <is>
          <t>Hi Burrito Bar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96" s="4" t="inlineStr">
        <is>
          <t>Open map</t>
        </is>
      </c>
      <c r="O396" s="2" t="inlineStr">
        <is>
          <t>Not contacted</t>
        </is>
      </c>
      <c r="P396" s="2" t="inlineStr"/>
      <c r="Q396" s="2" t="inlineStr"/>
      <c r="R396" s="2" t="inlineStr"/>
      <c r="S396" s="2" t="inlineStr"/>
    </row>
    <row r="397">
      <c r="A397" s="2" t="n">
        <v>396</v>
      </c>
      <c r="B397" s="6" t="inlineStr">
        <is>
          <t>MEDIUM</t>
        </is>
      </c>
      <c r="C397" s="2" t="inlineStr">
        <is>
          <t>Weak website</t>
        </is>
      </c>
      <c r="D397" s="2" t="inlineStr">
        <is>
          <t>Lilong West End</t>
        </is>
      </c>
      <c r="E397" s="2" t="inlineStr">
        <is>
          <t>restaurant</t>
        </is>
      </c>
      <c r="F397" s="2" t="inlineStr">
        <is>
          <t>Brisbane</t>
        </is>
      </c>
      <c r="G397" s="2" t="inlineStr">
        <is>
          <t>Instagram</t>
        </is>
      </c>
      <c r="H397" s="4" t="inlineStr">
        <is>
          <t>https://www.instagram.com/tasteofshanghai</t>
        </is>
      </c>
      <c r="I397" s="4" t="inlineStr">
        <is>
          <t>https://www.facebook.com/tasteofshanghaiaus</t>
        </is>
      </c>
      <c r="J397" s="2" t="inlineStr">
        <is>
          <t>+61 478 235 886</t>
        </is>
      </c>
      <c r="K397" s="4" t="inlineStr">
        <is>
          <t>https://tasteofshanghai.com.au/lilong-2/</t>
        </is>
      </c>
      <c r="L397" s="2" t="inlineStr">
        <is>
          <t>looks outdated (copyright 2022); missing meta description; slow to load (3.8s)</t>
        </is>
      </c>
      <c r="M397" s="2" t="inlineStr">
        <is>
          <t>Hi Lilong West End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97" s="4" t="inlineStr">
        <is>
          <t>Open map</t>
        </is>
      </c>
      <c r="O397" s="2" t="inlineStr">
        <is>
          <t>Not contacted</t>
        </is>
      </c>
      <c r="P397" s="2" t="inlineStr"/>
      <c r="Q397" s="2" t="inlineStr"/>
      <c r="R397" s="2" t="inlineStr"/>
      <c r="S397" s="2" t="inlineStr"/>
    </row>
    <row r="398">
      <c r="A398" s="2" t="n">
        <v>397</v>
      </c>
      <c r="B398" s="6" t="inlineStr">
        <is>
          <t>MEDIUM</t>
        </is>
      </c>
      <c r="C398" s="2" t="inlineStr">
        <is>
          <t>Weak website</t>
        </is>
      </c>
      <c r="D398" s="2" t="inlineStr">
        <is>
          <t>Maru</t>
        </is>
      </c>
      <c r="E398" s="2" t="inlineStr">
        <is>
          <t>restaurant</t>
        </is>
      </c>
      <c r="F398" s="2" t="inlineStr">
        <is>
          <t>Brisbane</t>
        </is>
      </c>
      <c r="G398" s="2" t="inlineStr">
        <is>
          <t>Facebook</t>
        </is>
      </c>
      <c r="H398" s="2" t="inlineStr"/>
      <c r="I398" s="4" t="inlineStr">
        <is>
          <t>http://www.facebook.com/pages/Maru-Korean-Restaurant/170697606348616</t>
        </is>
      </c>
      <c r="J398" s="2" t="inlineStr"/>
      <c r="K398" s="4" t="inlineStr">
        <is>
          <t>https://marukoreanbbq.weebly.com/</t>
        </is>
      </c>
      <c r="L398" s="2" t="inlineStr">
        <is>
          <t>not mobile-friendly (no viewport tag); missing meta description</t>
        </is>
      </c>
      <c r="M398" s="2" t="inlineStr">
        <is>
          <t>Hi Maru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98" s="4" t="inlineStr">
        <is>
          <t>Open map</t>
        </is>
      </c>
      <c r="O398" s="2" t="inlineStr">
        <is>
          <t>Not contacted</t>
        </is>
      </c>
      <c r="P398" s="2" t="inlineStr"/>
      <c r="Q398" s="2" t="inlineStr"/>
      <c r="R398" s="2" t="inlineStr"/>
      <c r="S398" s="2" t="inlineStr"/>
    </row>
    <row r="399">
      <c r="A399" s="2" t="n">
        <v>398</v>
      </c>
      <c r="B399" s="6" t="inlineStr">
        <is>
          <t>MEDIUM</t>
        </is>
      </c>
      <c r="C399" s="2" t="inlineStr">
        <is>
          <t>Weak website</t>
        </is>
      </c>
      <c r="D399" s="2" t="inlineStr">
        <is>
          <t>Boba Chicken</t>
        </is>
      </c>
      <c r="E399" s="2" t="inlineStr">
        <is>
          <t>takeaway</t>
        </is>
      </c>
      <c r="F399" s="2" t="inlineStr">
        <is>
          <t>Brisbane</t>
        </is>
      </c>
      <c r="G399" s="2" t="inlineStr">
        <is>
          <t>Facebook</t>
        </is>
      </c>
      <c r="H399" s="2" t="inlineStr"/>
      <c r="I399" s="4" t="inlineStr">
        <is>
          <t>https://www.facebook.com/login</t>
        </is>
      </c>
      <c r="J399" s="2" t="inlineStr"/>
      <c r="K399" s="4" t="inlineStr">
        <is>
          <t>www.bobachicken.com</t>
        </is>
      </c>
      <c r="L399" s="2" t="inlineStr">
        <is>
          <t>not mobile-friendly (no viewport tag); missing meta description</t>
        </is>
      </c>
      <c r="M399" s="2" t="inlineStr">
        <is>
          <t>Hi Boba Chicken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99" s="4" t="inlineStr">
        <is>
          <t>Open map</t>
        </is>
      </c>
      <c r="O399" s="2" t="inlineStr">
        <is>
          <t>Not contacted</t>
        </is>
      </c>
      <c r="P399" s="2" t="inlineStr"/>
      <c r="Q399" s="2" t="inlineStr"/>
      <c r="R399" s="2" t="inlineStr"/>
      <c r="S399" s="2" t="inlineStr"/>
    </row>
    <row r="400">
      <c r="A400" s="2" t="n">
        <v>399</v>
      </c>
      <c r="B400" s="6" t="inlineStr">
        <is>
          <t>MEDIUM</t>
        </is>
      </c>
      <c r="C400" s="2" t="inlineStr">
        <is>
          <t>Weak website</t>
        </is>
      </c>
      <c r="D400" s="2" t="inlineStr">
        <is>
          <t>Mama Coco</t>
        </is>
      </c>
      <c r="E400" s="2" t="inlineStr">
        <is>
          <t>cafe</t>
        </is>
      </c>
      <c r="F400" s="2" t="inlineStr">
        <is>
          <t>Cairns</t>
        </is>
      </c>
      <c r="G400" s="2" t="inlineStr">
        <is>
          <t>Instagram</t>
        </is>
      </c>
      <c r="H400" s="4" t="inlineStr">
        <is>
          <t>http://instagram.com/mama_coco</t>
        </is>
      </c>
      <c r="I400" s="4" t="inlineStr">
        <is>
          <t>https://www.facebook.com/mamacococafe</t>
        </is>
      </c>
      <c r="J400" s="2" t="inlineStr">
        <is>
          <t>+61 7 4052 1226</t>
        </is>
      </c>
      <c r="K400" s="4" t="inlineStr">
        <is>
          <t>http://www.mamacoco.com.au</t>
        </is>
      </c>
      <c r="L400" s="2" t="inlineStr">
        <is>
          <t>no HTTPS (browser shows 'Not secure'); missing meta description; slow to load (4.2s)</t>
        </is>
      </c>
      <c r="M400" s="2" t="inlineStr">
        <is>
          <t>Hi Mama Coco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0" s="4" t="inlineStr">
        <is>
          <t>Open map</t>
        </is>
      </c>
      <c r="O400" s="2" t="inlineStr">
        <is>
          <t>Not contacted</t>
        </is>
      </c>
      <c r="P400" s="2" t="inlineStr"/>
      <c r="Q400" s="2" t="inlineStr"/>
      <c r="R400" s="2" t="inlineStr"/>
      <c r="S400" s="2" t="inlineStr"/>
    </row>
    <row r="401">
      <c r="A401" s="2" t="n">
        <v>400</v>
      </c>
      <c r="B401" s="6" t="inlineStr">
        <is>
          <t>MEDIUM</t>
        </is>
      </c>
      <c r="C401" s="2" t="inlineStr">
        <is>
          <t>Weak website</t>
        </is>
      </c>
      <c r="D401" s="2" t="inlineStr">
        <is>
          <t>Sugar Me Baby</t>
        </is>
      </c>
      <c r="E401" s="2" t="inlineStr">
        <is>
          <t>beauty salon</t>
        </is>
      </c>
      <c r="F401" s="2" t="inlineStr">
        <is>
          <t>Gold Coast</t>
        </is>
      </c>
      <c r="G401" s="2" t="inlineStr">
        <is>
          <t>Instagram</t>
        </is>
      </c>
      <c r="H401" s="4" t="inlineStr">
        <is>
          <t>http://instagram.com/sugarme_baby</t>
        </is>
      </c>
      <c r="I401" s="4" t="inlineStr">
        <is>
          <t>https://www.facebook.com/sugarmebaby</t>
        </is>
      </c>
      <c r="J401" s="2" t="inlineStr">
        <is>
          <t>+61 432 128 318</t>
        </is>
      </c>
      <c r="K401" s="4" t="inlineStr">
        <is>
          <t>http://www.sugarmebaby.com.au/home/</t>
        </is>
      </c>
      <c r="L401" s="2" t="inlineStr">
        <is>
          <t>no HTTPS (browser shows 'Not secure'); looks outdated (copyright 2023)</t>
        </is>
      </c>
      <c r="M401" s="2" t="inlineStr">
        <is>
          <t>Hi Sugar Me Baby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1" s="4" t="inlineStr">
        <is>
          <t>Open map</t>
        </is>
      </c>
      <c r="O401" s="2" t="inlineStr">
        <is>
          <t>Not contacted</t>
        </is>
      </c>
      <c r="P401" s="2" t="inlineStr"/>
      <c r="Q401" s="2" t="inlineStr"/>
      <c r="R401" s="2" t="inlineStr"/>
      <c r="S401" s="2" t="inlineStr"/>
    </row>
    <row r="402">
      <c r="A402" s="2" t="n">
        <v>401</v>
      </c>
      <c r="B402" s="6" t="inlineStr">
        <is>
          <t>MEDIUM</t>
        </is>
      </c>
      <c r="C402" s="2" t="inlineStr">
        <is>
          <t>Weak website</t>
        </is>
      </c>
      <c r="D402" s="2" t="inlineStr">
        <is>
          <t>Love Lara Jewellers</t>
        </is>
      </c>
      <c r="E402" s="2" t="inlineStr">
        <is>
          <t>boutique</t>
        </is>
      </c>
      <c r="F402" s="2" t="inlineStr">
        <is>
          <t>Gold Coast</t>
        </is>
      </c>
      <c r="G402" s="2" t="inlineStr">
        <is>
          <t>Instagram</t>
        </is>
      </c>
      <c r="H402" s="4" t="inlineStr">
        <is>
          <t>https://www.instagram.com/lovelarajewellery</t>
        </is>
      </c>
      <c r="I402" s="4" t="inlineStr">
        <is>
          <t>https://www.facebook.com/Love-Lara-Jewellery-191476280881144</t>
        </is>
      </c>
      <c r="J402" s="2" t="inlineStr">
        <is>
          <t>+61 7 5593 6262</t>
        </is>
      </c>
      <c r="K402" s="4" t="inlineStr">
        <is>
          <t>https://lovelarajewellery.com.au/</t>
        </is>
      </c>
      <c r="L402" s="2" t="inlineStr">
        <is>
          <t>looks outdated (copyright 2020); missing meta description; slow to load (3.7s)</t>
        </is>
      </c>
      <c r="M402" s="2" t="inlineStr">
        <is>
          <t>Hi Love Lara Jewellers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2" s="4" t="inlineStr">
        <is>
          <t>Open map</t>
        </is>
      </c>
      <c r="O402" s="2" t="inlineStr">
        <is>
          <t>Not contacted</t>
        </is>
      </c>
      <c r="P402" s="2" t="inlineStr"/>
      <c r="Q402" s="2" t="inlineStr"/>
      <c r="R402" s="2" t="inlineStr"/>
      <c r="S402" s="2" t="inlineStr"/>
    </row>
    <row r="403">
      <c r="A403" s="2" t="n">
        <v>402</v>
      </c>
      <c r="B403" s="6" t="inlineStr">
        <is>
          <t>MEDIUM</t>
        </is>
      </c>
      <c r="C403" s="2" t="inlineStr">
        <is>
          <t>Weak website</t>
        </is>
      </c>
      <c r="D403" s="2" t="inlineStr">
        <is>
          <t>Benowa Hills Early Learning Centre</t>
        </is>
      </c>
      <c r="E403" s="2" t="inlineStr">
        <is>
          <t>childcare</t>
        </is>
      </c>
      <c r="F403" s="2" t="inlineStr">
        <is>
          <t>Gold Coast</t>
        </is>
      </c>
      <c r="G403" s="2" t="inlineStr">
        <is>
          <t>Instagram</t>
        </is>
      </c>
      <c r="H403" s="4" t="inlineStr">
        <is>
          <t>https://instagram.com/Benowaandbenowahillselc</t>
        </is>
      </c>
      <c r="I403" s="4" t="inlineStr">
        <is>
          <t>https://www.facebook.com/people/Benowa-Hills-Early-Learning-Centre/100057676358993</t>
        </is>
      </c>
      <c r="J403" s="2" t="inlineStr"/>
      <c r="K403" s="4" t="inlineStr">
        <is>
          <t>https://www.benowahillsearlylearning.com.au/</t>
        </is>
      </c>
      <c r="L403" s="2" t="inlineStr">
        <is>
          <t>looks outdated (copyright 2015); missing meta description; slow to load (12.2s)</t>
        </is>
      </c>
      <c r="M403" s="2" t="inlineStr">
        <is>
          <t>Hi Benowa Hills Early Learning Centre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3" s="4" t="inlineStr">
        <is>
          <t>Open map</t>
        </is>
      </c>
      <c r="O403" s="2" t="inlineStr">
        <is>
          <t>Not contacted</t>
        </is>
      </c>
      <c r="P403" s="2" t="inlineStr"/>
      <c r="Q403" s="2" t="inlineStr"/>
      <c r="R403" s="2" t="inlineStr"/>
      <c r="S403" s="2" t="inlineStr"/>
    </row>
    <row r="404">
      <c r="A404" s="2" t="n">
        <v>403</v>
      </c>
      <c r="B404" s="6" t="inlineStr">
        <is>
          <t>MEDIUM</t>
        </is>
      </c>
      <c r="C404" s="2" t="inlineStr">
        <is>
          <t>Weak website</t>
        </is>
      </c>
      <c r="D404" s="2" t="inlineStr">
        <is>
          <t>Grimmo's garage</t>
        </is>
      </c>
      <c r="E404" s="2" t="inlineStr">
        <is>
          <t>mechanic</t>
        </is>
      </c>
      <c r="F404" s="2" t="inlineStr">
        <is>
          <t>Gold Coast</t>
        </is>
      </c>
      <c r="G404" s="2" t="inlineStr">
        <is>
          <t>Facebook</t>
        </is>
      </c>
      <c r="H404" s="2" t="inlineStr"/>
      <c r="I404" s="4" t="inlineStr">
        <is>
          <t>https://www.facebook.com/GrimmosGarage</t>
        </is>
      </c>
      <c r="J404" s="2" t="inlineStr"/>
      <c r="K404" s="4" t="inlineStr">
        <is>
          <t>https://www.grimmos.com.au/</t>
        </is>
      </c>
      <c r="L404" s="2" t="inlineStr">
        <is>
          <t>looks outdated (copyright 2019); missing meta description; slow to load (3.1s)</t>
        </is>
      </c>
      <c r="M404" s="2" t="inlineStr">
        <is>
          <t>Hi Grimmo's garage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4" s="4" t="inlineStr">
        <is>
          <t>Open map</t>
        </is>
      </c>
      <c r="O404" s="2" t="inlineStr">
        <is>
          <t>Not contacted</t>
        </is>
      </c>
      <c r="P404" s="2" t="inlineStr"/>
      <c r="Q404" s="2" t="inlineStr"/>
      <c r="R404" s="2" t="inlineStr"/>
      <c r="S404" s="2" t="inlineStr"/>
    </row>
    <row r="405">
      <c r="A405" s="2" t="n">
        <v>404</v>
      </c>
      <c r="B405" s="6" t="inlineStr">
        <is>
          <t>MEDIUM</t>
        </is>
      </c>
      <c r="C405" s="2" t="inlineStr">
        <is>
          <t>Weak website</t>
        </is>
      </c>
      <c r="D405" s="2" t="inlineStr">
        <is>
          <t>Southport Exhaust</t>
        </is>
      </c>
      <c r="E405" s="2" t="inlineStr">
        <is>
          <t>mechanic</t>
        </is>
      </c>
      <c r="F405" s="2" t="inlineStr">
        <is>
          <t>Gold Coast</t>
        </is>
      </c>
      <c r="G405" s="2" t="inlineStr">
        <is>
          <t>Facebook</t>
        </is>
      </c>
      <c r="H405" s="2" t="inlineStr"/>
      <c r="I405" s="4" t="inlineStr">
        <is>
          <t>https://www.facebook.com/southportexhaust</t>
        </is>
      </c>
      <c r="J405" s="2" t="inlineStr">
        <is>
          <t>+61 7 5532 4707</t>
        </is>
      </c>
      <c r="K405" s="4" t="inlineStr">
        <is>
          <t>https://southportexhaust.com.au/</t>
        </is>
      </c>
      <c r="L405" s="2" t="inlineStr">
        <is>
          <t>looks outdated (copyright 2015); missing meta description; slow to load (3.3s)</t>
        </is>
      </c>
      <c r="M405" s="2" t="inlineStr">
        <is>
          <t>Hi Southport Exhaust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5" s="4" t="inlineStr">
        <is>
          <t>Open map</t>
        </is>
      </c>
      <c r="O405" s="2" t="inlineStr">
        <is>
          <t>Not contacted</t>
        </is>
      </c>
      <c r="P405" s="2" t="inlineStr"/>
      <c r="Q405" s="2" t="inlineStr"/>
      <c r="R405" s="2" t="inlineStr"/>
      <c r="S405" s="2" t="inlineStr"/>
    </row>
    <row r="406">
      <c r="A406" s="2" t="n">
        <v>405</v>
      </c>
      <c r="B406" s="6" t="inlineStr">
        <is>
          <t>MEDIUM</t>
        </is>
      </c>
      <c r="C406" s="2" t="inlineStr">
        <is>
          <t>Weak website</t>
        </is>
      </c>
      <c r="D406" s="2" t="inlineStr">
        <is>
          <t>Willow Dining Room</t>
        </is>
      </c>
      <c r="E406" s="2" t="inlineStr">
        <is>
          <t>restaurant</t>
        </is>
      </c>
      <c r="F406" s="2" t="inlineStr">
        <is>
          <t>Gold Coast</t>
        </is>
      </c>
      <c r="G406" s="2" t="inlineStr">
        <is>
          <t>Facebook</t>
        </is>
      </c>
      <c r="H406" s="2" t="inlineStr"/>
      <c r="I406" s="4" t="inlineStr">
        <is>
          <t>https://www.facebook.com/WillowDiningRoom</t>
        </is>
      </c>
      <c r="J406" s="2" t="inlineStr">
        <is>
          <t>+61 7 5576 4110</t>
        </is>
      </c>
      <c r="K406" s="4" t="inlineStr">
        <is>
          <t>http://willowdiningroom.com/homepage/</t>
        </is>
      </c>
      <c r="L406" s="2" t="inlineStr">
        <is>
          <t>no HTTPS (browser shows 'Not secure'); looks outdated (copyright 2015); missing meta description</t>
        </is>
      </c>
      <c r="M406" s="2" t="inlineStr">
        <is>
          <t>Hi Willow Dining Room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6" s="4" t="inlineStr">
        <is>
          <t>Open map</t>
        </is>
      </c>
      <c r="O406" s="2" t="inlineStr">
        <is>
          <t>Not contacted</t>
        </is>
      </c>
      <c r="P406" s="2" t="inlineStr"/>
      <c r="Q406" s="2" t="inlineStr"/>
      <c r="R406" s="2" t="inlineStr"/>
      <c r="S406" s="2" t="inlineStr"/>
    </row>
    <row r="407">
      <c r="A407" s="2" t="n">
        <v>406</v>
      </c>
      <c r="B407" s="6" t="inlineStr">
        <is>
          <t>MEDIUM</t>
        </is>
      </c>
      <c r="C407" s="2" t="inlineStr">
        <is>
          <t>Weak website</t>
        </is>
      </c>
      <c r="D407" s="2" t="inlineStr">
        <is>
          <t>Barcella</t>
        </is>
      </c>
      <c r="E407" s="2" t="inlineStr">
        <is>
          <t>restaurant</t>
        </is>
      </c>
      <c r="F407" s="2" t="inlineStr">
        <is>
          <t>Redlands</t>
        </is>
      </c>
      <c r="G407" s="2" t="inlineStr">
        <is>
          <t>Instagram</t>
        </is>
      </c>
      <c r="H407" s="4" t="inlineStr">
        <is>
          <t>https://www.instagram.com/barcelladining</t>
        </is>
      </c>
      <c r="I407" s="4" t="inlineStr">
        <is>
          <t>https://www.facebook.com/BarcellaRestaurantVictoriaPoint</t>
        </is>
      </c>
      <c r="J407" s="2" t="inlineStr">
        <is>
          <t>+61 7 3207 6668</t>
        </is>
      </c>
      <c r="K407" s="4" t="inlineStr">
        <is>
          <t>https://barcella.com.au/</t>
        </is>
      </c>
      <c r="L407" s="2" t="inlineStr">
        <is>
          <t>looks outdated (copyright 2022); missing meta description; slow to load (3.9s)</t>
        </is>
      </c>
      <c r="M407" s="2" t="inlineStr">
        <is>
          <t>Hi Barcella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7" s="4" t="inlineStr">
        <is>
          <t>Open map</t>
        </is>
      </c>
      <c r="O407" s="2" t="inlineStr">
        <is>
          <t>Not contacted</t>
        </is>
      </c>
      <c r="P407" s="2" t="inlineStr"/>
      <c r="Q407" s="2" t="inlineStr"/>
      <c r="R407" s="2" t="inlineStr"/>
      <c r="S407" s="2" t="inlineStr"/>
    </row>
    <row r="408">
      <c r="A408" s="2" t="n">
        <v>407</v>
      </c>
      <c r="B408" s="6" t="inlineStr">
        <is>
          <t>MEDIUM</t>
        </is>
      </c>
      <c r="C408" s="2" t="inlineStr">
        <is>
          <t>Weak website</t>
        </is>
      </c>
      <c r="D408" s="2" t="inlineStr">
        <is>
          <t>De Lish Fish @ Kings</t>
        </is>
      </c>
      <c r="E408" s="2" t="inlineStr">
        <is>
          <t>takeaway</t>
        </is>
      </c>
      <c r="F408" s="2" t="inlineStr">
        <is>
          <t>Sunshine Coast</t>
        </is>
      </c>
      <c r="G408" s="2" t="inlineStr">
        <is>
          <t>Facebook</t>
        </is>
      </c>
      <c r="H408" s="2" t="inlineStr"/>
      <c r="I408" s="4" t="inlineStr">
        <is>
          <t>https://www.facebook.com/pages/De-Lish-Fish-at-Kings/547467392024234</t>
        </is>
      </c>
      <c r="J408" s="2" t="inlineStr"/>
      <c r="K408" s="4" t="inlineStr">
        <is>
          <t>http://delishfish.com.au/</t>
        </is>
      </c>
      <c r="L408" s="2" t="inlineStr">
        <is>
          <t>no HTTPS (browser shows 'Not secure'); looks outdated (copyright 2014)</t>
        </is>
      </c>
      <c r="M408" s="2" t="inlineStr">
        <is>
          <t>Hi De Lish Fish @ Kings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8" s="4" t="inlineStr">
        <is>
          <t>Open map</t>
        </is>
      </c>
      <c r="O408" s="2" t="inlineStr">
        <is>
          <t>Not contacted</t>
        </is>
      </c>
      <c r="P408" s="2" t="inlineStr"/>
      <c r="Q408" s="2" t="inlineStr"/>
      <c r="R408" s="2" t="inlineStr"/>
      <c r="S408" s="2" t="inlineStr"/>
    </row>
    <row r="409">
      <c r="A409" s="2" t="n">
        <v>408</v>
      </c>
      <c r="B409" s="6" t="inlineStr">
        <is>
          <t>MEDIUM</t>
        </is>
      </c>
      <c r="C409" s="2" t="inlineStr">
        <is>
          <t>Weak website</t>
        </is>
      </c>
      <c r="D409" s="2" t="inlineStr">
        <is>
          <t>Ink Attack Tattoo</t>
        </is>
      </c>
      <c r="E409" s="2" t="inlineStr">
        <is>
          <t>tattoo studio</t>
        </is>
      </c>
      <c r="F409" s="2" t="inlineStr">
        <is>
          <t>Sunshine Coast</t>
        </is>
      </c>
      <c r="G409" s="2" t="inlineStr">
        <is>
          <t>Instagram</t>
        </is>
      </c>
      <c r="H409" s="4" t="inlineStr">
        <is>
          <t>http://instagram.com/ink_attack</t>
        </is>
      </c>
      <c r="I409" s="4" t="inlineStr">
        <is>
          <t>https://www.facebook.com/InkAttackTattooStudio</t>
        </is>
      </c>
      <c r="J409" s="2" t="inlineStr"/>
      <c r="K409" s="4" t="inlineStr">
        <is>
          <t>http://www.inkattack.com.au</t>
        </is>
      </c>
      <c r="L409" s="2" t="inlineStr">
        <is>
          <t>no HTTPS (browser shows 'Not secure'); looks outdated (copyright 2019)</t>
        </is>
      </c>
      <c r="M409" s="2" t="inlineStr">
        <is>
          <t>Hi Ink Attack Tattoo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09" s="4" t="inlineStr">
        <is>
          <t>Open map</t>
        </is>
      </c>
      <c r="O409" s="2" t="inlineStr">
        <is>
          <t>Not contacted</t>
        </is>
      </c>
      <c r="P409" s="2" t="inlineStr"/>
      <c r="Q409" s="2" t="inlineStr"/>
      <c r="R409" s="2" t="inlineStr"/>
      <c r="S409" s="2" t="inlineStr"/>
    </row>
    <row r="410">
      <c r="A410" s="2" t="n">
        <v>409</v>
      </c>
      <c r="B410" s="6" t="inlineStr">
        <is>
          <t>MEDIUM</t>
        </is>
      </c>
      <c r="C410" s="2" t="inlineStr">
        <is>
          <t>Weak website</t>
        </is>
      </c>
      <c r="D410" s="2" t="inlineStr">
        <is>
          <t>RJH Electrical</t>
        </is>
      </c>
      <c r="E410" s="2" t="inlineStr">
        <is>
          <t>trades</t>
        </is>
      </c>
      <c r="F410" s="2" t="inlineStr">
        <is>
          <t>Sunshine Coast</t>
        </is>
      </c>
      <c r="G410" s="2" t="inlineStr">
        <is>
          <t>Facebook</t>
        </is>
      </c>
      <c r="H410" s="2" t="inlineStr"/>
      <c r="I410" s="4" t="inlineStr">
        <is>
          <t>https://www.facebook.com/SunshineCoastElectrician1</t>
        </is>
      </c>
      <c r="J410" s="2" t="inlineStr">
        <is>
          <t>+61 448 960 299</t>
        </is>
      </c>
      <c r="K410" s="4" t="inlineStr">
        <is>
          <t>http://www.rjhelectrical.com.au/</t>
        </is>
      </c>
      <c r="L410" s="2" t="inlineStr">
        <is>
          <t>no HTTPS (browser shows 'Not secure'); looks outdated (copyright 2015); slow to load (3.3s)</t>
        </is>
      </c>
      <c r="M410" s="2" t="inlineStr">
        <is>
          <t>Hi RJH Electrical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10" s="4" t="inlineStr">
        <is>
          <t>Open map</t>
        </is>
      </c>
      <c r="O410" s="2" t="inlineStr">
        <is>
          <t>Not contacted</t>
        </is>
      </c>
      <c r="P410" s="2" t="inlineStr"/>
      <c r="Q410" s="2" t="inlineStr"/>
      <c r="R410" s="2" t="inlineStr"/>
      <c r="S410" s="2" t="inlineStr"/>
    </row>
    <row r="411">
      <c r="A411" s="2" t="n">
        <v>410</v>
      </c>
      <c r="B411" s="6" t="inlineStr">
        <is>
          <t>MEDIUM</t>
        </is>
      </c>
      <c r="C411" s="2" t="inlineStr">
        <is>
          <t>Weak website</t>
        </is>
      </c>
      <c r="D411" s="2" t="inlineStr">
        <is>
          <t>Bou's For Men Barber Shop</t>
        </is>
      </c>
      <c r="E411" s="2" t="inlineStr">
        <is>
          <t>barber or hairdresser</t>
        </is>
      </c>
      <c r="F411" s="2" t="inlineStr">
        <is>
          <t>Toowoomba</t>
        </is>
      </c>
      <c r="G411" s="2" t="inlineStr">
        <is>
          <t>Facebook</t>
        </is>
      </c>
      <c r="H411" s="2" t="inlineStr"/>
      <c r="I411" s="4" t="inlineStr">
        <is>
          <t>https://www.facebook.com/BousForMen</t>
        </is>
      </c>
      <c r="J411" s="2" t="inlineStr">
        <is>
          <t>+61 7 4615 4881</t>
        </is>
      </c>
      <c r="K411" s="4" t="inlineStr">
        <is>
          <t>https://www.bousformen.com.au/</t>
        </is>
      </c>
      <c r="L411" s="2" t="inlineStr">
        <is>
          <t>not mobile-friendly (no viewport tag); missing meta description</t>
        </is>
      </c>
      <c r="M411" s="2" t="inlineStr">
        <is>
          <t>Hi Bou's For Men Barber Shop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411" s="4" t="inlineStr">
        <is>
          <t>Open map</t>
        </is>
      </c>
      <c r="O411" s="2" t="inlineStr">
        <is>
          <t>Not contacted</t>
        </is>
      </c>
      <c r="P411" s="2" t="inlineStr"/>
      <c r="Q411" s="2" t="inlineStr"/>
      <c r="R411" s="2" t="inlineStr"/>
      <c r="S411" s="2" t="inlineStr"/>
    </row>
    <row r="412">
      <c r="A412" s="2" t="n">
        <v>411</v>
      </c>
      <c r="B412" s="6" t="inlineStr">
        <is>
          <t>MEDIUM</t>
        </is>
      </c>
      <c r="C412" s="2" t="inlineStr">
        <is>
          <t>Weak website</t>
        </is>
      </c>
      <c r="D412" s="2" t="inlineStr">
        <is>
          <t>The Great Jewel Of India</t>
        </is>
      </c>
      <c r="E412" s="2" t="inlineStr">
        <is>
          <t>restaurant</t>
        </is>
      </c>
      <c r="F412" s="2" t="inlineStr">
        <is>
          <t>Townsville</t>
        </is>
      </c>
      <c r="G412" s="2" t="inlineStr">
        <is>
          <t>Facebook</t>
        </is>
      </c>
      <c r="H412" s="2" t="inlineStr"/>
      <c r="I412" s="4" t="inlineStr">
        <is>
          <t>https://www.facebook.com/TheGreatJewelOfIndia</t>
        </is>
      </c>
      <c r="J412" s="2" t="inlineStr">
        <is>
          <t>+61 7 4771 3144</t>
        </is>
      </c>
      <c r="K412" s="4" t="inlineStr">
        <is>
          <t>http://www.thegreatjewelofindia.com/</t>
        </is>
      </c>
      <c r="L412" s="2" t="inlineStr">
        <is>
          <t>no HTTPS (browser shows 'Not secure'); missing page title; missing meta description</t>
        </is>
      </c>
      <c r="M412" s="2" t="inlineStr">
        <is>
          <t>Hi The Great Jewel Of India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2" s="4" t="inlineStr">
        <is>
          <t>Open map</t>
        </is>
      </c>
      <c r="O412" s="2" t="inlineStr">
        <is>
          <t>Not contacted</t>
        </is>
      </c>
      <c r="P412" s="2" t="inlineStr"/>
      <c r="Q412" s="2" t="inlineStr"/>
      <c r="R412" s="2" t="inlineStr"/>
      <c r="S412" s="2" t="inlineStr"/>
    </row>
  </sheetData>
  <autoFilter ref="A1:S412"/>
  <conditionalFormatting sqref="A2:S412">
    <cfRule type="expression" priority="1" dxfId="0">
      <formula>$O2="Won"</formula>
    </cfRule>
    <cfRule type="expression" priority="2" dxfId="1">
      <formula>$O2="Meeting booked"</formula>
    </cfRule>
    <cfRule type="expression" priority="3" dxfId="2">
      <formula>$O2="Replied"</formula>
    </cfRule>
    <cfRule type="expression" priority="4" dxfId="3">
      <formula>$O2="Not interested"</formula>
    </cfRule>
    <cfRule type="expression" priority="5" dxfId="3">
      <formula>$O2="Business closed"</formula>
    </cfRule>
  </conditionalFormatting>
  <dataValidations count="2">
    <dataValidation sqref="O2:O412" showDropDown="0" showInputMessage="0" showErrorMessage="0" allowBlank="1" type="list">
      <formula1>"Not contacted,DM sent,Replied,Preview sent,Meeting booked,Won,Not interested,Business closed"</formula1>
    </dataValidation>
    <dataValidation sqref="Q2:R412" showDropDown="0" showInputMessage="0" showErrorMessage="0" allowBlank="1" type="date"/>
  </dataValidations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I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I5" r:id="rId10"/>
    <hyperlink xmlns:r="http://schemas.openxmlformats.org/officeDocument/2006/relationships" ref="K5" r:id="rId11"/>
    <hyperlink xmlns:r="http://schemas.openxmlformats.org/officeDocument/2006/relationships" ref="N5" r:id="rId12"/>
    <hyperlink xmlns:r="http://schemas.openxmlformats.org/officeDocument/2006/relationships" ref="H6" r:id="rId13"/>
    <hyperlink xmlns:r="http://schemas.openxmlformats.org/officeDocument/2006/relationships" ref="K6" r:id="rId14"/>
    <hyperlink xmlns:r="http://schemas.openxmlformats.org/officeDocument/2006/relationships" ref="N6" r:id="rId15"/>
    <hyperlink xmlns:r="http://schemas.openxmlformats.org/officeDocument/2006/relationships" ref="I7" r:id="rId16"/>
    <hyperlink xmlns:r="http://schemas.openxmlformats.org/officeDocument/2006/relationships" ref="K7" r:id="rId17"/>
    <hyperlink xmlns:r="http://schemas.openxmlformats.org/officeDocument/2006/relationships" ref="N7" r:id="rId18"/>
    <hyperlink xmlns:r="http://schemas.openxmlformats.org/officeDocument/2006/relationships" ref="I8" r:id="rId19"/>
    <hyperlink xmlns:r="http://schemas.openxmlformats.org/officeDocument/2006/relationships" ref="K8" r:id="rId20"/>
    <hyperlink xmlns:r="http://schemas.openxmlformats.org/officeDocument/2006/relationships" ref="N8" r:id="rId21"/>
    <hyperlink xmlns:r="http://schemas.openxmlformats.org/officeDocument/2006/relationships" ref="I9" r:id="rId22"/>
    <hyperlink xmlns:r="http://schemas.openxmlformats.org/officeDocument/2006/relationships" ref="K9" r:id="rId23"/>
    <hyperlink xmlns:r="http://schemas.openxmlformats.org/officeDocument/2006/relationships" ref="N9" r:id="rId24"/>
    <hyperlink xmlns:r="http://schemas.openxmlformats.org/officeDocument/2006/relationships" ref="I10" r:id="rId25"/>
    <hyperlink xmlns:r="http://schemas.openxmlformats.org/officeDocument/2006/relationships" ref="K10" r:id="rId26"/>
    <hyperlink xmlns:r="http://schemas.openxmlformats.org/officeDocument/2006/relationships" ref="N10" r:id="rId27"/>
    <hyperlink xmlns:r="http://schemas.openxmlformats.org/officeDocument/2006/relationships" ref="I11" r:id="rId28"/>
    <hyperlink xmlns:r="http://schemas.openxmlformats.org/officeDocument/2006/relationships" ref="K11" r:id="rId29"/>
    <hyperlink xmlns:r="http://schemas.openxmlformats.org/officeDocument/2006/relationships" ref="N11" r:id="rId30"/>
    <hyperlink xmlns:r="http://schemas.openxmlformats.org/officeDocument/2006/relationships" ref="I12" r:id="rId31"/>
    <hyperlink xmlns:r="http://schemas.openxmlformats.org/officeDocument/2006/relationships" ref="K12" r:id="rId32"/>
    <hyperlink xmlns:r="http://schemas.openxmlformats.org/officeDocument/2006/relationships" ref="N12" r:id="rId33"/>
    <hyperlink xmlns:r="http://schemas.openxmlformats.org/officeDocument/2006/relationships" ref="I13" r:id="rId34"/>
    <hyperlink xmlns:r="http://schemas.openxmlformats.org/officeDocument/2006/relationships" ref="K13" r:id="rId35"/>
    <hyperlink xmlns:r="http://schemas.openxmlformats.org/officeDocument/2006/relationships" ref="N13" r:id="rId36"/>
    <hyperlink xmlns:r="http://schemas.openxmlformats.org/officeDocument/2006/relationships" ref="H14" r:id="rId37"/>
    <hyperlink xmlns:r="http://schemas.openxmlformats.org/officeDocument/2006/relationships" ref="K14" r:id="rId38"/>
    <hyperlink xmlns:r="http://schemas.openxmlformats.org/officeDocument/2006/relationships" ref="N14" r:id="rId39"/>
    <hyperlink xmlns:r="http://schemas.openxmlformats.org/officeDocument/2006/relationships" ref="I15" r:id="rId40"/>
    <hyperlink xmlns:r="http://schemas.openxmlformats.org/officeDocument/2006/relationships" ref="K15" r:id="rId41"/>
    <hyperlink xmlns:r="http://schemas.openxmlformats.org/officeDocument/2006/relationships" ref="N15" r:id="rId42"/>
    <hyperlink xmlns:r="http://schemas.openxmlformats.org/officeDocument/2006/relationships" ref="I16" r:id="rId43"/>
    <hyperlink xmlns:r="http://schemas.openxmlformats.org/officeDocument/2006/relationships" ref="K16" r:id="rId44"/>
    <hyperlink xmlns:r="http://schemas.openxmlformats.org/officeDocument/2006/relationships" ref="N16" r:id="rId45"/>
    <hyperlink xmlns:r="http://schemas.openxmlformats.org/officeDocument/2006/relationships" ref="I17" r:id="rId46"/>
    <hyperlink xmlns:r="http://schemas.openxmlformats.org/officeDocument/2006/relationships" ref="K17" r:id="rId47"/>
    <hyperlink xmlns:r="http://schemas.openxmlformats.org/officeDocument/2006/relationships" ref="N17" r:id="rId48"/>
    <hyperlink xmlns:r="http://schemas.openxmlformats.org/officeDocument/2006/relationships" ref="I18" r:id="rId49"/>
    <hyperlink xmlns:r="http://schemas.openxmlformats.org/officeDocument/2006/relationships" ref="K18" r:id="rId50"/>
    <hyperlink xmlns:r="http://schemas.openxmlformats.org/officeDocument/2006/relationships" ref="N18" r:id="rId51"/>
    <hyperlink xmlns:r="http://schemas.openxmlformats.org/officeDocument/2006/relationships" ref="H19" r:id="rId52"/>
    <hyperlink xmlns:r="http://schemas.openxmlformats.org/officeDocument/2006/relationships" ref="K19" r:id="rId53"/>
    <hyperlink xmlns:r="http://schemas.openxmlformats.org/officeDocument/2006/relationships" ref="N19" r:id="rId54"/>
    <hyperlink xmlns:r="http://schemas.openxmlformats.org/officeDocument/2006/relationships" ref="I20" r:id="rId55"/>
    <hyperlink xmlns:r="http://schemas.openxmlformats.org/officeDocument/2006/relationships" ref="K20" r:id="rId56"/>
    <hyperlink xmlns:r="http://schemas.openxmlformats.org/officeDocument/2006/relationships" ref="N20" r:id="rId57"/>
    <hyperlink xmlns:r="http://schemas.openxmlformats.org/officeDocument/2006/relationships" ref="I21" r:id="rId58"/>
    <hyperlink xmlns:r="http://schemas.openxmlformats.org/officeDocument/2006/relationships" ref="K21" r:id="rId59"/>
    <hyperlink xmlns:r="http://schemas.openxmlformats.org/officeDocument/2006/relationships" ref="N21" r:id="rId60"/>
    <hyperlink xmlns:r="http://schemas.openxmlformats.org/officeDocument/2006/relationships" ref="I22" r:id="rId61"/>
    <hyperlink xmlns:r="http://schemas.openxmlformats.org/officeDocument/2006/relationships" ref="K22" r:id="rId62"/>
    <hyperlink xmlns:r="http://schemas.openxmlformats.org/officeDocument/2006/relationships" ref="N22" r:id="rId63"/>
    <hyperlink xmlns:r="http://schemas.openxmlformats.org/officeDocument/2006/relationships" ref="I23" r:id="rId64"/>
    <hyperlink xmlns:r="http://schemas.openxmlformats.org/officeDocument/2006/relationships" ref="K23" r:id="rId65"/>
    <hyperlink xmlns:r="http://schemas.openxmlformats.org/officeDocument/2006/relationships" ref="N23" r:id="rId66"/>
    <hyperlink xmlns:r="http://schemas.openxmlformats.org/officeDocument/2006/relationships" ref="I24" r:id="rId67"/>
    <hyperlink xmlns:r="http://schemas.openxmlformats.org/officeDocument/2006/relationships" ref="K24" r:id="rId68"/>
    <hyperlink xmlns:r="http://schemas.openxmlformats.org/officeDocument/2006/relationships" ref="N24" r:id="rId69"/>
    <hyperlink xmlns:r="http://schemas.openxmlformats.org/officeDocument/2006/relationships" ref="H25" r:id="rId70"/>
    <hyperlink xmlns:r="http://schemas.openxmlformats.org/officeDocument/2006/relationships" ref="K25" r:id="rId71"/>
    <hyperlink xmlns:r="http://schemas.openxmlformats.org/officeDocument/2006/relationships" ref="N25" r:id="rId72"/>
    <hyperlink xmlns:r="http://schemas.openxmlformats.org/officeDocument/2006/relationships" ref="I26" r:id="rId73"/>
    <hyperlink xmlns:r="http://schemas.openxmlformats.org/officeDocument/2006/relationships" ref="K26" r:id="rId74"/>
    <hyperlink xmlns:r="http://schemas.openxmlformats.org/officeDocument/2006/relationships" ref="N26" r:id="rId75"/>
    <hyperlink xmlns:r="http://schemas.openxmlformats.org/officeDocument/2006/relationships" ref="I27" r:id="rId76"/>
    <hyperlink xmlns:r="http://schemas.openxmlformats.org/officeDocument/2006/relationships" ref="K27" r:id="rId77"/>
    <hyperlink xmlns:r="http://schemas.openxmlformats.org/officeDocument/2006/relationships" ref="N27" r:id="rId78"/>
    <hyperlink xmlns:r="http://schemas.openxmlformats.org/officeDocument/2006/relationships" ref="I28" r:id="rId79"/>
    <hyperlink xmlns:r="http://schemas.openxmlformats.org/officeDocument/2006/relationships" ref="K28" r:id="rId80"/>
    <hyperlink xmlns:r="http://schemas.openxmlformats.org/officeDocument/2006/relationships" ref="N28" r:id="rId81"/>
    <hyperlink xmlns:r="http://schemas.openxmlformats.org/officeDocument/2006/relationships" ref="H29" r:id="rId82"/>
    <hyperlink xmlns:r="http://schemas.openxmlformats.org/officeDocument/2006/relationships" ref="K29" r:id="rId83"/>
    <hyperlink xmlns:r="http://schemas.openxmlformats.org/officeDocument/2006/relationships" ref="N29" r:id="rId84"/>
    <hyperlink xmlns:r="http://schemas.openxmlformats.org/officeDocument/2006/relationships" ref="H30" r:id="rId85"/>
    <hyperlink xmlns:r="http://schemas.openxmlformats.org/officeDocument/2006/relationships" ref="K30" r:id="rId86"/>
    <hyperlink xmlns:r="http://schemas.openxmlformats.org/officeDocument/2006/relationships" ref="N30" r:id="rId87"/>
    <hyperlink xmlns:r="http://schemas.openxmlformats.org/officeDocument/2006/relationships" ref="I31" r:id="rId88"/>
    <hyperlink xmlns:r="http://schemas.openxmlformats.org/officeDocument/2006/relationships" ref="K31" r:id="rId89"/>
    <hyperlink xmlns:r="http://schemas.openxmlformats.org/officeDocument/2006/relationships" ref="N31" r:id="rId90"/>
    <hyperlink xmlns:r="http://schemas.openxmlformats.org/officeDocument/2006/relationships" ref="I32" r:id="rId91"/>
    <hyperlink xmlns:r="http://schemas.openxmlformats.org/officeDocument/2006/relationships" ref="K32" r:id="rId92"/>
    <hyperlink xmlns:r="http://schemas.openxmlformats.org/officeDocument/2006/relationships" ref="N32" r:id="rId93"/>
    <hyperlink xmlns:r="http://schemas.openxmlformats.org/officeDocument/2006/relationships" ref="I33" r:id="rId94"/>
    <hyperlink xmlns:r="http://schemas.openxmlformats.org/officeDocument/2006/relationships" ref="K33" r:id="rId95"/>
    <hyperlink xmlns:r="http://schemas.openxmlformats.org/officeDocument/2006/relationships" ref="N33" r:id="rId96"/>
    <hyperlink xmlns:r="http://schemas.openxmlformats.org/officeDocument/2006/relationships" ref="I34" r:id="rId97"/>
    <hyperlink xmlns:r="http://schemas.openxmlformats.org/officeDocument/2006/relationships" ref="K34" r:id="rId98"/>
    <hyperlink xmlns:r="http://schemas.openxmlformats.org/officeDocument/2006/relationships" ref="N34" r:id="rId99"/>
    <hyperlink xmlns:r="http://schemas.openxmlformats.org/officeDocument/2006/relationships" ref="I35" r:id="rId100"/>
    <hyperlink xmlns:r="http://schemas.openxmlformats.org/officeDocument/2006/relationships" ref="K35" r:id="rId101"/>
    <hyperlink xmlns:r="http://schemas.openxmlformats.org/officeDocument/2006/relationships" ref="N35" r:id="rId102"/>
    <hyperlink xmlns:r="http://schemas.openxmlformats.org/officeDocument/2006/relationships" ref="I36" r:id="rId103"/>
    <hyperlink xmlns:r="http://schemas.openxmlformats.org/officeDocument/2006/relationships" ref="K36" r:id="rId104"/>
    <hyperlink xmlns:r="http://schemas.openxmlformats.org/officeDocument/2006/relationships" ref="N36" r:id="rId105"/>
    <hyperlink xmlns:r="http://schemas.openxmlformats.org/officeDocument/2006/relationships" ref="I37" r:id="rId106"/>
    <hyperlink xmlns:r="http://schemas.openxmlformats.org/officeDocument/2006/relationships" ref="K37" r:id="rId107"/>
    <hyperlink xmlns:r="http://schemas.openxmlformats.org/officeDocument/2006/relationships" ref="N37" r:id="rId108"/>
    <hyperlink xmlns:r="http://schemas.openxmlformats.org/officeDocument/2006/relationships" ref="I38" r:id="rId109"/>
    <hyperlink xmlns:r="http://schemas.openxmlformats.org/officeDocument/2006/relationships" ref="K38" r:id="rId110"/>
    <hyperlink xmlns:r="http://schemas.openxmlformats.org/officeDocument/2006/relationships" ref="N38" r:id="rId111"/>
    <hyperlink xmlns:r="http://schemas.openxmlformats.org/officeDocument/2006/relationships" ref="I39" r:id="rId112"/>
    <hyperlink xmlns:r="http://schemas.openxmlformats.org/officeDocument/2006/relationships" ref="K39" r:id="rId113"/>
    <hyperlink xmlns:r="http://schemas.openxmlformats.org/officeDocument/2006/relationships" ref="N39" r:id="rId114"/>
    <hyperlink xmlns:r="http://schemas.openxmlformats.org/officeDocument/2006/relationships" ref="I40" r:id="rId115"/>
    <hyperlink xmlns:r="http://schemas.openxmlformats.org/officeDocument/2006/relationships" ref="K40" r:id="rId116"/>
    <hyperlink xmlns:r="http://schemas.openxmlformats.org/officeDocument/2006/relationships" ref="N40" r:id="rId117"/>
    <hyperlink xmlns:r="http://schemas.openxmlformats.org/officeDocument/2006/relationships" ref="I41" r:id="rId118"/>
    <hyperlink xmlns:r="http://schemas.openxmlformats.org/officeDocument/2006/relationships" ref="K41" r:id="rId119"/>
    <hyperlink xmlns:r="http://schemas.openxmlformats.org/officeDocument/2006/relationships" ref="N41" r:id="rId120"/>
    <hyperlink xmlns:r="http://schemas.openxmlformats.org/officeDocument/2006/relationships" ref="H42" r:id="rId121"/>
    <hyperlink xmlns:r="http://schemas.openxmlformats.org/officeDocument/2006/relationships" ref="K42" r:id="rId122"/>
    <hyperlink xmlns:r="http://schemas.openxmlformats.org/officeDocument/2006/relationships" ref="N42" r:id="rId123"/>
    <hyperlink xmlns:r="http://schemas.openxmlformats.org/officeDocument/2006/relationships" ref="I43" r:id="rId124"/>
    <hyperlink xmlns:r="http://schemas.openxmlformats.org/officeDocument/2006/relationships" ref="K43" r:id="rId125"/>
    <hyperlink xmlns:r="http://schemas.openxmlformats.org/officeDocument/2006/relationships" ref="N43" r:id="rId126"/>
    <hyperlink xmlns:r="http://schemas.openxmlformats.org/officeDocument/2006/relationships" ref="I44" r:id="rId127"/>
    <hyperlink xmlns:r="http://schemas.openxmlformats.org/officeDocument/2006/relationships" ref="K44" r:id="rId128"/>
    <hyperlink xmlns:r="http://schemas.openxmlformats.org/officeDocument/2006/relationships" ref="N44" r:id="rId129"/>
    <hyperlink xmlns:r="http://schemas.openxmlformats.org/officeDocument/2006/relationships" ref="I45" r:id="rId130"/>
    <hyperlink xmlns:r="http://schemas.openxmlformats.org/officeDocument/2006/relationships" ref="K45" r:id="rId131"/>
    <hyperlink xmlns:r="http://schemas.openxmlformats.org/officeDocument/2006/relationships" ref="N45" r:id="rId132"/>
    <hyperlink xmlns:r="http://schemas.openxmlformats.org/officeDocument/2006/relationships" ref="I46" r:id="rId133"/>
    <hyperlink xmlns:r="http://schemas.openxmlformats.org/officeDocument/2006/relationships" ref="K46" r:id="rId134"/>
    <hyperlink xmlns:r="http://schemas.openxmlformats.org/officeDocument/2006/relationships" ref="N46" r:id="rId135"/>
    <hyperlink xmlns:r="http://schemas.openxmlformats.org/officeDocument/2006/relationships" ref="H47" r:id="rId136"/>
    <hyperlink xmlns:r="http://schemas.openxmlformats.org/officeDocument/2006/relationships" ref="K47" r:id="rId137"/>
    <hyperlink xmlns:r="http://schemas.openxmlformats.org/officeDocument/2006/relationships" ref="N47" r:id="rId138"/>
    <hyperlink xmlns:r="http://schemas.openxmlformats.org/officeDocument/2006/relationships" ref="I48" r:id="rId139"/>
    <hyperlink xmlns:r="http://schemas.openxmlformats.org/officeDocument/2006/relationships" ref="K48" r:id="rId140"/>
    <hyperlink xmlns:r="http://schemas.openxmlformats.org/officeDocument/2006/relationships" ref="N48" r:id="rId141"/>
    <hyperlink xmlns:r="http://schemas.openxmlformats.org/officeDocument/2006/relationships" ref="I49" r:id="rId142"/>
    <hyperlink xmlns:r="http://schemas.openxmlformats.org/officeDocument/2006/relationships" ref="K49" r:id="rId143"/>
    <hyperlink xmlns:r="http://schemas.openxmlformats.org/officeDocument/2006/relationships" ref="N49" r:id="rId144"/>
    <hyperlink xmlns:r="http://schemas.openxmlformats.org/officeDocument/2006/relationships" ref="I50" r:id="rId145"/>
    <hyperlink xmlns:r="http://schemas.openxmlformats.org/officeDocument/2006/relationships" ref="K50" r:id="rId146"/>
    <hyperlink xmlns:r="http://schemas.openxmlformats.org/officeDocument/2006/relationships" ref="N50" r:id="rId147"/>
    <hyperlink xmlns:r="http://schemas.openxmlformats.org/officeDocument/2006/relationships" ref="I51" r:id="rId148"/>
    <hyperlink xmlns:r="http://schemas.openxmlformats.org/officeDocument/2006/relationships" ref="K51" r:id="rId149"/>
    <hyperlink xmlns:r="http://schemas.openxmlformats.org/officeDocument/2006/relationships" ref="N51" r:id="rId150"/>
    <hyperlink xmlns:r="http://schemas.openxmlformats.org/officeDocument/2006/relationships" ref="I52" r:id="rId151"/>
    <hyperlink xmlns:r="http://schemas.openxmlformats.org/officeDocument/2006/relationships" ref="K52" r:id="rId152"/>
    <hyperlink xmlns:r="http://schemas.openxmlformats.org/officeDocument/2006/relationships" ref="N52" r:id="rId153"/>
    <hyperlink xmlns:r="http://schemas.openxmlformats.org/officeDocument/2006/relationships" ref="I53" r:id="rId154"/>
    <hyperlink xmlns:r="http://schemas.openxmlformats.org/officeDocument/2006/relationships" ref="K53" r:id="rId155"/>
    <hyperlink xmlns:r="http://schemas.openxmlformats.org/officeDocument/2006/relationships" ref="N53" r:id="rId156"/>
    <hyperlink xmlns:r="http://schemas.openxmlformats.org/officeDocument/2006/relationships" ref="H54" r:id="rId157"/>
    <hyperlink xmlns:r="http://schemas.openxmlformats.org/officeDocument/2006/relationships" ref="K54" r:id="rId158"/>
    <hyperlink xmlns:r="http://schemas.openxmlformats.org/officeDocument/2006/relationships" ref="N54" r:id="rId159"/>
    <hyperlink xmlns:r="http://schemas.openxmlformats.org/officeDocument/2006/relationships" ref="I55" r:id="rId160"/>
    <hyperlink xmlns:r="http://schemas.openxmlformats.org/officeDocument/2006/relationships" ref="K55" r:id="rId161"/>
    <hyperlink xmlns:r="http://schemas.openxmlformats.org/officeDocument/2006/relationships" ref="N55" r:id="rId162"/>
    <hyperlink xmlns:r="http://schemas.openxmlformats.org/officeDocument/2006/relationships" ref="I56" r:id="rId163"/>
    <hyperlink xmlns:r="http://schemas.openxmlformats.org/officeDocument/2006/relationships" ref="K56" r:id="rId164"/>
    <hyperlink xmlns:r="http://schemas.openxmlformats.org/officeDocument/2006/relationships" ref="N56" r:id="rId165"/>
    <hyperlink xmlns:r="http://schemas.openxmlformats.org/officeDocument/2006/relationships" ref="I57" r:id="rId166"/>
    <hyperlink xmlns:r="http://schemas.openxmlformats.org/officeDocument/2006/relationships" ref="K57" r:id="rId167"/>
    <hyperlink xmlns:r="http://schemas.openxmlformats.org/officeDocument/2006/relationships" ref="N57" r:id="rId168"/>
    <hyperlink xmlns:r="http://schemas.openxmlformats.org/officeDocument/2006/relationships" ref="I58" r:id="rId169"/>
    <hyperlink xmlns:r="http://schemas.openxmlformats.org/officeDocument/2006/relationships" ref="K58" r:id="rId170"/>
    <hyperlink xmlns:r="http://schemas.openxmlformats.org/officeDocument/2006/relationships" ref="N58" r:id="rId171"/>
    <hyperlink xmlns:r="http://schemas.openxmlformats.org/officeDocument/2006/relationships" ref="I59" r:id="rId172"/>
    <hyperlink xmlns:r="http://schemas.openxmlformats.org/officeDocument/2006/relationships" ref="K59" r:id="rId173"/>
    <hyperlink xmlns:r="http://schemas.openxmlformats.org/officeDocument/2006/relationships" ref="N59" r:id="rId174"/>
    <hyperlink xmlns:r="http://schemas.openxmlformats.org/officeDocument/2006/relationships" ref="I60" r:id="rId175"/>
    <hyperlink xmlns:r="http://schemas.openxmlformats.org/officeDocument/2006/relationships" ref="K60" r:id="rId176"/>
    <hyperlink xmlns:r="http://schemas.openxmlformats.org/officeDocument/2006/relationships" ref="N60" r:id="rId177"/>
    <hyperlink xmlns:r="http://schemas.openxmlformats.org/officeDocument/2006/relationships" ref="I61" r:id="rId178"/>
    <hyperlink xmlns:r="http://schemas.openxmlformats.org/officeDocument/2006/relationships" ref="K61" r:id="rId179"/>
    <hyperlink xmlns:r="http://schemas.openxmlformats.org/officeDocument/2006/relationships" ref="N61" r:id="rId180"/>
    <hyperlink xmlns:r="http://schemas.openxmlformats.org/officeDocument/2006/relationships" ref="I62" r:id="rId181"/>
    <hyperlink xmlns:r="http://schemas.openxmlformats.org/officeDocument/2006/relationships" ref="K62" r:id="rId182"/>
    <hyperlink xmlns:r="http://schemas.openxmlformats.org/officeDocument/2006/relationships" ref="N62" r:id="rId183"/>
    <hyperlink xmlns:r="http://schemas.openxmlformats.org/officeDocument/2006/relationships" ref="I63" r:id="rId184"/>
    <hyperlink xmlns:r="http://schemas.openxmlformats.org/officeDocument/2006/relationships" ref="K63" r:id="rId185"/>
    <hyperlink xmlns:r="http://schemas.openxmlformats.org/officeDocument/2006/relationships" ref="N63" r:id="rId186"/>
    <hyperlink xmlns:r="http://schemas.openxmlformats.org/officeDocument/2006/relationships" ref="H64" r:id="rId187"/>
    <hyperlink xmlns:r="http://schemas.openxmlformats.org/officeDocument/2006/relationships" ref="K64" r:id="rId188"/>
    <hyperlink xmlns:r="http://schemas.openxmlformats.org/officeDocument/2006/relationships" ref="N64" r:id="rId189"/>
    <hyperlink xmlns:r="http://schemas.openxmlformats.org/officeDocument/2006/relationships" ref="I65" r:id="rId190"/>
    <hyperlink xmlns:r="http://schemas.openxmlformats.org/officeDocument/2006/relationships" ref="K65" r:id="rId191"/>
    <hyperlink xmlns:r="http://schemas.openxmlformats.org/officeDocument/2006/relationships" ref="N65" r:id="rId192"/>
    <hyperlink xmlns:r="http://schemas.openxmlformats.org/officeDocument/2006/relationships" ref="I66" r:id="rId193"/>
    <hyperlink xmlns:r="http://schemas.openxmlformats.org/officeDocument/2006/relationships" ref="K66" r:id="rId194"/>
    <hyperlink xmlns:r="http://schemas.openxmlformats.org/officeDocument/2006/relationships" ref="N66" r:id="rId195"/>
    <hyperlink xmlns:r="http://schemas.openxmlformats.org/officeDocument/2006/relationships" ref="I67" r:id="rId196"/>
    <hyperlink xmlns:r="http://schemas.openxmlformats.org/officeDocument/2006/relationships" ref="K67" r:id="rId197"/>
    <hyperlink xmlns:r="http://schemas.openxmlformats.org/officeDocument/2006/relationships" ref="N67" r:id="rId198"/>
    <hyperlink xmlns:r="http://schemas.openxmlformats.org/officeDocument/2006/relationships" ref="I68" r:id="rId199"/>
    <hyperlink xmlns:r="http://schemas.openxmlformats.org/officeDocument/2006/relationships" ref="K68" r:id="rId200"/>
    <hyperlink xmlns:r="http://schemas.openxmlformats.org/officeDocument/2006/relationships" ref="N68" r:id="rId201"/>
    <hyperlink xmlns:r="http://schemas.openxmlformats.org/officeDocument/2006/relationships" ref="H69" r:id="rId202"/>
    <hyperlink xmlns:r="http://schemas.openxmlformats.org/officeDocument/2006/relationships" ref="K69" r:id="rId203"/>
    <hyperlink xmlns:r="http://schemas.openxmlformats.org/officeDocument/2006/relationships" ref="N69" r:id="rId204"/>
    <hyperlink xmlns:r="http://schemas.openxmlformats.org/officeDocument/2006/relationships" ref="I70" r:id="rId205"/>
    <hyperlink xmlns:r="http://schemas.openxmlformats.org/officeDocument/2006/relationships" ref="K70" r:id="rId206"/>
    <hyperlink xmlns:r="http://schemas.openxmlformats.org/officeDocument/2006/relationships" ref="N70" r:id="rId207"/>
    <hyperlink xmlns:r="http://schemas.openxmlformats.org/officeDocument/2006/relationships" ref="I71" r:id="rId208"/>
    <hyperlink xmlns:r="http://schemas.openxmlformats.org/officeDocument/2006/relationships" ref="K71" r:id="rId209"/>
    <hyperlink xmlns:r="http://schemas.openxmlformats.org/officeDocument/2006/relationships" ref="N71" r:id="rId210"/>
    <hyperlink xmlns:r="http://schemas.openxmlformats.org/officeDocument/2006/relationships" ref="I72" r:id="rId211"/>
    <hyperlink xmlns:r="http://schemas.openxmlformats.org/officeDocument/2006/relationships" ref="K72" r:id="rId212"/>
    <hyperlink xmlns:r="http://schemas.openxmlformats.org/officeDocument/2006/relationships" ref="N72" r:id="rId213"/>
    <hyperlink xmlns:r="http://schemas.openxmlformats.org/officeDocument/2006/relationships" ref="I73" r:id="rId214"/>
    <hyperlink xmlns:r="http://schemas.openxmlformats.org/officeDocument/2006/relationships" ref="K73" r:id="rId215"/>
    <hyperlink xmlns:r="http://schemas.openxmlformats.org/officeDocument/2006/relationships" ref="N73" r:id="rId216"/>
    <hyperlink xmlns:r="http://schemas.openxmlformats.org/officeDocument/2006/relationships" ref="I74" r:id="rId217"/>
    <hyperlink xmlns:r="http://schemas.openxmlformats.org/officeDocument/2006/relationships" ref="K74" r:id="rId218"/>
    <hyperlink xmlns:r="http://schemas.openxmlformats.org/officeDocument/2006/relationships" ref="N74" r:id="rId219"/>
    <hyperlink xmlns:r="http://schemas.openxmlformats.org/officeDocument/2006/relationships" ref="I75" r:id="rId220"/>
    <hyperlink xmlns:r="http://schemas.openxmlformats.org/officeDocument/2006/relationships" ref="K75" r:id="rId221"/>
    <hyperlink xmlns:r="http://schemas.openxmlformats.org/officeDocument/2006/relationships" ref="N75" r:id="rId222"/>
    <hyperlink xmlns:r="http://schemas.openxmlformats.org/officeDocument/2006/relationships" ref="I76" r:id="rId223"/>
    <hyperlink xmlns:r="http://schemas.openxmlformats.org/officeDocument/2006/relationships" ref="K76" r:id="rId224"/>
    <hyperlink xmlns:r="http://schemas.openxmlformats.org/officeDocument/2006/relationships" ref="N76" r:id="rId225"/>
    <hyperlink xmlns:r="http://schemas.openxmlformats.org/officeDocument/2006/relationships" ref="I77" r:id="rId226"/>
    <hyperlink xmlns:r="http://schemas.openxmlformats.org/officeDocument/2006/relationships" ref="K77" r:id="rId227"/>
    <hyperlink xmlns:r="http://schemas.openxmlformats.org/officeDocument/2006/relationships" ref="N77" r:id="rId228"/>
    <hyperlink xmlns:r="http://schemas.openxmlformats.org/officeDocument/2006/relationships" ref="I78" r:id="rId229"/>
    <hyperlink xmlns:r="http://schemas.openxmlformats.org/officeDocument/2006/relationships" ref="K78" r:id="rId230"/>
    <hyperlink xmlns:r="http://schemas.openxmlformats.org/officeDocument/2006/relationships" ref="N78" r:id="rId231"/>
    <hyperlink xmlns:r="http://schemas.openxmlformats.org/officeDocument/2006/relationships" ref="I79" r:id="rId232"/>
    <hyperlink xmlns:r="http://schemas.openxmlformats.org/officeDocument/2006/relationships" ref="K79" r:id="rId233"/>
    <hyperlink xmlns:r="http://schemas.openxmlformats.org/officeDocument/2006/relationships" ref="N79" r:id="rId234"/>
    <hyperlink xmlns:r="http://schemas.openxmlformats.org/officeDocument/2006/relationships" ref="I80" r:id="rId235"/>
    <hyperlink xmlns:r="http://schemas.openxmlformats.org/officeDocument/2006/relationships" ref="K80" r:id="rId236"/>
    <hyperlink xmlns:r="http://schemas.openxmlformats.org/officeDocument/2006/relationships" ref="N80" r:id="rId237"/>
    <hyperlink xmlns:r="http://schemas.openxmlformats.org/officeDocument/2006/relationships" ref="I81" r:id="rId238"/>
    <hyperlink xmlns:r="http://schemas.openxmlformats.org/officeDocument/2006/relationships" ref="K81" r:id="rId239"/>
    <hyperlink xmlns:r="http://schemas.openxmlformats.org/officeDocument/2006/relationships" ref="N81" r:id="rId240"/>
    <hyperlink xmlns:r="http://schemas.openxmlformats.org/officeDocument/2006/relationships" ref="I82" r:id="rId241"/>
    <hyperlink xmlns:r="http://schemas.openxmlformats.org/officeDocument/2006/relationships" ref="K82" r:id="rId242"/>
    <hyperlink xmlns:r="http://schemas.openxmlformats.org/officeDocument/2006/relationships" ref="N82" r:id="rId243"/>
    <hyperlink xmlns:r="http://schemas.openxmlformats.org/officeDocument/2006/relationships" ref="I83" r:id="rId244"/>
    <hyperlink xmlns:r="http://schemas.openxmlformats.org/officeDocument/2006/relationships" ref="K83" r:id="rId245"/>
    <hyperlink xmlns:r="http://schemas.openxmlformats.org/officeDocument/2006/relationships" ref="N83" r:id="rId246"/>
    <hyperlink xmlns:r="http://schemas.openxmlformats.org/officeDocument/2006/relationships" ref="I84" r:id="rId247"/>
    <hyperlink xmlns:r="http://schemas.openxmlformats.org/officeDocument/2006/relationships" ref="K84" r:id="rId248"/>
    <hyperlink xmlns:r="http://schemas.openxmlformats.org/officeDocument/2006/relationships" ref="N84" r:id="rId249"/>
    <hyperlink xmlns:r="http://schemas.openxmlformats.org/officeDocument/2006/relationships" ref="H85" r:id="rId250"/>
    <hyperlink xmlns:r="http://schemas.openxmlformats.org/officeDocument/2006/relationships" ref="K85" r:id="rId251"/>
    <hyperlink xmlns:r="http://schemas.openxmlformats.org/officeDocument/2006/relationships" ref="N85" r:id="rId252"/>
    <hyperlink xmlns:r="http://schemas.openxmlformats.org/officeDocument/2006/relationships" ref="I86" r:id="rId253"/>
    <hyperlink xmlns:r="http://schemas.openxmlformats.org/officeDocument/2006/relationships" ref="K86" r:id="rId254"/>
    <hyperlink xmlns:r="http://schemas.openxmlformats.org/officeDocument/2006/relationships" ref="N86" r:id="rId255"/>
    <hyperlink xmlns:r="http://schemas.openxmlformats.org/officeDocument/2006/relationships" ref="I87" r:id="rId256"/>
    <hyperlink xmlns:r="http://schemas.openxmlformats.org/officeDocument/2006/relationships" ref="K87" r:id="rId257"/>
    <hyperlink xmlns:r="http://schemas.openxmlformats.org/officeDocument/2006/relationships" ref="N87" r:id="rId258"/>
    <hyperlink xmlns:r="http://schemas.openxmlformats.org/officeDocument/2006/relationships" ref="I88" r:id="rId259"/>
    <hyperlink xmlns:r="http://schemas.openxmlformats.org/officeDocument/2006/relationships" ref="K88" r:id="rId260"/>
    <hyperlink xmlns:r="http://schemas.openxmlformats.org/officeDocument/2006/relationships" ref="N88" r:id="rId261"/>
    <hyperlink xmlns:r="http://schemas.openxmlformats.org/officeDocument/2006/relationships" ref="I89" r:id="rId262"/>
    <hyperlink xmlns:r="http://schemas.openxmlformats.org/officeDocument/2006/relationships" ref="K89" r:id="rId263"/>
    <hyperlink xmlns:r="http://schemas.openxmlformats.org/officeDocument/2006/relationships" ref="N89" r:id="rId264"/>
    <hyperlink xmlns:r="http://schemas.openxmlformats.org/officeDocument/2006/relationships" ref="I90" r:id="rId265"/>
    <hyperlink xmlns:r="http://schemas.openxmlformats.org/officeDocument/2006/relationships" ref="K90" r:id="rId266"/>
    <hyperlink xmlns:r="http://schemas.openxmlformats.org/officeDocument/2006/relationships" ref="N90" r:id="rId267"/>
    <hyperlink xmlns:r="http://schemas.openxmlformats.org/officeDocument/2006/relationships" ref="I91" r:id="rId268"/>
    <hyperlink xmlns:r="http://schemas.openxmlformats.org/officeDocument/2006/relationships" ref="K91" r:id="rId269"/>
    <hyperlink xmlns:r="http://schemas.openxmlformats.org/officeDocument/2006/relationships" ref="N91" r:id="rId270"/>
    <hyperlink xmlns:r="http://schemas.openxmlformats.org/officeDocument/2006/relationships" ref="I92" r:id="rId271"/>
    <hyperlink xmlns:r="http://schemas.openxmlformats.org/officeDocument/2006/relationships" ref="K92" r:id="rId272"/>
    <hyperlink xmlns:r="http://schemas.openxmlformats.org/officeDocument/2006/relationships" ref="N92" r:id="rId273"/>
    <hyperlink xmlns:r="http://schemas.openxmlformats.org/officeDocument/2006/relationships" ref="I93" r:id="rId274"/>
    <hyperlink xmlns:r="http://schemas.openxmlformats.org/officeDocument/2006/relationships" ref="K93" r:id="rId275"/>
    <hyperlink xmlns:r="http://schemas.openxmlformats.org/officeDocument/2006/relationships" ref="N93" r:id="rId276"/>
    <hyperlink xmlns:r="http://schemas.openxmlformats.org/officeDocument/2006/relationships" ref="I94" r:id="rId277"/>
    <hyperlink xmlns:r="http://schemas.openxmlformats.org/officeDocument/2006/relationships" ref="K94" r:id="rId278"/>
    <hyperlink xmlns:r="http://schemas.openxmlformats.org/officeDocument/2006/relationships" ref="N94" r:id="rId279"/>
    <hyperlink xmlns:r="http://schemas.openxmlformats.org/officeDocument/2006/relationships" ref="I95" r:id="rId280"/>
    <hyperlink xmlns:r="http://schemas.openxmlformats.org/officeDocument/2006/relationships" ref="K95" r:id="rId281"/>
    <hyperlink xmlns:r="http://schemas.openxmlformats.org/officeDocument/2006/relationships" ref="N95" r:id="rId282"/>
    <hyperlink xmlns:r="http://schemas.openxmlformats.org/officeDocument/2006/relationships" ref="I96" r:id="rId283"/>
    <hyperlink xmlns:r="http://schemas.openxmlformats.org/officeDocument/2006/relationships" ref="K96" r:id="rId284"/>
    <hyperlink xmlns:r="http://schemas.openxmlformats.org/officeDocument/2006/relationships" ref="N96" r:id="rId285"/>
    <hyperlink xmlns:r="http://schemas.openxmlformats.org/officeDocument/2006/relationships" ref="I97" r:id="rId286"/>
    <hyperlink xmlns:r="http://schemas.openxmlformats.org/officeDocument/2006/relationships" ref="K97" r:id="rId287"/>
    <hyperlink xmlns:r="http://schemas.openxmlformats.org/officeDocument/2006/relationships" ref="N97" r:id="rId288"/>
    <hyperlink xmlns:r="http://schemas.openxmlformats.org/officeDocument/2006/relationships" ref="I98" r:id="rId289"/>
    <hyperlink xmlns:r="http://schemas.openxmlformats.org/officeDocument/2006/relationships" ref="K98" r:id="rId290"/>
    <hyperlink xmlns:r="http://schemas.openxmlformats.org/officeDocument/2006/relationships" ref="N98" r:id="rId291"/>
    <hyperlink xmlns:r="http://schemas.openxmlformats.org/officeDocument/2006/relationships" ref="I99" r:id="rId292"/>
    <hyperlink xmlns:r="http://schemas.openxmlformats.org/officeDocument/2006/relationships" ref="K99" r:id="rId293"/>
    <hyperlink xmlns:r="http://schemas.openxmlformats.org/officeDocument/2006/relationships" ref="N99" r:id="rId294"/>
    <hyperlink xmlns:r="http://schemas.openxmlformats.org/officeDocument/2006/relationships" ref="I100" r:id="rId295"/>
    <hyperlink xmlns:r="http://schemas.openxmlformats.org/officeDocument/2006/relationships" ref="K100" r:id="rId296"/>
    <hyperlink xmlns:r="http://schemas.openxmlformats.org/officeDocument/2006/relationships" ref="N100" r:id="rId297"/>
    <hyperlink xmlns:r="http://schemas.openxmlformats.org/officeDocument/2006/relationships" ref="I101" r:id="rId298"/>
    <hyperlink xmlns:r="http://schemas.openxmlformats.org/officeDocument/2006/relationships" ref="K101" r:id="rId299"/>
    <hyperlink xmlns:r="http://schemas.openxmlformats.org/officeDocument/2006/relationships" ref="N101" r:id="rId300"/>
    <hyperlink xmlns:r="http://schemas.openxmlformats.org/officeDocument/2006/relationships" ref="I102" r:id="rId301"/>
    <hyperlink xmlns:r="http://schemas.openxmlformats.org/officeDocument/2006/relationships" ref="K102" r:id="rId302"/>
    <hyperlink xmlns:r="http://schemas.openxmlformats.org/officeDocument/2006/relationships" ref="N102" r:id="rId303"/>
    <hyperlink xmlns:r="http://schemas.openxmlformats.org/officeDocument/2006/relationships" ref="I103" r:id="rId304"/>
    <hyperlink xmlns:r="http://schemas.openxmlformats.org/officeDocument/2006/relationships" ref="K103" r:id="rId305"/>
    <hyperlink xmlns:r="http://schemas.openxmlformats.org/officeDocument/2006/relationships" ref="N103" r:id="rId306"/>
    <hyperlink xmlns:r="http://schemas.openxmlformats.org/officeDocument/2006/relationships" ref="I104" r:id="rId307"/>
    <hyperlink xmlns:r="http://schemas.openxmlformats.org/officeDocument/2006/relationships" ref="K104" r:id="rId308"/>
    <hyperlink xmlns:r="http://schemas.openxmlformats.org/officeDocument/2006/relationships" ref="N104" r:id="rId309"/>
    <hyperlink xmlns:r="http://schemas.openxmlformats.org/officeDocument/2006/relationships" ref="I105" r:id="rId310"/>
    <hyperlink xmlns:r="http://schemas.openxmlformats.org/officeDocument/2006/relationships" ref="K105" r:id="rId311"/>
    <hyperlink xmlns:r="http://schemas.openxmlformats.org/officeDocument/2006/relationships" ref="N105" r:id="rId312"/>
    <hyperlink xmlns:r="http://schemas.openxmlformats.org/officeDocument/2006/relationships" ref="I106" r:id="rId313"/>
    <hyperlink xmlns:r="http://schemas.openxmlformats.org/officeDocument/2006/relationships" ref="K106" r:id="rId314"/>
    <hyperlink xmlns:r="http://schemas.openxmlformats.org/officeDocument/2006/relationships" ref="N106" r:id="rId315"/>
    <hyperlink xmlns:r="http://schemas.openxmlformats.org/officeDocument/2006/relationships" ref="I107" r:id="rId316"/>
    <hyperlink xmlns:r="http://schemas.openxmlformats.org/officeDocument/2006/relationships" ref="K107" r:id="rId317"/>
    <hyperlink xmlns:r="http://schemas.openxmlformats.org/officeDocument/2006/relationships" ref="N107" r:id="rId318"/>
    <hyperlink xmlns:r="http://schemas.openxmlformats.org/officeDocument/2006/relationships" ref="I108" r:id="rId319"/>
    <hyperlink xmlns:r="http://schemas.openxmlformats.org/officeDocument/2006/relationships" ref="K108" r:id="rId320"/>
    <hyperlink xmlns:r="http://schemas.openxmlformats.org/officeDocument/2006/relationships" ref="N108" r:id="rId321"/>
    <hyperlink xmlns:r="http://schemas.openxmlformats.org/officeDocument/2006/relationships" ref="I109" r:id="rId322"/>
    <hyperlink xmlns:r="http://schemas.openxmlformats.org/officeDocument/2006/relationships" ref="K109" r:id="rId323"/>
    <hyperlink xmlns:r="http://schemas.openxmlformats.org/officeDocument/2006/relationships" ref="N109" r:id="rId324"/>
    <hyperlink xmlns:r="http://schemas.openxmlformats.org/officeDocument/2006/relationships" ref="I110" r:id="rId325"/>
    <hyperlink xmlns:r="http://schemas.openxmlformats.org/officeDocument/2006/relationships" ref="K110" r:id="rId326"/>
    <hyperlink xmlns:r="http://schemas.openxmlformats.org/officeDocument/2006/relationships" ref="N110" r:id="rId327"/>
    <hyperlink xmlns:r="http://schemas.openxmlformats.org/officeDocument/2006/relationships" ref="I111" r:id="rId328"/>
    <hyperlink xmlns:r="http://schemas.openxmlformats.org/officeDocument/2006/relationships" ref="K111" r:id="rId329"/>
    <hyperlink xmlns:r="http://schemas.openxmlformats.org/officeDocument/2006/relationships" ref="N111" r:id="rId330"/>
    <hyperlink xmlns:r="http://schemas.openxmlformats.org/officeDocument/2006/relationships" ref="I112" r:id="rId331"/>
    <hyperlink xmlns:r="http://schemas.openxmlformats.org/officeDocument/2006/relationships" ref="K112" r:id="rId332"/>
    <hyperlink xmlns:r="http://schemas.openxmlformats.org/officeDocument/2006/relationships" ref="N112" r:id="rId333"/>
    <hyperlink xmlns:r="http://schemas.openxmlformats.org/officeDocument/2006/relationships" ref="I113" r:id="rId334"/>
    <hyperlink xmlns:r="http://schemas.openxmlformats.org/officeDocument/2006/relationships" ref="K113" r:id="rId335"/>
    <hyperlink xmlns:r="http://schemas.openxmlformats.org/officeDocument/2006/relationships" ref="N113" r:id="rId336"/>
    <hyperlink xmlns:r="http://schemas.openxmlformats.org/officeDocument/2006/relationships" ref="I114" r:id="rId337"/>
    <hyperlink xmlns:r="http://schemas.openxmlformats.org/officeDocument/2006/relationships" ref="K114" r:id="rId338"/>
    <hyperlink xmlns:r="http://schemas.openxmlformats.org/officeDocument/2006/relationships" ref="N114" r:id="rId339"/>
    <hyperlink xmlns:r="http://schemas.openxmlformats.org/officeDocument/2006/relationships" ref="I115" r:id="rId340"/>
    <hyperlink xmlns:r="http://schemas.openxmlformats.org/officeDocument/2006/relationships" ref="K115" r:id="rId341"/>
    <hyperlink xmlns:r="http://schemas.openxmlformats.org/officeDocument/2006/relationships" ref="N115" r:id="rId342"/>
    <hyperlink xmlns:r="http://schemas.openxmlformats.org/officeDocument/2006/relationships" ref="I116" r:id="rId343"/>
    <hyperlink xmlns:r="http://schemas.openxmlformats.org/officeDocument/2006/relationships" ref="K116" r:id="rId344"/>
    <hyperlink xmlns:r="http://schemas.openxmlformats.org/officeDocument/2006/relationships" ref="N116" r:id="rId345"/>
    <hyperlink xmlns:r="http://schemas.openxmlformats.org/officeDocument/2006/relationships" ref="I117" r:id="rId346"/>
    <hyperlink xmlns:r="http://schemas.openxmlformats.org/officeDocument/2006/relationships" ref="K117" r:id="rId347"/>
    <hyperlink xmlns:r="http://schemas.openxmlformats.org/officeDocument/2006/relationships" ref="N117" r:id="rId348"/>
    <hyperlink xmlns:r="http://schemas.openxmlformats.org/officeDocument/2006/relationships" ref="I118" r:id="rId349"/>
    <hyperlink xmlns:r="http://schemas.openxmlformats.org/officeDocument/2006/relationships" ref="K118" r:id="rId350"/>
    <hyperlink xmlns:r="http://schemas.openxmlformats.org/officeDocument/2006/relationships" ref="N118" r:id="rId351"/>
    <hyperlink xmlns:r="http://schemas.openxmlformats.org/officeDocument/2006/relationships" ref="H119" r:id="rId352"/>
    <hyperlink xmlns:r="http://schemas.openxmlformats.org/officeDocument/2006/relationships" ref="I119" r:id="rId353"/>
    <hyperlink xmlns:r="http://schemas.openxmlformats.org/officeDocument/2006/relationships" ref="K119" r:id="rId354"/>
    <hyperlink xmlns:r="http://schemas.openxmlformats.org/officeDocument/2006/relationships" ref="N119" r:id="rId355"/>
    <hyperlink xmlns:r="http://schemas.openxmlformats.org/officeDocument/2006/relationships" ref="I120" r:id="rId356"/>
    <hyperlink xmlns:r="http://schemas.openxmlformats.org/officeDocument/2006/relationships" ref="K120" r:id="rId357"/>
    <hyperlink xmlns:r="http://schemas.openxmlformats.org/officeDocument/2006/relationships" ref="N120" r:id="rId358"/>
    <hyperlink xmlns:r="http://schemas.openxmlformats.org/officeDocument/2006/relationships" ref="H121" r:id="rId359"/>
    <hyperlink xmlns:r="http://schemas.openxmlformats.org/officeDocument/2006/relationships" ref="K121" r:id="rId360"/>
    <hyperlink xmlns:r="http://schemas.openxmlformats.org/officeDocument/2006/relationships" ref="N121" r:id="rId361"/>
    <hyperlink xmlns:r="http://schemas.openxmlformats.org/officeDocument/2006/relationships" ref="I122" r:id="rId362"/>
    <hyperlink xmlns:r="http://schemas.openxmlformats.org/officeDocument/2006/relationships" ref="K122" r:id="rId363"/>
    <hyperlink xmlns:r="http://schemas.openxmlformats.org/officeDocument/2006/relationships" ref="N122" r:id="rId364"/>
    <hyperlink xmlns:r="http://schemas.openxmlformats.org/officeDocument/2006/relationships" ref="H123" r:id="rId365"/>
    <hyperlink xmlns:r="http://schemas.openxmlformats.org/officeDocument/2006/relationships" ref="I123" r:id="rId366"/>
    <hyperlink xmlns:r="http://schemas.openxmlformats.org/officeDocument/2006/relationships" ref="K123" r:id="rId367"/>
    <hyperlink xmlns:r="http://schemas.openxmlformats.org/officeDocument/2006/relationships" ref="N123" r:id="rId368"/>
    <hyperlink xmlns:r="http://schemas.openxmlformats.org/officeDocument/2006/relationships" ref="I124" r:id="rId369"/>
    <hyperlink xmlns:r="http://schemas.openxmlformats.org/officeDocument/2006/relationships" ref="K124" r:id="rId370"/>
    <hyperlink xmlns:r="http://schemas.openxmlformats.org/officeDocument/2006/relationships" ref="N124" r:id="rId371"/>
    <hyperlink xmlns:r="http://schemas.openxmlformats.org/officeDocument/2006/relationships" ref="I125" r:id="rId372"/>
    <hyperlink xmlns:r="http://schemas.openxmlformats.org/officeDocument/2006/relationships" ref="K125" r:id="rId373"/>
    <hyperlink xmlns:r="http://schemas.openxmlformats.org/officeDocument/2006/relationships" ref="N125" r:id="rId374"/>
    <hyperlink xmlns:r="http://schemas.openxmlformats.org/officeDocument/2006/relationships" ref="H126" r:id="rId375"/>
    <hyperlink xmlns:r="http://schemas.openxmlformats.org/officeDocument/2006/relationships" ref="I126" r:id="rId376"/>
    <hyperlink xmlns:r="http://schemas.openxmlformats.org/officeDocument/2006/relationships" ref="K126" r:id="rId377"/>
    <hyperlink xmlns:r="http://schemas.openxmlformats.org/officeDocument/2006/relationships" ref="N126" r:id="rId378"/>
    <hyperlink xmlns:r="http://schemas.openxmlformats.org/officeDocument/2006/relationships" ref="I127" r:id="rId379"/>
    <hyperlink xmlns:r="http://schemas.openxmlformats.org/officeDocument/2006/relationships" ref="K127" r:id="rId380"/>
    <hyperlink xmlns:r="http://schemas.openxmlformats.org/officeDocument/2006/relationships" ref="N127" r:id="rId381"/>
    <hyperlink xmlns:r="http://schemas.openxmlformats.org/officeDocument/2006/relationships" ref="I128" r:id="rId382"/>
    <hyperlink xmlns:r="http://schemas.openxmlformats.org/officeDocument/2006/relationships" ref="K128" r:id="rId383"/>
    <hyperlink xmlns:r="http://schemas.openxmlformats.org/officeDocument/2006/relationships" ref="N128" r:id="rId384"/>
    <hyperlink xmlns:r="http://schemas.openxmlformats.org/officeDocument/2006/relationships" ref="H129" r:id="rId385"/>
    <hyperlink xmlns:r="http://schemas.openxmlformats.org/officeDocument/2006/relationships" ref="I129" r:id="rId386"/>
    <hyperlink xmlns:r="http://schemas.openxmlformats.org/officeDocument/2006/relationships" ref="K129" r:id="rId387"/>
    <hyperlink xmlns:r="http://schemas.openxmlformats.org/officeDocument/2006/relationships" ref="N129" r:id="rId388"/>
    <hyperlink xmlns:r="http://schemas.openxmlformats.org/officeDocument/2006/relationships" ref="I130" r:id="rId389"/>
    <hyperlink xmlns:r="http://schemas.openxmlformats.org/officeDocument/2006/relationships" ref="N130" r:id="rId390"/>
    <hyperlink xmlns:r="http://schemas.openxmlformats.org/officeDocument/2006/relationships" ref="I131" r:id="rId391"/>
    <hyperlink xmlns:r="http://schemas.openxmlformats.org/officeDocument/2006/relationships" ref="N131" r:id="rId392"/>
    <hyperlink xmlns:r="http://schemas.openxmlformats.org/officeDocument/2006/relationships" ref="I132" r:id="rId393"/>
    <hyperlink xmlns:r="http://schemas.openxmlformats.org/officeDocument/2006/relationships" ref="N132" r:id="rId394"/>
    <hyperlink xmlns:r="http://schemas.openxmlformats.org/officeDocument/2006/relationships" ref="I133" r:id="rId395"/>
    <hyperlink xmlns:r="http://schemas.openxmlformats.org/officeDocument/2006/relationships" ref="N133" r:id="rId396"/>
    <hyperlink xmlns:r="http://schemas.openxmlformats.org/officeDocument/2006/relationships" ref="H134" r:id="rId397"/>
    <hyperlink xmlns:r="http://schemas.openxmlformats.org/officeDocument/2006/relationships" ref="N134" r:id="rId398"/>
    <hyperlink xmlns:r="http://schemas.openxmlformats.org/officeDocument/2006/relationships" ref="H135" r:id="rId399"/>
    <hyperlink xmlns:r="http://schemas.openxmlformats.org/officeDocument/2006/relationships" ref="N135" r:id="rId400"/>
    <hyperlink xmlns:r="http://schemas.openxmlformats.org/officeDocument/2006/relationships" ref="H136" r:id="rId401"/>
    <hyperlink xmlns:r="http://schemas.openxmlformats.org/officeDocument/2006/relationships" ref="N136" r:id="rId402"/>
    <hyperlink xmlns:r="http://schemas.openxmlformats.org/officeDocument/2006/relationships" ref="I137" r:id="rId403"/>
    <hyperlink xmlns:r="http://schemas.openxmlformats.org/officeDocument/2006/relationships" ref="N137" r:id="rId404"/>
    <hyperlink xmlns:r="http://schemas.openxmlformats.org/officeDocument/2006/relationships" ref="I138" r:id="rId405"/>
    <hyperlink xmlns:r="http://schemas.openxmlformats.org/officeDocument/2006/relationships" ref="N138" r:id="rId406"/>
    <hyperlink xmlns:r="http://schemas.openxmlformats.org/officeDocument/2006/relationships" ref="I139" r:id="rId407"/>
    <hyperlink xmlns:r="http://schemas.openxmlformats.org/officeDocument/2006/relationships" ref="N139" r:id="rId408"/>
    <hyperlink xmlns:r="http://schemas.openxmlformats.org/officeDocument/2006/relationships" ref="I140" r:id="rId409"/>
    <hyperlink xmlns:r="http://schemas.openxmlformats.org/officeDocument/2006/relationships" ref="N140" r:id="rId410"/>
    <hyperlink xmlns:r="http://schemas.openxmlformats.org/officeDocument/2006/relationships" ref="I141" r:id="rId411"/>
    <hyperlink xmlns:r="http://schemas.openxmlformats.org/officeDocument/2006/relationships" ref="N141" r:id="rId412"/>
    <hyperlink xmlns:r="http://schemas.openxmlformats.org/officeDocument/2006/relationships" ref="H142" r:id="rId413"/>
    <hyperlink xmlns:r="http://schemas.openxmlformats.org/officeDocument/2006/relationships" ref="N142" r:id="rId414"/>
    <hyperlink xmlns:r="http://schemas.openxmlformats.org/officeDocument/2006/relationships" ref="I143" r:id="rId415"/>
    <hyperlink xmlns:r="http://schemas.openxmlformats.org/officeDocument/2006/relationships" ref="N143" r:id="rId416"/>
    <hyperlink xmlns:r="http://schemas.openxmlformats.org/officeDocument/2006/relationships" ref="I144" r:id="rId417"/>
    <hyperlink xmlns:r="http://schemas.openxmlformats.org/officeDocument/2006/relationships" ref="N144" r:id="rId418"/>
    <hyperlink xmlns:r="http://schemas.openxmlformats.org/officeDocument/2006/relationships" ref="I145" r:id="rId419"/>
    <hyperlink xmlns:r="http://schemas.openxmlformats.org/officeDocument/2006/relationships" ref="N145" r:id="rId420"/>
    <hyperlink xmlns:r="http://schemas.openxmlformats.org/officeDocument/2006/relationships" ref="I146" r:id="rId421"/>
    <hyperlink xmlns:r="http://schemas.openxmlformats.org/officeDocument/2006/relationships" ref="N146" r:id="rId422"/>
    <hyperlink xmlns:r="http://schemas.openxmlformats.org/officeDocument/2006/relationships" ref="I147" r:id="rId423"/>
    <hyperlink xmlns:r="http://schemas.openxmlformats.org/officeDocument/2006/relationships" ref="N147" r:id="rId424"/>
    <hyperlink xmlns:r="http://schemas.openxmlformats.org/officeDocument/2006/relationships" ref="H148" r:id="rId425"/>
    <hyperlink xmlns:r="http://schemas.openxmlformats.org/officeDocument/2006/relationships" ref="I148" r:id="rId426"/>
    <hyperlink xmlns:r="http://schemas.openxmlformats.org/officeDocument/2006/relationships" ref="N148" r:id="rId427"/>
    <hyperlink xmlns:r="http://schemas.openxmlformats.org/officeDocument/2006/relationships" ref="I149" r:id="rId428"/>
    <hyperlink xmlns:r="http://schemas.openxmlformats.org/officeDocument/2006/relationships" ref="N149" r:id="rId429"/>
    <hyperlink xmlns:r="http://schemas.openxmlformats.org/officeDocument/2006/relationships" ref="I150" r:id="rId430"/>
    <hyperlink xmlns:r="http://schemas.openxmlformats.org/officeDocument/2006/relationships" ref="N150" r:id="rId431"/>
    <hyperlink xmlns:r="http://schemas.openxmlformats.org/officeDocument/2006/relationships" ref="I151" r:id="rId432"/>
    <hyperlink xmlns:r="http://schemas.openxmlformats.org/officeDocument/2006/relationships" ref="N151" r:id="rId433"/>
    <hyperlink xmlns:r="http://schemas.openxmlformats.org/officeDocument/2006/relationships" ref="I152" r:id="rId434"/>
    <hyperlink xmlns:r="http://schemas.openxmlformats.org/officeDocument/2006/relationships" ref="N152" r:id="rId435"/>
    <hyperlink xmlns:r="http://schemas.openxmlformats.org/officeDocument/2006/relationships" ref="I153" r:id="rId436"/>
    <hyperlink xmlns:r="http://schemas.openxmlformats.org/officeDocument/2006/relationships" ref="N153" r:id="rId437"/>
    <hyperlink xmlns:r="http://schemas.openxmlformats.org/officeDocument/2006/relationships" ref="H154" r:id="rId438"/>
    <hyperlink xmlns:r="http://schemas.openxmlformats.org/officeDocument/2006/relationships" ref="N154" r:id="rId439"/>
    <hyperlink xmlns:r="http://schemas.openxmlformats.org/officeDocument/2006/relationships" ref="I155" r:id="rId440"/>
    <hyperlink xmlns:r="http://schemas.openxmlformats.org/officeDocument/2006/relationships" ref="N155" r:id="rId441"/>
    <hyperlink xmlns:r="http://schemas.openxmlformats.org/officeDocument/2006/relationships" ref="I156" r:id="rId442"/>
    <hyperlink xmlns:r="http://schemas.openxmlformats.org/officeDocument/2006/relationships" ref="N156" r:id="rId443"/>
    <hyperlink xmlns:r="http://schemas.openxmlformats.org/officeDocument/2006/relationships" ref="I157" r:id="rId444"/>
    <hyperlink xmlns:r="http://schemas.openxmlformats.org/officeDocument/2006/relationships" ref="N157" r:id="rId445"/>
    <hyperlink xmlns:r="http://schemas.openxmlformats.org/officeDocument/2006/relationships" ref="H158" r:id="rId446"/>
    <hyperlink xmlns:r="http://schemas.openxmlformats.org/officeDocument/2006/relationships" ref="I158" r:id="rId447"/>
    <hyperlink xmlns:r="http://schemas.openxmlformats.org/officeDocument/2006/relationships" ref="N158" r:id="rId448"/>
    <hyperlink xmlns:r="http://schemas.openxmlformats.org/officeDocument/2006/relationships" ref="I159" r:id="rId449"/>
    <hyperlink xmlns:r="http://schemas.openxmlformats.org/officeDocument/2006/relationships" ref="N159" r:id="rId450"/>
    <hyperlink xmlns:r="http://schemas.openxmlformats.org/officeDocument/2006/relationships" ref="I160" r:id="rId451"/>
    <hyperlink xmlns:r="http://schemas.openxmlformats.org/officeDocument/2006/relationships" ref="N160" r:id="rId452"/>
    <hyperlink xmlns:r="http://schemas.openxmlformats.org/officeDocument/2006/relationships" ref="I161" r:id="rId453"/>
    <hyperlink xmlns:r="http://schemas.openxmlformats.org/officeDocument/2006/relationships" ref="N161" r:id="rId454"/>
    <hyperlink xmlns:r="http://schemas.openxmlformats.org/officeDocument/2006/relationships" ref="I162" r:id="rId455"/>
    <hyperlink xmlns:r="http://schemas.openxmlformats.org/officeDocument/2006/relationships" ref="N162" r:id="rId456"/>
    <hyperlink xmlns:r="http://schemas.openxmlformats.org/officeDocument/2006/relationships" ref="I163" r:id="rId457"/>
    <hyperlink xmlns:r="http://schemas.openxmlformats.org/officeDocument/2006/relationships" ref="N163" r:id="rId458"/>
    <hyperlink xmlns:r="http://schemas.openxmlformats.org/officeDocument/2006/relationships" ref="H164" r:id="rId459"/>
    <hyperlink xmlns:r="http://schemas.openxmlformats.org/officeDocument/2006/relationships" ref="N164" r:id="rId460"/>
    <hyperlink xmlns:r="http://schemas.openxmlformats.org/officeDocument/2006/relationships" ref="H165" r:id="rId461"/>
    <hyperlink xmlns:r="http://schemas.openxmlformats.org/officeDocument/2006/relationships" ref="I165" r:id="rId462"/>
    <hyperlink xmlns:r="http://schemas.openxmlformats.org/officeDocument/2006/relationships" ref="N165" r:id="rId463"/>
    <hyperlink xmlns:r="http://schemas.openxmlformats.org/officeDocument/2006/relationships" ref="I166" r:id="rId464"/>
    <hyperlink xmlns:r="http://schemas.openxmlformats.org/officeDocument/2006/relationships" ref="N166" r:id="rId465"/>
    <hyperlink xmlns:r="http://schemas.openxmlformats.org/officeDocument/2006/relationships" ref="I167" r:id="rId466"/>
    <hyperlink xmlns:r="http://schemas.openxmlformats.org/officeDocument/2006/relationships" ref="N167" r:id="rId467"/>
    <hyperlink xmlns:r="http://schemas.openxmlformats.org/officeDocument/2006/relationships" ref="H168" r:id="rId468"/>
    <hyperlink xmlns:r="http://schemas.openxmlformats.org/officeDocument/2006/relationships" ref="I168" r:id="rId469"/>
    <hyperlink xmlns:r="http://schemas.openxmlformats.org/officeDocument/2006/relationships" ref="N168" r:id="rId470"/>
    <hyperlink xmlns:r="http://schemas.openxmlformats.org/officeDocument/2006/relationships" ref="I169" r:id="rId471"/>
    <hyperlink xmlns:r="http://schemas.openxmlformats.org/officeDocument/2006/relationships" ref="N169" r:id="rId472"/>
    <hyperlink xmlns:r="http://schemas.openxmlformats.org/officeDocument/2006/relationships" ref="H170" r:id="rId473"/>
    <hyperlink xmlns:r="http://schemas.openxmlformats.org/officeDocument/2006/relationships" ref="N170" r:id="rId474"/>
    <hyperlink xmlns:r="http://schemas.openxmlformats.org/officeDocument/2006/relationships" ref="I171" r:id="rId475"/>
    <hyperlink xmlns:r="http://schemas.openxmlformats.org/officeDocument/2006/relationships" ref="N171" r:id="rId476"/>
    <hyperlink xmlns:r="http://schemas.openxmlformats.org/officeDocument/2006/relationships" ref="H172" r:id="rId477"/>
    <hyperlink xmlns:r="http://schemas.openxmlformats.org/officeDocument/2006/relationships" ref="N172" r:id="rId478"/>
    <hyperlink xmlns:r="http://schemas.openxmlformats.org/officeDocument/2006/relationships" ref="I173" r:id="rId479"/>
    <hyperlink xmlns:r="http://schemas.openxmlformats.org/officeDocument/2006/relationships" ref="N173" r:id="rId480"/>
    <hyperlink xmlns:r="http://schemas.openxmlformats.org/officeDocument/2006/relationships" ref="H174" r:id="rId481"/>
    <hyperlink xmlns:r="http://schemas.openxmlformats.org/officeDocument/2006/relationships" ref="N174" r:id="rId482"/>
    <hyperlink xmlns:r="http://schemas.openxmlformats.org/officeDocument/2006/relationships" ref="H175" r:id="rId483"/>
    <hyperlink xmlns:r="http://schemas.openxmlformats.org/officeDocument/2006/relationships" ref="N175" r:id="rId484"/>
    <hyperlink xmlns:r="http://schemas.openxmlformats.org/officeDocument/2006/relationships" ref="I176" r:id="rId485"/>
    <hyperlink xmlns:r="http://schemas.openxmlformats.org/officeDocument/2006/relationships" ref="N176" r:id="rId486"/>
    <hyperlink xmlns:r="http://schemas.openxmlformats.org/officeDocument/2006/relationships" ref="H177" r:id="rId487"/>
    <hyperlink xmlns:r="http://schemas.openxmlformats.org/officeDocument/2006/relationships" ref="N177" r:id="rId488"/>
    <hyperlink xmlns:r="http://schemas.openxmlformats.org/officeDocument/2006/relationships" ref="H178" r:id="rId489"/>
    <hyperlink xmlns:r="http://schemas.openxmlformats.org/officeDocument/2006/relationships" ref="I178" r:id="rId490"/>
    <hyperlink xmlns:r="http://schemas.openxmlformats.org/officeDocument/2006/relationships" ref="N178" r:id="rId491"/>
    <hyperlink xmlns:r="http://schemas.openxmlformats.org/officeDocument/2006/relationships" ref="I179" r:id="rId492"/>
    <hyperlink xmlns:r="http://schemas.openxmlformats.org/officeDocument/2006/relationships" ref="N179" r:id="rId493"/>
    <hyperlink xmlns:r="http://schemas.openxmlformats.org/officeDocument/2006/relationships" ref="I180" r:id="rId494"/>
    <hyperlink xmlns:r="http://schemas.openxmlformats.org/officeDocument/2006/relationships" ref="N180" r:id="rId495"/>
    <hyperlink xmlns:r="http://schemas.openxmlformats.org/officeDocument/2006/relationships" ref="I181" r:id="rId496"/>
    <hyperlink xmlns:r="http://schemas.openxmlformats.org/officeDocument/2006/relationships" ref="N181" r:id="rId497"/>
    <hyperlink xmlns:r="http://schemas.openxmlformats.org/officeDocument/2006/relationships" ref="H182" r:id="rId498"/>
    <hyperlink xmlns:r="http://schemas.openxmlformats.org/officeDocument/2006/relationships" ref="N182" r:id="rId499"/>
    <hyperlink xmlns:r="http://schemas.openxmlformats.org/officeDocument/2006/relationships" ref="I183" r:id="rId500"/>
    <hyperlink xmlns:r="http://schemas.openxmlformats.org/officeDocument/2006/relationships" ref="N183" r:id="rId501"/>
    <hyperlink xmlns:r="http://schemas.openxmlformats.org/officeDocument/2006/relationships" ref="H184" r:id="rId502"/>
    <hyperlink xmlns:r="http://schemas.openxmlformats.org/officeDocument/2006/relationships" ref="N184" r:id="rId503"/>
    <hyperlink xmlns:r="http://schemas.openxmlformats.org/officeDocument/2006/relationships" ref="I185" r:id="rId504"/>
    <hyperlink xmlns:r="http://schemas.openxmlformats.org/officeDocument/2006/relationships" ref="N185" r:id="rId505"/>
    <hyperlink xmlns:r="http://schemas.openxmlformats.org/officeDocument/2006/relationships" ref="I186" r:id="rId506"/>
    <hyperlink xmlns:r="http://schemas.openxmlformats.org/officeDocument/2006/relationships" ref="N186" r:id="rId507"/>
    <hyperlink xmlns:r="http://schemas.openxmlformats.org/officeDocument/2006/relationships" ref="H187" r:id="rId508"/>
    <hyperlink xmlns:r="http://schemas.openxmlformats.org/officeDocument/2006/relationships" ref="I187" r:id="rId509"/>
    <hyperlink xmlns:r="http://schemas.openxmlformats.org/officeDocument/2006/relationships" ref="N187" r:id="rId510"/>
    <hyperlink xmlns:r="http://schemas.openxmlformats.org/officeDocument/2006/relationships" ref="I188" r:id="rId511"/>
    <hyperlink xmlns:r="http://schemas.openxmlformats.org/officeDocument/2006/relationships" ref="N188" r:id="rId512"/>
    <hyperlink xmlns:r="http://schemas.openxmlformats.org/officeDocument/2006/relationships" ref="I189" r:id="rId513"/>
    <hyperlink xmlns:r="http://schemas.openxmlformats.org/officeDocument/2006/relationships" ref="N189" r:id="rId514"/>
    <hyperlink xmlns:r="http://schemas.openxmlformats.org/officeDocument/2006/relationships" ref="H190" r:id="rId515"/>
    <hyperlink xmlns:r="http://schemas.openxmlformats.org/officeDocument/2006/relationships" ref="N190" r:id="rId516"/>
    <hyperlink xmlns:r="http://schemas.openxmlformats.org/officeDocument/2006/relationships" ref="I191" r:id="rId517"/>
    <hyperlink xmlns:r="http://schemas.openxmlformats.org/officeDocument/2006/relationships" ref="N191" r:id="rId518"/>
    <hyperlink xmlns:r="http://schemas.openxmlformats.org/officeDocument/2006/relationships" ref="I192" r:id="rId519"/>
    <hyperlink xmlns:r="http://schemas.openxmlformats.org/officeDocument/2006/relationships" ref="N192" r:id="rId520"/>
    <hyperlink xmlns:r="http://schemas.openxmlformats.org/officeDocument/2006/relationships" ref="I193" r:id="rId521"/>
    <hyperlink xmlns:r="http://schemas.openxmlformats.org/officeDocument/2006/relationships" ref="N193" r:id="rId522"/>
    <hyperlink xmlns:r="http://schemas.openxmlformats.org/officeDocument/2006/relationships" ref="I194" r:id="rId523"/>
    <hyperlink xmlns:r="http://schemas.openxmlformats.org/officeDocument/2006/relationships" ref="N194" r:id="rId524"/>
    <hyperlink xmlns:r="http://schemas.openxmlformats.org/officeDocument/2006/relationships" ref="I195" r:id="rId525"/>
    <hyperlink xmlns:r="http://schemas.openxmlformats.org/officeDocument/2006/relationships" ref="N195" r:id="rId526"/>
    <hyperlink xmlns:r="http://schemas.openxmlformats.org/officeDocument/2006/relationships" ref="I196" r:id="rId527"/>
    <hyperlink xmlns:r="http://schemas.openxmlformats.org/officeDocument/2006/relationships" ref="N196" r:id="rId528"/>
    <hyperlink xmlns:r="http://schemas.openxmlformats.org/officeDocument/2006/relationships" ref="I197" r:id="rId529"/>
    <hyperlink xmlns:r="http://schemas.openxmlformats.org/officeDocument/2006/relationships" ref="N197" r:id="rId530"/>
    <hyperlink xmlns:r="http://schemas.openxmlformats.org/officeDocument/2006/relationships" ref="I198" r:id="rId531"/>
    <hyperlink xmlns:r="http://schemas.openxmlformats.org/officeDocument/2006/relationships" ref="N198" r:id="rId532"/>
    <hyperlink xmlns:r="http://schemas.openxmlformats.org/officeDocument/2006/relationships" ref="I199" r:id="rId533"/>
    <hyperlink xmlns:r="http://schemas.openxmlformats.org/officeDocument/2006/relationships" ref="N199" r:id="rId534"/>
    <hyperlink xmlns:r="http://schemas.openxmlformats.org/officeDocument/2006/relationships" ref="I200" r:id="rId535"/>
    <hyperlink xmlns:r="http://schemas.openxmlformats.org/officeDocument/2006/relationships" ref="N200" r:id="rId536"/>
    <hyperlink xmlns:r="http://schemas.openxmlformats.org/officeDocument/2006/relationships" ref="I201" r:id="rId537"/>
    <hyperlink xmlns:r="http://schemas.openxmlformats.org/officeDocument/2006/relationships" ref="N201" r:id="rId538"/>
    <hyperlink xmlns:r="http://schemas.openxmlformats.org/officeDocument/2006/relationships" ref="I202" r:id="rId539"/>
    <hyperlink xmlns:r="http://schemas.openxmlformats.org/officeDocument/2006/relationships" ref="N202" r:id="rId540"/>
    <hyperlink xmlns:r="http://schemas.openxmlformats.org/officeDocument/2006/relationships" ref="I203" r:id="rId541"/>
    <hyperlink xmlns:r="http://schemas.openxmlformats.org/officeDocument/2006/relationships" ref="N203" r:id="rId542"/>
    <hyperlink xmlns:r="http://schemas.openxmlformats.org/officeDocument/2006/relationships" ref="I204" r:id="rId543"/>
    <hyperlink xmlns:r="http://schemas.openxmlformats.org/officeDocument/2006/relationships" ref="N204" r:id="rId544"/>
    <hyperlink xmlns:r="http://schemas.openxmlformats.org/officeDocument/2006/relationships" ref="I205" r:id="rId545"/>
    <hyperlink xmlns:r="http://schemas.openxmlformats.org/officeDocument/2006/relationships" ref="N205" r:id="rId546"/>
    <hyperlink xmlns:r="http://schemas.openxmlformats.org/officeDocument/2006/relationships" ref="H206" r:id="rId547"/>
    <hyperlink xmlns:r="http://schemas.openxmlformats.org/officeDocument/2006/relationships" ref="N206" r:id="rId548"/>
    <hyperlink xmlns:r="http://schemas.openxmlformats.org/officeDocument/2006/relationships" ref="I207" r:id="rId549"/>
    <hyperlink xmlns:r="http://schemas.openxmlformats.org/officeDocument/2006/relationships" ref="N207" r:id="rId550"/>
    <hyperlink xmlns:r="http://schemas.openxmlformats.org/officeDocument/2006/relationships" ref="I208" r:id="rId551"/>
    <hyperlink xmlns:r="http://schemas.openxmlformats.org/officeDocument/2006/relationships" ref="N208" r:id="rId552"/>
    <hyperlink xmlns:r="http://schemas.openxmlformats.org/officeDocument/2006/relationships" ref="I209" r:id="rId553"/>
    <hyperlink xmlns:r="http://schemas.openxmlformats.org/officeDocument/2006/relationships" ref="N209" r:id="rId554"/>
    <hyperlink xmlns:r="http://schemas.openxmlformats.org/officeDocument/2006/relationships" ref="I210" r:id="rId555"/>
    <hyperlink xmlns:r="http://schemas.openxmlformats.org/officeDocument/2006/relationships" ref="N210" r:id="rId556"/>
    <hyperlink xmlns:r="http://schemas.openxmlformats.org/officeDocument/2006/relationships" ref="I211" r:id="rId557"/>
    <hyperlink xmlns:r="http://schemas.openxmlformats.org/officeDocument/2006/relationships" ref="N211" r:id="rId558"/>
    <hyperlink xmlns:r="http://schemas.openxmlformats.org/officeDocument/2006/relationships" ref="I212" r:id="rId559"/>
    <hyperlink xmlns:r="http://schemas.openxmlformats.org/officeDocument/2006/relationships" ref="N212" r:id="rId560"/>
    <hyperlink xmlns:r="http://schemas.openxmlformats.org/officeDocument/2006/relationships" ref="I213" r:id="rId561"/>
    <hyperlink xmlns:r="http://schemas.openxmlformats.org/officeDocument/2006/relationships" ref="N213" r:id="rId562"/>
    <hyperlink xmlns:r="http://schemas.openxmlformats.org/officeDocument/2006/relationships" ref="I214" r:id="rId563"/>
    <hyperlink xmlns:r="http://schemas.openxmlformats.org/officeDocument/2006/relationships" ref="N214" r:id="rId564"/>
    <hyperlink xmlns:r="http://schemas.openxmlformats.org/officeDocument/2006/relationships" ref="I215" r:id="rId565"/>
    <hyperlink xmlns:r="http://schemas.openxmlformats.org/officeDocument/2006/relationships" ref="N215" r:id="rId566"/>
    <hyperlink xmlns:r="http://schemas.openxmlformats.org/officeDocument/2006/relationships" ref="I216" r:id="rId567"/>
    <hyperlink xmlns:r="http://schemas.openxmlformats.org/officeDocument/2006/relationships" ref="N216" r:id="rId568"/>
    <hyperlink xmlns:r="http://schemas.openxmlformats.org/officeDocument/2006/relationships" ref="I217" r:id="rId569"/>
    <hyperlink xmlns:r="http://schemas.openxmlformats.org/officeDocument/2006/relationships" ref="N217" r:id="rId570"/>
    <hyperlink xmlns:r="http://schemas.openxmlformats.org/officeDocument/2006/relationships" ref="I218" r:id="rId571"/>
    <hyperlink xmlns:r="http://schemas.openxmlformats.org/officeDocument/2006/relationships" ref="N218" r:id="rId572"/>
    <hyperlink xmlns:r="http://schemas.openxmlformats.org/officeDocument/2006/relationships" ref="I219" r:id="rId573"/>
    <hyperlink xmlns:r="http://schemas.openxmlformats.org/officeDocument/2006/relationships" ref="N219" r:id="rId574"/>
    <hyperlink xmlns:r="http://schemas.openxmlformats.org/officeDocument/2006/relationships" ref="I220" r:id="rId575"/>
    <hyperlink xmlns:r="http://schemas.openxmlformats.org/officeDocument/2006/relationships" ref="N220" r:id="rId576"/>
    <hyperlink xmlns:r="http://schemas.openxmlformats.org/officeDocument/2006/relationships" ref="H221" r:id="rId577"/>
    <hyperlink xmlns:r="http://schemas.openxmlformats.org/officeDocument/2006/relationships" ref="N221" r:id="rId578"/>
    <hyperlink xmlns:r="http://schemas.openxmlformats.org/officeDocument/2006/relationships" ref="I222" r:id="rId579"/>
    <hyperlink xmlns:r="http://schemas.openxmlformats.org/officeDocument/2006/relationships" ref="N222" r:id="rId580"/>
    <hyperlink xmlns:r="http://schemas.openxmlformats.org/officeDocument/2006/relationships" ref="H223" r:id="rId581"/>
    <hyperlink xmlns:r="http://schemas.openxmlformats.org/officeDocument/2006/relationships" ref="N223" r:id="rId582"/>
    <hyperlink xmlns:r="http://schemas.openxmlformats.org/officeDocument/2006/relationships" ref="I224" r:id="rId583"/>
    <hyperlink xmlns:r="http://schemas.openxmlformats.org/officeDocument/2006/relationships" ref="N224" r:id="rId584"/>
    <hyperlink xmlns:r="http://schemas.openxmlformats.org/officeDocument/2006/relationships" ref="I225" r:id="rId585"/>
    <hyperlink xmlns:r="http://schemas.openxmlformats.org/officeDocument/2006/relationships" ref="N225" r:id="rId586"/>
    <hyperlink xmlns:r="http://schemas.openxmlformats.org/officeDocument/2006/relationships" ref="I226" r:id="rId587"/>
    <hyperlink xmlns:r="http://schemas.openxmlformats.org/officeDocument/2006/relationships" ref="N226" r:id="rId588"/>
    <hyperlink xmlns:r="http://schemas.openxmlformats.org/officeDocument/2006/relationships" ref="I227" r:id="rId589"/>
    <hyperlink xmlns:r="http://schemas.openxmlformats.org/officeDocument/2006/relationships" ref="N227" r:id="rId590"/>
    <hyperlink xmlns:r="http://schemas.openxmlformats.org/officeDocument/2006/relationships" ref="I228" r:id="rId591"/>
    <hyperlink xmlns:r="http://schemas.openxmlformats.org/officeDocument/2006/relationships" ref="N228" r:id="rId592"/>
    <hyperlink xmlns:r="http://schemas.openxmlformats.org/officeDocument/2006/relationships" ref="I229" r:id="rId593"/>
    <hyperlink xmlns:r="http://schemas.openxmlformats.org/officeDocument/2006/relationships" ref="N229" r:id="rId594"/>
    <hyperlink xmlns:r="http://schemas.openxmlformats.org/officeDocument/2006/relationships" ref="I230" r:id="rId595"/>
    <hyperlink xmlns:r="http://schemas.openxmlformats.org/officeDocument/2006/relationships" ref="N230" r:id="rId596"/>
    <hyperlink xmlns:r="http://schemas.openxmlformats.org/officeDocument/2006/relationships" ref="I231" r:id="rId597"/>
    <hyperlink xmlns:r="http://schemas.openxmlformats.org/officeDocument/2006/relationships" ref="N231" r:id="rId598"/>
    <hyperlink xmlns:r="http://schemas.openxmlformats.org/officeDocument/2006/relationships" ref="I232" r:id="rId599"/>
    <hyperlink xmlns:r="http://schemas.openxmlformats.org/officeDocument/2006/relationships" ref="N232" r:id="rId600"/>
    <hyperlink xmlns:r="http://schemas.openxmlformats.org/officeDocument/2006/relationships" ref="I233" r:id="rId601"/>
    <hyperlink xmlns:r="http://schemas.openxmlformats.org/officeDocument/2006/relationships" ref="N233" r:id="rId602"/>
    <hyperlink xmlns:r="http://schemas.openxmlformats.org/officeDocument/2006/relationships" ref="I234" r:id="rId603"/>
    <hyperlink xmlns:r="http://schemas.openxmlformats.org/officeDocument/2006/relationships" ref="N234" r:id="rId604"/>
    <hyperlink xmlns:r="http://schemas.openxmlformats.org/officeDocument/2006/relationships" ref="I235" r:id="rId605"/>
    <hyperlink xmlns:r="http://schemas.openxmlformats.org/officeDocument/2006/relationships" ref="N235" r:id="rId606"/>
    <hyperlink xmlns:r="http://schemas.openxmlformats.org/officeDocument/2006/relationships" ref="I236" r:id="rId607"/>
    <hyperlink xmlns:r="http://schemas.openxmlformats.org/officeDocument/2006/relationships" ref="N236" r:id="rId608"/>
    <hyperlink xmlns:r="http://schemas.openxmlformats.org/officeDocument/2006/relationships" ref="I237" r:id="rId609"/>
    <hyperlink xmlns:r="http://schemas.openxmlformats.org/officeDocument/2006/relationships" ref="N237" r:id="rId610"/>
    <hyperlink xmlns:r="http://schemas.openxmlformats.org/officeDocument/2006/relationships" ref="I238" r:id="rId611"/>
    <hyperlink xmlns:r="http://schemas.openxmlformats.org/officeDocument/2006/relationships" ref="N238" r:id="rId612"/>
    <hyperlink xmlns:r="http://schemas.openxmlformats.org/officeDocument/2006/relationships" ref="I239" r:id="rId613"/>
    <hyperlink xmlns:r="http://schemas.openxmlformats.org/officeDocument/2006/relationships" ref="N239" r:id="rId614"/>
    <hyperlink xmlns:r="http://schemas.openxmlformats.org/officeDocument/2006/relationships" ref="I240" r:id="rId615"/>
    <hyperlink xmlns:r="http://schemas.openxmlformats.org/officeDocument/2006/relationships" ref="N240" r:id="rId616"/>
    <hyperlink xmlns:r="http://schemas.openxmlformats.org/officeDocument/2006/relationships" ref="I241" r:id="rId617"/>
    <hyperlink xmlns:r="http://schemas.openxmlformats.org/officeDocument/2006/relationships" ref="N241" r:id="rId618"/>
    <hyperlink xmlns:r="http://schemas.openxmlformats.org/officeDocument/2006/relationships" ref="I242" r:id="rId619"/>
    <hyperlink xmlns:r="http://schemas.openxmlformats.org/officeDocument/2006/relationships" ref="N242" r:id="rId620"/>
    <hyperlink xmlns:r="http://schemas.openxmlformats.org/officeDocument/2006/relationships" ref="I243" r:id="rId621"/>
    <hyperlink xmlns:r="http://schemas.openxmlformats.org/officeDocument/2006/relationships" ref="N243" r:id="rId622"/>
    <hyperlink xmlns:r="http://schemas.openxmlformats.org/officeDocument/2006/relationships" ref="I244" r:id="rId623"/>
    <hyperlink xmlns:r="http://schemas.openxmlformats.org/officeDocument/2006/relationships" ref="N244" r:id="rId624"/>
    <hyperlink xmlns:r="http://schemas.openxmlformats.org/officeDocument/2006/relationships" ref="I245" r:id="rId625"/>
    <hyperlink xmlns:r="http://schemas.openxmlformats.org/officeDocument/2006/relationships" ref="N245" r:id="rId626"/>
    <hyperlink xmlns:r="http://schemas.openxmlformats.org/officeDocument/2006/relationships" ref="I246" r:id="rId627"/>
    <hyperlink xmlns:r="http://schemas.openxmlformats.org/officeDocument/2006/relationships" ref="N246" r:id="rId628"/>
    <hyperlink xmlns:r="http://schemas.openxmlformats.org/officeDocument/2006/relationships" ref="I247" r:id="rId629"/>
    <hyperlink xmlns:r="http://schemas.openxmlformats.org/officeDocument/2006/relationships" ref="N247" r:id="rId630"/>
    <hyperlink xmlns:r="http://schemas.openxmlformats.org/officeDocument/2006/relationships" ref="I248" r:id="rId631"/>
    <hyperlink xmlns:r="http://schemas.openxmlformats.org/officeDocument/2006/relationships" ref="N248" r:id="rId632"/>
    <hyperlink xmlns:r="http://schemas.openxmlformats.org/officeDocument/2006/relationships" ref="I249" r:id="rId633"/>
    <hyperlink xmlns:r="http://schemas.openxmlformats.org/officeDocument/2006/relationships" ref="N249" r:id="rId634"/>
    <hyperlink xmlns:r="http://schemas.openxmlformats.org/officeDocument/2006/relationships" ref="I250" r:id="rId635"/>
    <hyperlink xmlns:r="http://schemas.openxmlformats.org/officeDocument/2006/relationships" ref="N250" r:id="rId636"/>
    <hyperlink xmlns:r="http://schemas.openxmlformats.org/officeDocument/2006/relationships" ref="I251" r:id="rId637"/>
    <hyperlink xmlns:r="http://schemas.openxmlformats.org/officeDocument/2006/relationships" ref="N251" r:id="rId638"/>
    <hyperlink xmlns:r="http://schemas.openxmlformats.org/officeDocument/2006/relationships" ref="H252" r:id="rId639"/>
    <hyperlink xmlns:r="http://schemas.openxmlformats.org/officeDocument/2006/relationships" ref="I252" r:id="rId640"/>
    <hyperlink xmlns:r="http://schemas.openxmlformats.org/officeDocument/2006/relationships" ref="N252" r:id="rId641"/>
    <hyperlink xmlns:r="http://schemas.openxmlformats.org/officeDocument/2006/relationships" ref="I253" r:id="rId642"/>
    <hyperlink xmlns:r="http://schemas.openxmlformats.org/officeDocument/2006/relationships" ref="N253" r:id="rId643"/>
    <hyperlink xmlns:r="http://schemas.openxmlformats.org/officeDocument/2006/relationships" ref="I254" r:id="rId644"/>
    <hyperlink xmlns:r="http://schemas.openxmlformats.org/officeDocument/2006/relationships" ref="N254" r:id="rId645"/>
    <hyperlink xmlns:r="http://schemas.openxmlformats.org/officeDocument/2006/relationships" ref="I255" r:id="rId646"/>
    <hyperlink xmlns:r="http://schemas.openxmlformats.org/officeDocument/2006/relationships" ref="N255" r:id="rId647"/>
    <hyperlink xmlns:r="http://schemas.openxmlformats.org/officeDocument/2006/relationships" ref="I256" r:id="rId648"/>
    <hyperlink xmlns:r="http://schemas.openxmlformats.org/officeDocument/2006/relationships" ref="N256" r:id="rId649"/>
    <hyperlink xmlns:r="http://schemas.openxmlformats.org/officeDocument/2006/relationships" ref="I257" r:id="rId650"/>
    <hyperlink xmlns:r="http://schemas.openxmlformats.org/officeDocument/2006/relationships" ref="N257" r:id="rId651"/>
    <hyperlink xmlns:r="http://schemas.openxmlformats.org/officeDocument/2006/relationships" ref="I258" r:id="rId652"/>
    <hyperlink xmlns:r="http://schemas.openxmlformats.org/officeDocument/2006/relationships" ref="N258" r:id="rId653"/>
    <hyperlink xmlns:r="http://schemas.openxmlformats.org/officeDocument/2006/relationships" ref="I259" r:id="rId654"/>
    <hyperlink xmlns:r="http://schemas.openxmlformats.org/officeDocument/2006/relationships" ref="N259" r:id="rId655"/>
    <hyperlink xmlns:r="http://schemas.openxmlformats.org/officeDocument/2006/relationships" ref="I260" r:id="rId656"/>
    <hyperlink xmlns:r="http://schemas.openxmlformats.org/officeDocument/2006/relationships" ref="N260" r:id="rId657"/>
    <hyperlink xmlns:r="http://schemas.openxmlformats.org/officeDocument/2006/relationships" ref="I261" r:id="rId658"/>
    <hyperlink xmlns:r="http://schemas.openxmlformats.org/officeDocument/2006/relationships" ref="N261" r:id="rId659"/>
    <hyperlink xmlns:r="http://schemas.openxmlformats.org/officeDocument/2006/relationships" ref="I262" r:id="rId660"/>
    <hyperlink xmlns:r="http://schemas.openxmlformats.org/officeDocument/2006/relationships" ref="N262" r:id="rId661"/>
    <hyperlink xmlns:r="http://schemas.openxmlformats.org/officeDocument/2006/relationships" ref="I263" r:id="rId662"/>
    <hyperlink xmlns:r="http://schemas.openxmlformats.org/officeDocument/2006/relationships" ref="N263" r:id="rId663"/>
    <hyperlink xmlns:r="http://schemas.openxmlformats.org/officeDocument/2006/relationships" ref="I264" r:id="rId664"/>
    <hyperlink xmlns:r="http://schemas.openxmlformats.org/officeDocument/2006/relationships" ref="N264" r:id="rId665"/>
    <hyperlink xmlns:r="http://schemas.openxmlformats.org/officeDocument/2006/relationships" ref="I265" r:id="rId666"/>
    <hyperlink xmlns:r="http://schemas.openxmlformats.org/officeDocument/2006/relationships" ref="N265" r:id="rId667"/>
    <hyperlink xmlns:r="http://schemas.openxmlformats.org/officeDocument/2006/relationships" ref="H266" r:id="rId668"/>
    <hyperlink xmlns:r="http://schemas.openxmlformats.org/officeDocument/2006/relationships" ref="N266" r:id="rId669"/>
    <hyperlink xmlns:r="http://schemas.openxmlformats.org/officeDocument/2006/relationships" ref="H267" r:id="rId670"/>
    <hyperlink xmlns:r="http://schemas.openxmlformats.org/officeDocument/2006/relationships" ref="I267" r:id="rId671"/>
    <hyperlink xmlns:r="http://schemas.openxmlformats.org/officeDocument/2006/relationships" ref="K267" r:id="rId672"/>
    <hyperlink xmlns:r="http://schemas.openxmlformats.org/officeDocument/2006/relationships" ref="N267" r:id="rId673"/>
    <hyperlink xmlns:r="http://schemas.openxmlformats.org/officeDocument/2006/relationships" ref="I268" r:id="rId674"/>
    <hyperlink xmlns:r="http://schemas.openxmlformats.org/officeDocument/2006/relationships" ref="N268" r:id="rId675"/>
    <hyperlink xmlns:r="http://schemas.openxmlformats.org/officeDocument/2006/relationships" ref="H269" r:id="rId676"/>
    <hyperlink xmlns:r="http://schemas.openxmlformats.org/officeDocument/2006/relationships" ref="N269" r:id="rId677"/>
    <hyperlink xmlns:r="http://schemas.openxmlformats.org/officeDocument/2006/relationships" ref="I270" r:id="rId678"/>
    <hyperlink xmlns:r="http://schemas.openxmlformats.org/officeDocument/2006/relationships" ref="N270" r:id="rId679"/>
    <hyperlink xmlns:r="http://schemas.openxmlformats.org/officeDocument/2006/relationships" ref="I271" r:id="rId680"/>
    <hyperlink xmlns:r="http://schemas.openxmlformats.org/officeDocument/2006/relationships" ref="N271" r:id="rId681"/>
    <hyperlink xmlns:r="http://schemas.openxmlformats.org/officeDocument/2006/relationships" ref="I272" r:id="rId682"/>
    <hyperlink xmlns:r="http://schemas.openxmlformats.org/officeDocument/2006/relationships" ref="N272" r:id="rId683"/>
    <hyperlink xmlns:r="http://schemas.openxmlformats.org/officeDocument/2006/relationships" ref="I273" r:id="rId684"/>
    <hyperlink xmlns:r="http://schemas.openxmlformats.org/officeDocument/2006/relationships" ref="N273" r:id="rId685"/>
    <hyperlink xmlns:r="http://schemas.openxmlformats.org/officeDocument/2006/relationships" ref="I274" r:id="rId686"/>
    <hyperlink xmlns:r="http://schemas.openxmlformats.org/officeDocument/2006/relationships" ref="N274" r:id="rId687"/>
    <hyperlink xmlns:r="http://schemas.openxmlformats.org/officeDocument/2006/relationships" ref="I275" r:id="rId688"/>
    <hyperlink xmlns:r="http://schemas.openxmlformats.org/officeDocument/2006/relationships" ref="N275" r:id="rId689"/>
    <hyperlink xmlns:r="http://schemas.openxmlformats.org/officeDocument/2006/relationships" ref="I276" r:id="rId690"/>
    <hyperlink xmlns:r="http://schemas.openxmlformats.org/officeDocument/2006/relationships" ref="N276" r:id="rId691"/>
    <hyperlink xmlns:r="http://schemas.openxmlformats.org/officeDocument/2006/relationships" ref="I277" r:id="rId692"/>
    <hyperlink xmlns:r="http://schemas.openxmlformats.org/officeDocument/2006/relationships" ref="N277" r:id="rId693"/>
    <hyperlink xmlns:r="http://schemas.openxmlformats.org/officeDocument/2006/relationships" ref="H278" r:id="rId694"/>
    <hyperlink xmlns:r="http://schemas.openxmlformats.org/officeDocument/2006/relationships" ref="N278" r:id="rId695"/>
    <hyperlink xmlns:r="http://schemas.openxmlformats.org/officeDocument/2006/relationships" ref="I279" r:id="rId696"/>
    <hyperlink xmlns:r="http://schemas.openxmlformats.org/officeDocument/2006/relationships" ref="N279" r:id="rId697"/>
    <hyperlink xmlns:r="http://schemas.openxmlformats.org/officeDocument/2006/relationships" ref="I280" r:id="rId698"/>
    <hyperlink xmlns:r="http://schemas.openxmlformats.org/officeDocument/2006/relationships" ref="N280" r:id="rId699"/>
    <hyperlink xmlns:r="http://schemas.openxmlformats.org/officeDocument/2006/relationships" ref="H281" r:id="rId700"/>
    <hyperlink xmlns:r="http://schemas.openxmlformats.org/officeDocument/2006/relationships" ref="N281" r:id="rId701"/>
    <hyperlink xmlns:r="http://schemas.openxmlformats.org/officeDocument/2006/relationships" ref="I282" r:id="rId702"/>
    <hyperlink xmlns:r="http://schemas.openxmlformats.org/officeDocument/2006/relationships" ref="N282" r:id="rId703"/>
    <hyperlink xmlns:r="http://schemas.openxmlformats.org/officeDocument/2006/relationships" ref="H283" r:id="rId704"/>
    <hyperlink xmlns:r="http://schemas.openxmlformats.org/officeDocument/2006/relationships" ref="I283" r:id="rId705"/>
    <hyperlink xmlns:r="http://schemas.openxmlformats.org/officeDocument/2006/relationships" ref="K283" r:id="rId706"/>
    <hyperlink xmlns:r="http://schemas.openxmlformats.org/officeDocument/2006/relationships" ref="N283" r:id="rId707"/>
    <hyperlink xmlns:r="http://schemas.openxmlformats.org/officeDocument/2006/relationships" ref="H284" r:id="rId708"/>
    <hyperlink xmlns:r="http://schemas.openxmlformats.org/officeDocument/2006/relationships" ref="N284" r:id="rId709"/>
    <hyperlink xmlns:r="http://schemas.openxmlformats.org/officeDocument/2006/relationships" ref="H285" r:id="rId710"/>
    <hyperlink xmlns:r="http://schemas.openxmlformats.org/officeDocument/2006/relationships" ref="I285" r:id="rId711"/>
    <hyperlink xmlns:r="http://schemas.openxmlformats.org/officeDocument/2006/relationships" ref="N285" r:id="rId712"/>
    <hyperlink xmlns:r="http://schemas.openxmlformats.org/officeDocument/2006/relationships" ref="I286" r:id="rId713"/>
    <hyperlink xmlns:r="http://schemas.openxmlformats.org/officeDocument/2006/relationships" ref="N286" r:id="rId714"/>
    <hyperlink xmlns:r="http://schemas.openxmlformats.org/officeDocument/2006/relationships" ref="H287" r:id="rId715"/>
    <hyperlink xmlns:r="http://schemas.openxmlformats.org/officeDocument/2006/relationships" ref="I287" r:id="rId716"/>
    <hyperlink xmlns:r="http://schemas.openxmlformats.org/officeDocument/2006/relationships" ref="N287" r:id="rId717"/>
    <hyperlink xmlns:r="http://schemas.openxmlformats.org/officeDocument/2006/relationships" ref="I288" r:id="rId718"/>
    <hyperlink xmlns:r="http://schemas.openxmlformats.org/officeDocument/2006/relationships" ref="N288" r:id="rId719"/>
    <hyperlink xmlns:r="http://schemas.openxmlformats.org/officeDocument/2006/relationships" ref="I289" r:id="rId720"/>
    <hyperlink xmlns:r="http://schemas.openxmlformats.org/officeDocument/2006/relationships" ref="N289" r:id="rId721"/>
    <hyperlink xmlns:r="http://schemas.openxmlformats.org/officeDocument/2006/relationships" ref="I290" r:id="rId722"/>
    <hyperlink xmlns:r="http://schemas.openxmlformats.org/officeDocument/2006/relationships" ref="N290" r:id="rId723"/>
    <hyperlink xmlns:r="http://schemas.openxmlformats.org/officeDocument/2006/relationships" ref="H291" r:id="rId724"/>
    <hyperlink xmlns:r="http://schemas.openxmlformats.org/officeDocument/2006/relationships" ref="I291" r:id="rId725"/>
    <hyperlink xmlns:r="http://schemas.openxmlformats.org/officeDocument/2006/relationships" ref="N291" r:id="rId726"/>
    <hyperlink xmlns:r="http://schemas.openxmlformats.org/officeDocument/2006/relationships" ref="I292" r:id="rId727"/>
    <hyperlink xmlns:r="http://schemas.openxmlformats.org/officeDocument/2006/relationships" ref="N292" r:id="rId728"/>
    <hyperlink xmlns:r="http://schemas.openxmlformats.org/officeDocument/2006/relationships" ref="I293" r:id="rId729"/>
    <hyperlink xmlns:r="http://schemas.openxmlformats.org/officeDocument/2006/relationships" ref="N293" r:id="rId730"/>
    <hyperlink xmlns:r="http://schemas.openxmlformats.org/officeDocument/2006/relationships" ref="H294" r:id="rId731"/>
    <hyperlink xmlns:r="http://schemas.openxmlformats.org/officeDocument/2006/relationships" ref="N294" r:id="rId732"/>
    <hyperlink xmlns:r="http://schemas.openxmlformats.org/officeDocument/2006/relationships" ref="H295" r:id="rId733"/>
    <hyperlink xmlns:r="http://schemas.openxmlformats.org/officeDocument/2006/relationships" ref="N295" r:id="rId734"/>
    <hyperlink xmlns:r="http://schemas.openxmlformats.org/officeDocument/2006/relationships" ref="I296" r:id="rId735"/>
    <hyperlink xmlns:r="http://schemas.openxmlformats.org/officeDocument/2006/relationships" ref="N296" r:id="rId736"/>
    <hyperlink xmlns:r="http://schemas.openxmlformats.org/officeDocument/2006/relationships" ref="I297" r:id="rId737"/>
    <hyperlink xmlns:r="http://schemas.openxmlformats.org/officeDocument/2006/relationships" ref="N297" r:id="rId738"/>
    <hyperlink xmlns:r="http://schemas.openxmlformats.org/officeDocument/2006/relationships" ref="I298" r:id="rId739"/>
    <hyperlink xmlns:r="http://schemas.openxmlformats.org/officeDocument/2006/relationships" ref="N298" r:id="rId740"/>
    <hyperlink xmlns:r="http://schemas.openxmlformats.org/officeDocument/2006/relationships" ref="H299" r:id="rId741"/>
    <hyperlink xmlns:r="http://schemas.openxmlformats.org/officeDocument/2006/relationships" ref="I299" r:id="rId742"/>
    <hyperlink xmlns:r="http://schemas.openxmlformats.org/officeDocument/2006/relationships" ref="N299" r:id="rId743"/>
    <hyperlink xmlns:r="http://schemas.openxmlformats.org/officeDocument/2006/relationships" ref="I300" r:id="rId744"/>
    <hyperlink xmlns:r="http://schemas.openxmlformats.org/officeDocument/2006/relationships" ref="N300" r:id="rId745"/>
    <hyperlink xmlns:r="http://schemas.openxmlformats.org/officeDocument/2006/relationships" ref="H301" r:id="rId746"/>
    <hyperlink xmlns:r="http://schemas.openxmlformats.org/officeDocument/2006/relationships" ref="I301" r:id="rId747"/>
    <hyperlink xmlns:r="http://schemas.openxmlformats.org/officeDocument/2006/relationships" ref="N301" r:id="rId748"/>
    <hyperlink xmlns:r="http://schemas.openxmlformats.org/officeDocument/2006/relationships" ref="I302" r:id="rId749"/>
    <hyperlink xmlns:r="http://schemas.openxmlformats.org/officeDocument/2006/relationships" ref="N302" r:id="rId750"/>
    <hyperlink xmlns:r="http://schemas.openxmlformats.org/officeDocument/2006/relationships" ref="H303" r:id="rId751"/>
    <hyperlink xmlns:r="http://schemas.openxmlformats.org/officeDocument/2006/relationships" ref="I303" r:id="rId752"/>
    <hyperlink xmlns:r="http://schemas.openxmlformats.org/officeDocument/2006/relationships" ref="N303" r:id="rId753"/>
    <hyperlink xmlns:r="http://schemas.openxmlformats.org/officeDocument/2006/relationships" ref="I304" r:id="rId754"/>
    <hyperlink xmlns:r="http://schemas.openxmlformats.org/officeDocument/2006/relationships" ref="N304" r:id="rId755"/>
    <hyperlink xmlns:r="http://schemas.openxmlformats.org/officeDocument/2006/relationships" ref="I305" r:id="rId756"/>
    <hyperlink xmlns:r="http://schemas.openxmlformats.org/officeDocument/2006/relationships" ref="N305" r:id="rId757"/>
    <hyperlink xmlns:r="http://schemas.openxmlformats.org/officeDocument/2006/relationships" ref="I306" r:id="rId758"/>
    <hyperlink xmlns:r="http://schemas.openxmlformats.org/officeDocument/2006/relationships" ref="N306" r:id="rId759"/>
    <hyperlink xmlns:r="http://schemas.openxmlformats.org/officeDocument/2006/relationships" ref="I307" r:id="rId760"/>
    <hyperlink xmlns:r="http://schemas.openxmlformats.org/officeDocument/2006/relationships" ref="N307" r:id="rId761"/>
    <hyperlink xmlns:r="http://schemas.openxmlformats.org/officeDocument/2006/relationships" ref="I308" r:id="rId762"/>
    <hyperlink xmlns:r="http://schemas.openxmlformats.org/officeDocument/2006/relationships" ref="N308" r:id="rId763"/>
    <hyperlink xmlns:r="http://schemas.openxmlformats.org/officeDocument/2006/relationships" ref="I309" r:id="rId764"/>
    <hyperlink xmlns:r="http://schemas.openxmlformats.org/officeDocument/2006/relationships" ref="N309" r:id="rId765"/>
    <hyperlink xmlns:r="http://schemas.openxmlformats.org/officeDocument/2006/relationships" ref="I310" r:id="rId766"/>
    <hyperlink xmlns:r="http://schemas.openxmlformats.org/officeDocument/2006/relationships" ref="N310" r:id="rId767"/>
    <hyperlink xmlns:r="http://schemas.openxmlformats.org/officeDocument/2006/relationships" ref="I311" r:id="rId768"/>
    <hyperlink xmlns:r="http://schemas.openxmlformats.org/officeDocument/2006/relationships" ref="N311" r:id="rId769"/>
    <hyperlink xmlns:r="http://schemas.openxmlformats.org/officeDocument/2006/relationships" ref="I312" r:id="rId770"/>
    <hyperlink xmlns:r="http://schemas.openxmlformats.org/officeDocument/2006/relationships" ref="N312" r:id="rId771"/>
    <hyperlink xmlns:r="http://schemas.openxmlformats.org/officeDocument/2006/relationships" ref="I313" r:id="rId772"/>
    <hyperlink xmlns:r="http://schemas.openxmlformats.org/officeDocument/2006/relationships" ref="N313" r:id="rId773"/>
    <hyperlink xmlns:r="http://schemas.openxmlformats.org/officeDocument/2006/relationships" ref="I314" r:id="rId774"/>
    <hyperlink xmlns:r="http://schemas.openxmlformats.org/officeDocument/2006/relationships" ref="N314" r:id="rId775"/>
    <hyperlink xmlns:r="http://schemas.openxmlformats.org/officeDocument/2006/relationships" ref="I315" r:id="rId776"/>
    <hyperlink xmlns:r="http://schemas.openxmlformats.org/officeDocument/2006/relationships" ref="N315" r:id="rId777"/>
    <hyperlink xmlns:r="http://schemas.openxmlformats.org/officeDocument/2006/relationships" ref="I316" r:id="rId778"/>
    <hyperlink xmlns:r="http://schemas.openxmlformats.org/officeDocument/2006/relationships" ref="N316" r:id="rId779"/>
    <hyperlink xmlns:r="http://schemas.openxmlformats.org/officeDocument/2006/relationships" ref="I317" r:id="rId780"/>
    <hyperlink xmlns:r="http://schemas.openxmlformats.org/officeDocument/2006/relationships" ref="N317" r:id="rId781"/>
    <hyperlink xmlns:r="http://schemas.openxmlformats.org/officeDocument/2006/relationships" ref="I318" r:id="rId782"/>
    <hyperlink xmlns:r="http://schemas.openxmlformats.org/officeDocument/2006/relationships" ref="N318" r:id="rId783"/>
    <hyperlink xmlns:r="http://schemas.openxmlformats.org/officeDocument/2006/relationships" ref="I319" r:id="rId784"/>
    <hyperlink xmlns:r="http://schemas.openxmlformats.org/officeDocument/2006/relationships" ref="N319" r:id="rId785"/>
    <hyperlink xmlns:r="http://schemas.openxmlformats.org/officeDocument/2006/relationships" ref="H320" r:id="rId786"/>
    <hyperlink xmlns:r="http://schemas.openxmlformats.org/officeDocument/2006/relationships" ref="N320" r:id="rId787"/>
    <hyperlink xmlns:r="http://schemas.openxmlformats.org/officeDocument/2006/relationships" ref="I321" r:id="rId788"/>
    <hyperlink xmlns:r="http://schemas.openxmlformats.org/officeDocument/2006/relationships" ref="N321" r:id="rId789"/>
    <hyperlink xmlns:r="http://schemas.openxmlformats.org/officeDocument/2006/relationships" ref="I322" r:id="rId790"/>
    <hyperlink xmlns:r="http://schemas.openxmlformats.org/officeDocument/2006/relationships" ref="N322" r:id="rId791"/>
    <hyperlink xmlns:r="http://schemas.openxmlformats.org/officeDocument/2006/relationships" ref="H323" r:id="rId792"/>
    <hyperlink xmlns:r="http://schemas.openxmlformats.org/officeDocument/2006/relationships" ref="N323" r:id="rId793"/>
    <hyperlink xmlns:r="http://schemas.openxmlformats.org/officeDocument/2006/relationships" ref="I324" r:id="rId794"/>
    <hyperlink xmlns:r="http://schemas.openxmlformats.org/officeDocument/2006/relationships" ref="N324" r:id="rId795"/>
    <hyperlink xmlns:r="http://schemas.openxmlformats.org/officeDocument/2006/relationships" ref="I325" r:id="rId796"/>
    <hyperlink xmlns:r="http://schemas.openxmlformats.org/officeDocument/2006/relationships" ref="N325" r:id="rId797"/>
    <hyperlink xmlns:r="http://schemas.openxmlformats.org/officeDocument/2006/relationships" ref="I326" r:id="rId798"/>
    <hyperlink xmlns:r="http://schemas.openxmlformats.org/officeDocument/2006/relationships" ref="N326" r:id="rId799"/>
    <hyperlink xmlns:r="http://schemas.openxmlformats.org/officeDocument/2006/relationships" ref="I327" r:id="rId800"/>
    <hyperlink xmlns:r="http://schemas.openxmlformats.org/officeDocument/2006/relationships" ref="N327" r:id="rId801"/>
    <hyperlink xmlns:r="http://schemas.openxmlformats.org/officeDocument/2006/relationships" ref="I328" r:id="rId802"/>
    <hyperlink xmlns:r="http://schemas.openxmlformats.org/officeDocument/2006/relationships" ref="N328" r:id="rId803"/>
    <hyperlink xmlns:r="http://schemas.openxmlformats.org/officeDocument/2006/relationships" ref="H329" r:id="rId804"/>
    <hyperlink xmlns:r="http://schemas.openxmlformats.org/officeDocument/2006/relationships" ref="I329" r:id="rId805"/>
    <hyperlink xmlns:r="http://schemas.openxmlformats.org/officeDocument/2006/relationships" ref="N329" r:id="rId806"/>
    <hyperlink xmlns:r="http://schemas.openxmlformats.org/officeDocument/2006/relationships" ref="H330" r:id="rId807"/>
    <hyperlink xmlns:r="http://schemas.openxmlformats.org/officeDocument/2006/relationships" ref="N330" r:id="rId808"/>
    <hyperlink xmlns:r="http://schemas.openxmlformats.org/officeDocument/2006/relationships" ref="H331" r:id="rId809"/>
    <hyperlink xmlns:r="http://schemas.openxmlformats.org/officeDocument/2006/relationships" ref="I331" r:id="rId810"/>
    <hyperlink xmlns:r="http://schemas.openxmlformats.org/officeDocument/2006/relationships" ref="N331" r:id="rId811"/>
    <hyperlink xmlns:r="http://schemas.openxmlformats.org/officeDocument/2006/relationships" ref="I332" r:id="rId812"/>
    <hyperlink xmlns:r="http://schemas.openxmlformats.org/officeDocument/2006/relationships" ref="N332" r:id="rId813"/>
    <hyperlink xmlns:r="http://schemas.openxmlformats.org/officeDocument/2006/relationships" ref="I333" r:id="rId814"/>
    <hyperlink xmlns:r="http://schemas.openxmlformats.org/officeDocument/2006/relationships" ref="N333" r:id="rId815"/>
    <hyperlink xmlns:r="http://schemas.openxmlformats.org/officeDocument/2006/relationships" ref="I334" r:id="rId816"/>
    <hyperlink xmlns:r="http://schemas.openxmlformats.org/officeDocument/2006/relationships" ref="N334" r:id="rId817"/>
    <hyperlink xmlns:r="http://schemas.openxmlformats.org/officeDocument/2006/relationships" ref="I335" r:id="rId818"/>
    <hyperlink xmlns:r="http://schemas.openxmlformats.org/officeDocument/2006/relationships" ref="N335" r:id="rId819"/>
    <hyperlink xmlns:r="http://schemas.openxmlformats.org/officeDocument/2006/relationships" ref="I336" r:id="rId820"/>
    <hyperlink xmlns:r="http://schemas.openxmlformats.org/officeDocument/2006/relationships" ref="N336" r:id="rId821"/>
    <hyperlink xmlns:r="http://schemas.openxmlformats.org/officeDocument/2006/relationships" ref="I337" r:id="rId822"/>
    <hyperlink xmlns:r="http://schemas.openxmlformats.org/officeDocument/2006/relationships" ref="N337" r:id="rId823"/>
    <hyperlink xmlns:r="http://schemas.openxmlformats.org/officeDocument/2006/relationships" ref="H338" r:id="rId824"/>
    <hyperlink xmlns:r="http://schemas.openxmlformats.org/officeDocument/2006/relationships" ref="N338" r:id="rId825"/>
    <hyperlink xmlns:r="http://schemas.openxmlformats.org/officeDocument/2006/relationships" ref="I339" r:id="rId826"/>
    <hyperlink xmlns:r="http://schemas.openxmlformats.org/officeDocument/2006/relationships" ref="N339" r:id="rId827"/>
    <hyperlink xmlns:r="http://schemas.openxmlformats.org/officeDocument/2006/relationships" ref="I340" r:id="rId828"/>
    <hyperlink xmlns:r="http://schemas.openxmlformats.org/officeDocument/2006/relationships" ref="N340" r:id="rId829"/>
    <hyperlink xmlns:r="http://schemas.openxmlformats.org/officeDocument/2006/relationships" ref="I341" r:id="rId830"/>
    <hyperlink xmlns:r="http://schemas.openxmlformats.org/officeDocument/2006/relationships" ref="N341" r:id="rId831"/>
    <hyperlink xmlns:r="http://schemas.openxmlformats.org/officeDocument/2006/relationships" ref="I342" r:id="rId832"/>
    <hyperlink xmlns:r="http://schemas.openxmlformats.org/officeDocument/2006/relationships" ref="N342" r:id="rId833"/>
    <hyperlink xmlns:r="http://schemas.openxmlformats.org/officeDocument/2006/relationships" ref="I343" r:id="rId834"/>
    <hyperlink xmlns:r="http://schemas.openxmlformats.org/officeDocument/2006/relationships" ref="N343" r:id="rId835"/>
    <hyperlink xmlns:r="http://schemas.openxmlformats.org/officeDocument/2006/relationships" ref="I344" r:id="rId836"/>
    <hyperlink xmlns:r="http://schemas.openxmlformats.org/officeDocument/2006/relationships" ref="N344" r:id="rId837"/>
    <hyperlink xmlns:r="http://schemas.openxmlformats.org/officeDocument/2006/relationships" ref="I345" r:id="rId838"/>
    <hyperlink xmlns:r="http://schemas.openxmlformats.org/officeDocument/2006/relationships" ref="N345" r:id="rId839"/>
    <hyperlink xmlns:r="http://schemas.openxmlformats.org/officeDocument/2006/relationships" ref="H346" r:id="rId840"/>
    <hyperlink xmlns:r="http://schemas.openxmlformats.org/officeDocument/2006/relationships" ref="I346" r:id="rId841"/>
    <hyperlink xmlns:r="http://schemas.openxmlformats.org/officeDocument/2006/relationships" ref="N346" r:id="rId842"/>
    <hyperlink xmlns:r="http://schemas.openxmlformats.org/officeDocument/2006/relationships" ref="I347" r:id="rId843"/>
    <hyperlink xmlns:r="http://schemas.openxmlformats.org/officeDocument/2006/relationships" ref="N347" r:id="rId844"/>
    <hyperlink xmlns:r="http://schemas.openxmlformats.org/officeDocument/2006/relationships" ref="I348" r:id="rId845"/>
    <hyperlink xmlns:r="http://schemas.openxmlformats.org/officeDocument/2006/relationships" ref="N348" r:id="rId846"/>
    <hyperlink xmlns:r="http://schemas.openxmlformats.org/officeDocument/2006/relationships" ref="I349" r:id="rId847"/>
    <hyperlink xmlns:r="http://schemas.openxmlformats.org/officeDocument/2006/relationships" ref="N349" r:id="rId848"/>
    <hyperlink xmlns:r="http://schemas.openxmlformats.org/officeDocument/2006/relationships" ref="I350" r:id="rId849"/>
    <hyperlink xmlns:r="http://schemas.openxmlformats.org/officeDocument/2006/relationships" ref="N350" r:id="rId850"/>
    <hyperlink xmlns:r="http://schemas.openxmlformats.org/officeDocument/2006/relationships" ref="I351" r:id="rId851"/>
    <hyperlink xmlns:r="http://schemas.openxmlformats.org/officeDocument/2006/relationships" ref="N351" r:id="rId852"/>
    <hyperlink xmlns:r="http://schemas.openxmlformats.org/officeDocument/2006/relationships" ref="I352" r:id="rId853"/>
    <hyperlink xmlns:r="http://schemas.openxmlformats.org/officeDocument/2006/relationships" ref="N352" r:id="rId854"/>
    <hyperlink xmlns:r="http://schemas.openxmlformats.org/officeDocument/2006/relationships" ref="I353" r:id="rId855"/>
    <hyperlink xmlns:r="http://schemas.openxmlformats.org/officeDocument/2006/relationships" ref="N353" r:id="rId856"/>
    <hyperlink xmlns:r="http://schemas.openxmlformats.org/officeDocument/2006/relationships" ref="I354" r:id="rId857"/>
    <hyperlink xmlns:r="http://schemas.openxmlformats.org/officeDocument/2006/relationships" ref="N354" r:id="rId858"/>
    <hyperlink xmlns:r="http://schemas.openxmlformats.org/officeDocument/2006/relationships" ref="I355" r:id="rId859"/>
    <hyperlink xmlns:r="http://schemas.openxmlformats.org/officeDocument/2006/relationships" ref="N355" r:id="rId860"/>
    <hyperlink xmlns:r="http://schemas.openxmlformats.org/officeDocument/2006/relationships" ref="I356" r:id="rId861"/>
    <hyperlink xmlns:r="http://schemas.openxmlformats.org/officeDocument/2006/relationships" ref="N356" r:id="rId862"/>
    <hyperlink xmlns:r="http://schemas.openxmlformats.org/officeDocument/2006/relationships" ref="I357" r:id="rId863"/>
    <hyperlink xmlns:r="http://schemas.openxmlformats.org/officeDocument/2006/relationships" ref="N357" r:id="rId864"/>
    <hyperlink xmlns:r="http://schemas.openxmlformats.org/officeDocument/2006/relationships" ref="I358" r:id="rId865"/>
    <hyperlink xmlns:r="http://schemas.openxmlformats.org/officeDocument/2006/relationships" ref="N358" r:id="rId866"/>
    <hyperlink xmlns:r="http://schemas.openxmlformats.org/officeDocument/2006/relationships" ref="I359" r:id="rId867"/>
    <hyperlink xmlns:r="http://schemas.openxmlformats.org/officeDocument/2006/relationships" ref="N359" r:id="rId868"/>
    <hyperlink xmlns:r="http://schemas.openxmlformats.org/officeDocument/2006/relationships" ref="H360" r:id="rId869"/>
    <hyperlink xmlns:r="http://schemas.openxmlformats.org/officeDocument/2006/relationships" ref="I360" r:id="rId870"/>
    <hyperlink xmlns:r="http://schemas.openxmlformats.org/officeDocument/2006/relationships" ref="N360" r:id="rId871"/>
    <hyperlink xmlns:r="http://schemas.openxmlformats.org/officeDocument/2006/relationships" ref="I361" r:id="rId872"/>
    <hyperlink xmlns:r="http://schemas.openxmlformats.org/officeDocument/2006/relationships" ref="N361" r:id="rId873"/>
    <hyperlink xmlns:r="http://schemas.openxmlformats.org/officeDocument/2006/relationships" ref="I362" r:id="rId874"/>
    <hyperlink xmlns:r="http://schemas.openxmlformats.org/officeDocument/2006/relationships" ref="N362" r:id="rId875"/>
    <hyperlink xmlns:r="http://schemas.openxmlformats.org/officeDocument/2006/relationships" ref="I363" r:id="rId876"/>
    <hyperlink xmlns:r="http://schemas.openxmlformats.org/officeDocument/2006/relationships" ref="N363" r:id="rId877"/>
    <hyperlink xmlns:r="http://schemas.openxmlformats.org/officeDocument/2006/relationships" ref="I364" r:id="rId878"/>
    <hyperlink xmlns:r="http://schemas.openxmlformats.org/officeDocument/2006/relationships" ref="N364" r:id="rId879"/>
    <hyperlink xmlns:r="http://schemas.openxmlformats.org/officeDocument/2006/relationships" ref="I365" r:id="rId880"/>
    <hyperlink xmlns:r="http://schemas.openxmlformats.org/officeDocument/2006/relationships" ref="N365" r:id="rId881"/>
    <hyperlink xmlns:r="http://schemas.openxmlformats.org/officeDocument/2006/relationships" ref="I366" r:id="rId882"/>
    <hyperlink xmlns:r="http://schemas.openxmlformats.org/officeDocument/2006/relationships" ref="N366" r:id="rId883"/>
    <hyperlink xmlns:r="http://schemas.openxmlformats.org/officeDocument/2006/relationships" ref="I367" r:id="rId884"/>
    <hyperlink xmlns:r="http://schemas.openxmlformats.org/officeDocument/2006/relationships" ref="N367" r:id="rId885"/>
    <hyperlink xmlns:r="http://schemas.openxmlformats.org/officeDocument/2006/relationships" ref="H368" r:id="rId886"/>
    <hyperlink xmlns:r="http://schemas.openxmlformats.org/officeDocument/2006/relationships" ref="I368" r:id="rId887"/>
    <hyperlink xmlns:r="http://schemas.openxmlformats.org/officeDocument/2006/relationships" ref="N368" r:id="rId888"/>
    <hyperlink xmlns:r="http://schemas.openxmlformats.org/officeDocument/2006/relationships" ref="I369" r:id="rId889"/>
    <hyperlink xmlns:r="http://schemas.openxmlformats.org/officeDocument/2006/relationships" ref="N369" r:id="rId890"/>
    <hyperlink xmlns:r="http://schemas.openxmlformats.org/officeDocument/2006/relationships" ref="I370" r:id="rId891"/>
    <hyperlink xmlns:r="http://schemas.openxmlformats.org/officeDocument/2006/relationships" ref="N370" r:id="rId892"/>
    <hyperlink xmlns:r="http://schemas.openxmlformats.org/officeDocument/2006/relationships" ref="H371" r:id="rId893"/>
    <hyperlink xmlns:r="http://schemas.openxmlformats.org/officeDocument/2006/relationships" ref="N371" r:id="rId894"/>
    <hyperlink xmlns:r="http://schemas.openxmlformats.org/officeDocument/2006/relationships" ref="I372" r:id="rId895"/>
    <hyperlink xmlns:r="http://schemas.openxmlformats.org/officeDocument/2006/relationships" ref="N372" r:id="rId896"/>
    <hyperlink xmlns:r="http://schemas.openxmlformats.org/officeDocument/2006/relationships" ref="H373" r:id="rId897"/>
    <hyperlink xmlns:r="http://schemas.openxmlformats.org/officeDocument/2006/relationships" ref="I373" r:id="rId898"/>
    <hyperlink xmlns:r="http://schemas.openxmlformats.org/officeDocument/2006/relationships" ref="N373" r:id="rId899"/>
    <hyperlink xmlns:r="http://schemas.openxmlformats.org/officeDocument/2006/relationships" ref="H374" r:id="rId900"/>
    <hyperlink xmlns:r="http://schemas.openxmlformats.org/officeDocument/2006/relationships" ref="N374" r:id="rId901"/>
    <hyperlink xmlns:r="http://schemas.openxmlformats.org/officeDocument/2006/relationships" ref="I375" r:id="rId902"/>
    <hyperlink xmlns:r="http://schemas.openxmlformats.org/officeDocument/2006/relationships" ref="N375" r:id="rId903"/>
    <hyperlink xmlns:r="http://schemas.openxmlformats.org/officeDocument/2006/relationships" ref="H376" r:id="rId904"/>
    <hyperlink xmlns:r="http://schemas.openxmlformats.org/officeDocument/2006/relationships" ref="I376" r:id="rId905"/>
    <hyperlink xmlns:r="http://schemas.openxmlformats.org/officeDocument/2006/relationships" ref="N376" r:id="rId906"/>
    <hyperlink xmlns:r="http://schemas.openxmlformats.org/officeDocument/2006/relationships" ref="I377" r:id="rId907"/>
    <hyperlink xmlns:r="http://schemas.openxmlformats.org/officeDocument/2006/relationships" ref="N377" r:id="rId908"/>
    <hyperlink xmlns:r="http://schemas.openxmlformats.org/officeDocument/2006/relationships" ref="I378" r:id="rId909"/>
    <hyperlink xmlns:r="http://schemas.openxmlformats.org/officeDocument/2006/relationships" ref="N378" r:id="rId910"/>
    <hyperlink xmlns:r="http://schemas.openxmlformats.org/officeDocument/2006/relationships" ref="I379" r:id="rId911"/>
    <hyperlink xmlns:r="http://schemas.openxmlformats.org/officeDocument/2006/relationships" ref="N379" r:id="rId912"/>
    <hyperlink xmlns:r="http://schemas.openxmlformats.org/officeDocument/2006/relationships" ref="I380" r:id="rId913"/>
    <hyperlink xmlns:r="http://schemas.openxmlformats.org/officeDocument/2006/relationships" ref="N380" r:id="rId914"/>
    <hyperlink xmlns:r="http://schemas.openxmlformats.org/officeDocument/2006/relationships" ref="I381" r:id="rId915"/>
    <hyperlink xmlns:r="http://schemas.openxmlformats.org/officeDocument/2006/relationships" ref="N381" r:id="rId916"/>
    <hyperlink xmlns:r="http://schemas.openxmlformats.org/officeDocument/2006/relationships" ref="I382" r:id="rId917"/>
    <hyperlink xmlns:r="http://schemas.openxmlformats.org/officeDocument/2006/relationships" ref="N382" r:id="rId918"/>
    <hyperlink xmlns:r="http://schemas.openxmlformats.org/officeDocument/2006/relationships" ref="I383" r:id="rId919"/>
    <hyperlink xmlns:r="http://schemas.openxmlformats.org/officeDocument/2006/relationships" ref="N383" r:id="rId920"/>
    <hyperlink xmlns:r="http://schemas.openxmlformats.org/officeDocument/2006/relationships" ref="I384" r:id="rId921"/>
    <hyperlink xmlns:r="http://schemas.openxmlformats.org/officeDocument/2006/relationships" ref="K384" r:id="rId922"/>
    <hyperlink xmlns:r="http://schemas.openxmlformats.org/officeDocument/2006/relationships" ref="N384" r:id="rId923"/>
    <hyperlink xmlns:r="http://schemas.openxmlformats.org/officeDocument/2006/relationships" ref="I385" r:id="rId924"/>
    <hyperlink xmlns:r="http://schemas.openxmlformats.org/officeDocument/2006/relationships" ref="N385" r:id="rId925"/>
    <hyperlink xmlns:r="http://schemas.openxmlformats.org/officeDocument/2006/relationships" ref="I386" r:id="rId926"/>
    <hyperlink xmlns:r="http://schemas.openxmlformats.org/officeDocument/2006/relationships" ref="K386" r:id="rId927"/>
    <hyperlink xmlns:r="http://schemas.openxmlformats.org/officeDocument/2006/relationships" ref="N386" r:id="rId928"/>
    <hyperlink xmlns:r="http://schemas.openxmlformats.org/officeDocument/2006/relationships" ref="I387" r:id="rId929"/>
    <hyperlink xmlns:r="http://schemas.openxmlformats.org/officeDocument/2006/relationships" ref="K387" r:id="rId930"/>
    <hyperlink xmlns:r="http://schemas.openxmlformats.org/officeDocument/2006/relationships" ref="N387" r:id="rId931"/>
    <hyperlink xmlns:r="http://schemas.openxmlformats.org/officeDocument/2006/relationships" ref="H388" r:id="rId932"/>
    <hyperlink xmlns:r="http://schemas.openxmlformats.org/officeDocument/2006/relationships" ref="I388" r:id="rId933"/>
    <hyperlink xmlns:r="http://schemas.openxmlformats.org/officeDocument/2006/relationships" ref="K388" r:id="rId934"/>
    <hyperlink xmlns:r="http://schemas.openxmlformats.org/officeDocument/2006/relationships" ref="N388" r:id="rId935"/>
    <hyperlink xmlns:r="http://schemas.openxmlformats.org/officeDocument/2006/relationships" ref="I389" r:id="rId936"/>
    <hyperlink xmlns:r="http://schemas.openxmlformats.org/officeDocument/2006/relationships" ref="K389" r:id="rId937"/>
    <hyperlink xmlns:r="http://schemas.openxmlformats.org/officeDocument/2006/relationships" ref="N389" r:id="rId938"/>
    <hyperlink xmlns:r="http://schemas.openxmlformats.org/officeDocument/2006/relationships" ref="I390" r:id="rId939"/>
    <hyperlink xmlns:r="http://schemas.openxmlformats.org/officeDocument/2006/relationships" ref="K390" r:id="rId940"/>
    <hyperlink xmlns:r="http://schemas.openxmlformats.org/officeDocument/2006/relationships" ref="N390" r:id="rId941"/>
    <hyperlink xmlns:r="http://schemas.openxmlformats.org/officeDocument/2006/relationships" ref="I391" r:id="rId942"/>
    <hyperlink xmlns:r="http://schemas.openxmlformats.org/officeDocument/2006/relationships" ref="K391" r:id="rId943"/>
    <hyperlink xmlns:r="http://schemas.openxmlformats.org/officeDocument/2006/relationships" ref="N391" r:id="rId944"/>
    <hyperlink xmlns:r="http://schemas.openxmlformats.org/officeDocument/2006/relationships" ref="I392" r:id="rId945"/>
    <hyperlink xmlns:r="http://schemas.openxmlformats.org/officeDocument/2006/relationships" ref="K392" r:id="rId946"/>
    <hyperlink xmlns:r="http://schemas.openxmlformats.org/officeDocument/2006/relationships" ref="N392" r:id="rId947"/>
    <hyperlink xmlns:r="http://schemas.openxmlformats.org/officeDocument/2006/relationships" ref="H393" r:id="rId948"/>
    <hyperlink xmlns:r="http://schemas.openxmlformats.org/officeDocument/2006/relationships" ref="I393" r:id="rId949"/>
    <hyperlink xmlns:r="http://schemas.openxmlformats.org/officeDocument/2006/relationships" ref="K393" r:id="rId950"/>
    <hyperlink xmlns:r="http://schemas.openxmlformats.org/officeDocument/2006/relationships" ref="N393" r:id="rId951"/>
    <hyperlink xmlns:r="http://schemas.openxmlformats.org/officeDocument/2006/relationships" ref="H394" r:id="rId952"/>
    <hyperlink xmlns:r="http://schemas.openxmlformats.org/officeDocument/2006/relationships" ref="I394" r:id="rId953"/>
    <hyperlink xmlns:r="http://schemas.openxmlformats.org/officeDocument/2006/relationships" ref="K394" r:id="rId954"/>
    <hyperlink xmlns:r="http://schemas.openxmlformats.org/officeDocument/2006/relationships" ref="N394" r:id="rId955"/>
    <hyperlink xmlns:r="http://schemas.openxmlformats.org/officeDocument/2006/relationships" ref="H395" r:id="rId956"/>
    <hyperlink xmlns:r="http://schemas.openxmlformats.org/officeDocument/2006/relationships" ref="I395" r:id="rId957"/>
    <hyperlink xmlns:r="http://schemas.openxmlformats.org/officeDocument/2006/relationships" ref="K395" r:id="rId958"/>
    <hyperlink xmlns:r="http://schemas.openxmlformats.org/officeDocument/2006/relationships" ref="N395" r:id="rId959"/>
    <hyperlink xmlns:r="http://schemas.openxmlformats.org/officeDocument/2006/relationships" ref="H396" r:id="rId960"/>
    <hyperlink xmlns:r="http://schemas.openxmlformats.org/officeDocument/2006/relationships" ref="I396" r:id="rId961"/>
    <hyperlink xmlns:r="http://schemas.openxmlformats.org/officeDocument/2006/relationships" ref="K396" r:id="rId962"/>
    <hyperlink xmlns:r="http://schemas.openxmlformats.org/officeDocument/2006/relationships" ref="N396" r:id="rId963"/>
    <hyperlink xmlns:r="http://schemas.openxmlformats.org/officeDocument/2006/relationships" ref="H397" r:id="rId964"/>
    <hyperlink xmlns:r="http://schemas.openxmlformats.org/officeDocument/2006/relationships" ref="I397" r:id="rId965"/>
    <hyperlink xmlns:r="http://schemas.openxmlformats.org/officeDocument/2006/relationships" ref="K397" r:id="rId966"/>
    <hyperlink xmlns:r="http://schemas.openxmlformats.org/officeDocument/2006/relationships" ref="N397" r:id="rId967"/>
    <hyperlink xmlns:r="http://schemas.openxmlformats.org/officeDocument/2006/relationships" ref="I398" r:id="rId968"/>
    <hyperlink xmlns:r="http://schemas.openxmlformats.org/officeDocument/2006/relationships" ref="K398" r:id="rId969"/>
    <hyperlink xmlns:r="http://schemas.openxmlformats.org/officeDocument/2006/relationships" ref="N398" r:id="rId970"/>
    <hyperlink xmlns:r="http://schemas.openxmlformats.org/officeDocument/2006/relationships" ref="I399" r:id="rId971"/>
    <hyperlink xmlns:r="http://schemas.openxmlformats.org/officeDocument/2006/relationships" ref="K399" r:id="rId972"/>
    <hyperlink xmlns:r="http://schemas.openxmlformats.org/officeDocument/2006/relationships" ref="N399" r:id="rId973"/>
    <hyperlink xmlns:r="http://schemas.openxmlformats.org/officeDocument/2006/relationships" ref="H400" r:id="rId974"/>
    <hyperlink xmlns:r="http://schemas.openxmlformats.org/officeDocument/2006/relationships" ref="I400" r:id="rId975"/>
    <hyperlink xmlns:r="http://schemas.openxmlformats.org/officeDocument/2006/relationships" ref="K400" r:id="rId976"/>
    <hyperlink xmlns:r="http://schemas.openxmlformats.org/officeDocument/2006/relationships" ref="N400" r:id="rId977"/>
    <hyperlink xmlns:r="http://schemas.openxmlformats.org/officeDocument/2006/relationships" ref="H401" r:id="rId978"/>
    <hyperlink xmlns:r="http://schemas.openxmlformats.org/officeDocument/2006/relationships" ref="I401" r:id="rId979"/>
    <hyperlink xmlns:r="http://schemas.openxmlformats.org/officeDocument/2006/relationships" ref="K401" r:id="rId980"/>
    <hyperlink xmlns:r="http://schemas.openxmlformats.org/officeDocument/2006/relationships" ref="N401" r:id="rId981"/>
    <hyperlink xmlns:r="http://schemas.openxmlformats.org/officeDocument/2006/relationships" ref="H402" r:id="rId982"/>
    <hyperlink xmlns:r="http://schemas.openxmlformats.org/officeDocument/2006/relationships" ref="I402" r:id="rId983"/>
    <hyperlink xmlns:r="http://schemas.openxmlformats.org/officeDocument/2006/relationships" ref="K402" r:id="rId984"/>
    <hyperlink xmlns:r="http://schemas.openxmlformats.org/officeDocument/2006/relationships" ref="N402" r:id="rId985"/>
    <hyperlink xmlns:r="http://schemas.openxmlformats.org/officeDocument/2006/relationships" ref="H403" r:id="rId986"/>
    <hyperlink xmlns:r="http://schemas.openxmlformats.org/officeDocument/2006/relationships" ref="I403" r:id="rId987"/>
    <hyperlink xmlns:r="http://schemas.openxmlformats.org/officeDocument/2006/relationships" ref="K403" r:id="rId988"/>
    <hyperlink xmlns:r="http://schemas.openxmlformats.org/officeDocument/2006/relationships" ref="N403" r:id="rId989"/>
    <hyperlink xmlns:r="http://schemas.openxmlformats.org/officeDocument/2006/relationships" ref="I404" r:id="rId990"/>
    <hyperlink xmlns:r="http://schemas.openxmlformats.org/officeDocument/2006/relationships" ref="K404" r:id="rId991"/>
    <hyperlink xmlns:r="http://schemas.openxmlformats.org/officeDocument/2006/relationships" ref="N404" r:id="rId992"/>
    <hyperlink xmlns:r="http://schemas.openxmlformats.org/officeDocument/2006/relationships" ref="I405" r:id="rId993"/>
    <hyperlink xmlns:r="http://schemas.openxmlformats.org/officeDocument/2006/relationships" ref="K405" r:id="rId994"/>
    <hyperlink xmlns:r="http://schemas.openxmlformats.org/officeDocument/2006/relationships" ref="N405" r:id="rId995"/>
    <hyperlink xmlns:r="http://schemas.openxmlformats.org/officeDocument/2006/relationships" ref="I406" r:id="rId996"/>
    <hyperlink xmlns:r="http://schemas.openxmlformats.org/officeDocument/2006/relationships" ref="K406" r:id="rId997"/>
    <hyperlink xmlns:r="http://schemas.openxmlformats.org/officeDocument/2006/relationships" ref="N406" r:id="rId998"/>
    <hyperlink xmlns:r="http://schemas.openxmlformats.org/officeDocument/2006/relationships" ref="H407" r:id="rId999"/>
    <hyperlink xmlns:r="http://schemas.openxmlformats.org/officeDocument/2006/relationships" ref="I407" r:id="rId1000"/>
    <hyperlink xmlns:r="http://schemas.openxmlformats.org/officeDocument/2006/relationships" ref="K407" r:id="rId1001"/>
    <hyperlink xmlns:r="http://schemas.openxmlformats.org/officeDocument/2006/relationships" ref="N407" r:id="rId1002"/>
    <hyperlink xmlns:r="http://schemas.openxmlformats.org/officeDocument/2006/relationships" ref="I408" r:id="rId1003"/>
    <hyperlink xmlns:r="http://schemas.openxmlformats.org/officeDocument/2006/relationships" ref="K408" r:id="rId1004"/>
    <hyperlink xmlns:r="http://schemas.openxmlformats.org/officeDocument/2006/relationships" ref="N408" r:id="rId1005"/>
    <hyperlink xmlns:r="http://schemas.openxmlformats.org/officeDocument/2006/relationships" ref="H409" r:id="rId1006"/>
    <hyperlink xmlns:r="http://schemas.openxmlformats.org/officeDocument/2006/relationships" ref="I409" r:id="rId1007"/>
    <hyperlink xmlns:r="http://schemas.openxmlformats.org/officeDocument/2006/relationships" ref="K409" r:id="rId1008"/>
    <hyperlink xmlns:r="http://schemas.openxmlformats.org/officeDocument/2006/relationships" ref="N409" r:id="rId1009"/>
    <hyperlink xmlns:r="http://schemas.openxmlformats.org/officeDocument/2006/relationships" ref="I410" r:id="rId1010"/>
    <hyperlink xmlns:r="http://schemas.openxmlformats.org/officeDocument/2006/relationships" ref="K410" r:id="rId1011"/>
    <hyperlink xmlns:r="http://schemas.openxmlformats.org/officeDocument/2006/relationships" ref="N410" r:id="rId1012"/>
    <hyperlink xmlns:r="http://schemas.openxmlformats.org/officeDocument/2006/relationships" ref="I411" r:id="rId1013"/>
    <hyperlink xmlns:r="http://schemas.openxmlformats.org/officeDocument/2006/relationships" ref="K411" r:id="rId1014"/>
    <hyperlink xmlns:r="http://schemas.openxmlformats.org/officeDocument/2006/relationships" ref="N411" r:id="rId1015"/>
    <hyperlink xmlns:r="http://schemas.openxmlformats.org/officeDocument/2006/relationships" ref="I412" r:id="rId1016"/>
    <hyperlink xmlns:r="http://schemas.openxmlformats.org/officeDocument/2006/relationships" ref="K412" r:id="rId1017"/>
    <hyperlink xmlns:r="http://schemas.openxmlformats.org/officeDocument/2006/relationships" ref="N412" r:id="rId10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7" t="inlineStr">
        <is>
          <t>Pipeline</t>
        </is>
      </c>
      <c r="B1" s="7" t="inlineStr">
        <is>
          <t>Leads</t>
        </is>
      </c>
    </row>
    <row r="2">
      <c r="A2" t="inlineStr">
        <is>
          <t>Not contacted</t>
        </is>
      </c>
      <c r="B2">
        <f>COUNTIF(Leads!O:O,"Not contacted")</f>
        <v/>
      </c>
    </row>
    <row r="3">
      <c r="A3" t="inlineStr">
        <is>
          <t>DM sent</t>
        </is>
      </c>
      <c r="B3">
        <f>COUNTIF(Leads!O:O,"DM sent")</f>
        <v/>
      </c>
    </row>
    <row r="4">
      <c r="A4" t="inlineStr">
        <is>
          <t>Replied</t>
        </is>
      </c>
      <c r="B4">
        <f>COUNTIF(Leads!O:O,"Replied")</f>
        <v/>
      </c>
    </row>
    <row r="5">
      <c r="A5" t="inlineStr">
        <is>
          <t>Preview sent</t>
        </is>
      </c>
      <c r="B5">
        <f>COUNTIF(Leads!O:O,"Preview sent")</f>
        <v/>
      </c>
    </row>
    <row r="6">
      <c r="A6" t="inlineStr">
        <is>
          <t>Meeting booked</t>
        </is>
      </c>
      <c r="B6">
        <f>COUNTIF(Leads!O:O,"Meeting booked")</f>
        <v/>
      </c>
    </row>
    <row r="7">
      <c r="A7" t="inlineStr">
        <is>
          <t>Won</t>
        </is>
      </c>
      <c r="B7">
        <f>COUNTIF(Leads!O:O,"Won")</f>
        <v/>
      </c>
    </row>
    <row r="8">
      <c r="A8" t="inlineStr">
        <is>
          <t>Not interested</t>
        </is>
      </c>
      <c r="B8">
        <f>COUNTIF(Leads!O:O,"Not interested")</f>
        <v/>
      </c>
    </row>
    <row r="9">
      <c r="A9" t="inlineStr">
        <is>
          <t>Business closed</t>
        </is>
      </c>
      <c r="B9">
        <f>COUNTIF(Leads!O:O,"Business closed")</f>
        <v/>
      </c>
    </row>
    <row r="11">
      <c r="A11" t="inlineStr">
        <is>
          <t>Reply rate (Replied or later / DMs sent)</t>
        </is>
      </c>
      <c r="B11" s="8">
        <f>IFERROR((B4+B5+B6+B7+B8)/(B3+B4+B5+B6+B7+B8),0)</f>
        <v/>
      </c>
    </row>
    <row r="12">
      <c r="A12" s="9" t="inlineStr">
        <is>
          <t>Leads per priority</t>
        </is>
      </c>
      <c r="B12" t="inlineStr"/>
    </row>
    <row r="13">
      <c r="A13" t="inlineStr">
        <is>
          <t>HIGH</t>
        </is>
      </c>
      <c r="B13">
        <f>COUNTIF(Leads!B:B,"HIGH")</f>
        <v/>
      </c>
    </row>
    <row r="14">
      <c r="A14" t="inlineStr">
        <is>
          <t>VERIFY FIRST</t>
        </is>
      </c>
      <c r="B14">
        <f>COUNTIF(Leads!B:B,"VERIFY FIRST")</f>
        <v/>
      </c>
    </row>
    <row r="15">
      <c r="A15" t="inlineStr">
        <is>
          <t>MEDIUM</t>
        </is>
      </c>
      <c r="B15">
        <f>COUNTIF(Leads!B:B,"MEDIUM")</f>
        <v/>
      </c>
    </row>
    <row r="17">
      <c r="A17" s="9" t="inlineStr">
        <is>
          <t>Leads per region</t>
        </is>
      </c>
      <c r="B17" t="inlineStr"/>
    </row>
    <row r="18">
      <c r="A18" t="inlineStr">
        <is>
          <t>Brisbane</t>
        </is>
      </c>
      <c r="B18">
        <f>COUNTIF(Leads!F:F,"Brisbane")</f>
        <v/>
      </c>
    </row>
    <row r="19">
      <c r="A19" t="inlineStr">
        <is>
          <t>Bundaberg</t>
        </is>
      </c>
      <c r="B19">
        <f>COUNTIF(Leads!F:F,"Bundaberg")</f>
        <v/>
      </c>
    </row>
    <row r="20">
      <c r="A20" t="inlineStr">
        <is>
          <t>Cairns</t>
        </is>
      </c>
      <c r="B20">
        <f>COUNTIF(Leads!F:F,"Cairns")</f>
        <v/>
      </c>
    </row>
    <row r="21">
      <c r="A21" t="inlineStr">
        <is>
          <t>Gold Coast</t>
        </is>
      </c>
      <c r="B21">
        <f>COUNTIF(Leads!F:F,"Gold Coast")</f>
        <v/>
      </c>
    </row>
    <row r="22">
      <c r="A22" t="inlineStr">
        <is>
          <t>Ipswich</t>
        </is>
      </c>
      <c r="B22">
        <f>COUNTIF(Leads!F:F,"Ipswich")</f>
        <v/>
      </c>
    </row>
    <row r="23">
      <c r="A23" t="inlineStr">
        <is>
          <t>Logan</t>
        </is>
      </c>
      <c r="B23">
        <f>COUNTIF(Leads!F:F,"Logan")</f>
        <v/>
      </c>
    </row>
    <row r="24">
      <c r="A24" t="inlineStr">
        <is>
          <t>Mackay</t>
        </is>
      </c>
      <c r="B24">
        <f>COUNTIF(Leads!F:F,"Mackay")</f>
        <v/>
      </c>
    </row>
    <row r="25">
      <c r="A25" t="inlineStr">
        <is>
          <t>Moreton Bay</t>
        </is>
      </c>
      <c r="B25">
        <f>COUNTIF(Leads!F:F,"Moreton Bay")</f>
        <v/>
      </c>
    </row>
    <row r="26">
      <c r="A26" t="inlineStr">
        <is>
          <t>Redlands</t>
        </is>
      </c>
      <c r="B26">
        <f>COUNTIF(Leads!F:F,"Redlands")</f>
        <v/>
      </c>
    </row>
    <row r="27">
      <c r="A27" t="inlineStr">
        <is>
          <t>Rockhampton</t>
        </is>
      </c>
      <c r="B27">
        <f>COUNTIF(Leads!F:F,"Rockhampton")</f>
        <v/>
      </c>
    </row>
    <row r="28">
      <c r="A28" t="inlineStr">
        <is>
          <t>Sunshine Coast</t>
        </is>
      </c>
      <c r="B28">
        <f>COUNTIF(Leads!F:F,"Sunshine Coast")</f>
        <v/>
      </c>
    </row>
    <row r="29">
      <c r="A29" t="inlineStr">
        <is>
          <t>Toowoomba</t>
        </is>
      </c>
      <c r="B29">
        <f>COUNTIF(Leads!F:F,"Toowoomba")</f>
        <v/>
      </c>
    </row>
    <row r="30">
      <c r="A30" t="inlineStr">
        <is>
          <t>Townsville</t>
        </is>
      </c>
      <c r="B30">
        <f>COUNTIF(Leads!F:F,"Townsville")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AceAds: Instagram / Facebook outreach, Queensland</t>
        </is>
      </c>
    </row>
    <row r="2">
      <c r="A2" t="inlineStr"/>
    </row>
    <row r="3">
      <c r="A3" s="11" t="inlineStr">
        <is>
          <t>Before each DM</t>
        </is>
      </c>
    </row>
    <row r="4">
      <c r="A4" t="inlineStr">
        <is>
          <t>1. Open 'Check on Google Maps'. Skip the business if it is closed or has almost no reviews.</t>
        </is>
      </c>
    </row>
    <row r="5">
      <c r="A5" t="inlineStr">
        <is>
          <t>2. Open their Instagram/Facebook. Replace [one real detail from their page] with something true and specific.</t>
        </is>
      </c>
    </row>
    <row r="6">
      <c r="A6" t="inlineStr">
        <is>
          <t>3. 'VERIFY FIRST' rows: Google the business name first. If they DO have a website, check it on your phone and</t>
        </is>
      </c>
    </row>
    <row r="7">
      <c r="A7" t="inlineStr">
        <is>
          <t xml:space="preserve">   rewrite the DM around a problem you can see yourself, or skip them. Never say they have no website unless you checked.</t>
        </is>
      </c>
    </row>
    <row r="8">
      <c r="A8" t="inlineStr">
        <is>
          <t>4. 'Slow to load' was timed from an overseas server. Open the site on your own phone first; if it loads fine, skip that point.</t>
        </is>
      </c>
    </row>
    <row r="9">
      <c r="A9" t="inlineStr"/>
    </row>
    <row r="10">
      <c r="A10" s="11" t="inlineStr">
        <is>
          <t>Sending</t>
        </is>
      </c>
    </row>
    <row r="11">
      <c r="A11" t="inlineStr">
        <is>
          <t>5. Send from the AceAds business account, by hand. Max 20 new DMs per account per day.</t>
        </is>
      </c>
    </row>
    <row r="12">
      <c r="A12" t="inlineStr">
        <is>
          <t>6. Never paste the identical message twice in a row. Personalise every one; Meta limits accounts that send copy-paste DMs.</t>
        </is>
      </c>
    </row>
    <row r="13">
      <c r="A13" t="inlineStr">
        <is>
          <t>7. If they reply yes, ask AceAds for their preview (mockups/ in the repo), then send the screenshot and link.</t>
        </is>
      </c>
    </row>
    <row r="14">
      <c r="A14" t="inlineStr">
        <is>
          <t xml:space="preserve">   Set Status to 'Preview sent'.</t>
        </is>
      </c>
    </row>
    <row r="15">
      <c r="A15" t="inlineStr">
        <is>
          <t>8. One polite follow-up after 4-5 days, only if there was no reply. Then stop.</t>
        </is>
      </c>
    </row>
    <row r="16">
      <c r="A16" t="inlineStr">
        <is>
          <t>9. If anyone says no or asks us to stop, set 'Not interested' and never contact them again.</t>
        </is>
      </c>
    </row>
    <row r="17">
      <c r="A17" t="inlineStr"/>
    </row>
    <row r="18">
      <c r="A18" s="11" t="inlineStr">
        <is>
          <t>Do not</t>
        </is>
      </c>
    </row>
    <row r="19">
      <c r="A19" t="inlineStr">
        <is>
          <t>- Do not add these businesses to bulk email or automated DM tools.</t>
        </is>
      </c>
    </row>
    <row r="20">
      <c r="A20" t="inlineStr">
        <is>
          <t>- Email only to an address the business publishes on its own website, copied by hand. Say who we are, keep it</t>
        </is>
      </c>
    </row>
    <row r="21">
      <c r="A21" t="inlineStr">
        <is>
          <t xml:space="preserve">  about their website, and end with: 'Not interested? Reply STOP and we won't contact you again.'</t>
        </is>
      </c>
    </row>
    <row r="22">
      <c r="A22" t="inlineStr">
        <is>
          <t>- Do not claim anything about their business you have not checked.</t>
        </is>
      </c>
    </row>
    <row r="23">
      <c r="A23" t="inlineStr"/>
    </row>
    <row r="24">
      <c r="A24" t="inlineStr">
        <is>
          <t>Source: OpenStreetMap (c) OpenStreetMap contributors, plus links found on the businesses' own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2026-10-03T04:31:02Z</dcterms:created>
  <dcterms:modified xsi:type="dcterms:W3CDTF">2026-10-03T04:31:02Z</dcterms:modified>
</cp:coreProperties>
</file>