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'Leads'!$A$1:$S$1015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Ferny-Way-Bakery-689190028097407/" TargetMode="External" Id="rId1" /><Relationship Type="http://schemas.openxmlformats.org/officeDocument/2006/relationships/hyperlink" Target="https://www.facebook.com/Ferny-Way-Bakery-689190028097407/" TargetMode="External" Id="rId2" /><Relationship Type="http://schemas.openxmlformats.org/officeDocument/2006/relationships/hyperlink" Target="https://www.google.com/maps/search/?api=1&amp;query=Ferny+Way+Bakery+146+Ferny+Way+Ferny+Hills" TargetMode="External" Id="rId3" /><Relationship Type="http://schemas.openxmlformats.org/officeDocument/2006/relationships/hyperlink" Target="https://www.facebook.com/Bakery-Karana-Downs-624286981023430/" TargetMode="External" Id="rId4" /><Relationship Type="http://schemas.openxmlformats.org/officeDocument/2006/relationships/hyperlink" Target="https://www.facebook.com/Bakery-Karana-Downs-624286981023430/" TargetMode="External" Id="rId5" /><Relationship Type="http://schemas.openxmlformats.org/officeDocument/2006/relationships/hyperlink" Target="https://www.google.com/maps/search/?api=1&amp;query=Karana+Krusty+Bakery+1+College+Road+Karana+Downs" TargetMode="External" Id="rId6" /><Relationship Type="http://schemas.openxmlformats.org/officeDocument/2006/relationships/hyperlink" Target="https://www.facebook.com/flatlizardbrewing/" TargetMode="External" Id="rId7" /><Relationship Type="http://schemas.openxmlformats.org/officeDocument/2006/relationships/hyperlink" Target="https://www.facebook.com/flatlizardbrewing/" TargetMode="External" Id="rId8" /><Relationship Type="http://schemas.openxmlformats.org/officeDocument/2006/relationships/hyperlink" Target="https://www.google.com/maps/search/?api=1&amp;query=Flat+Lizard+Brewing" TargetMode="External" Id="rId9" /><Relationship Type="http://schemas.openxmlformats.org/officeDocument/2006/relationships/hyperlink" Target="https://www.facebook.com/bellavisionhairstudio132" TargetMode="External" Id="rId10" /><Relationship Type="http://schemas.openxmlformats.org/officeDocument/2006/relationships/hyperlink" Target="https://www.facebook.com/bellavisionhairstudio132/" TargetMode="External" Id="rId11" /><Relationship Type="http://schemas.openxmlformats.org/officeDocument/2006/relationships/hyperlink" Target="https://www.google.com/maps/search/?api=1&amp;query=Bella+Vision+Hair+Studio+146+Ferny+Way+Ferny+Hills" TargetMode="External" Id="rId12" /><Relationship Type="http://schemas.openxmlformats.org/officeDocument/2006/relationships/hyperlink" Target="https://www.instagram.com/brassknuckles_barber/" TargetMode="External" Id="rId13" /><Relationship Type="http://schemas.openxmlformats.org/officeDocument/2006/relationships/hyperlink" Target="https://www.instagram.com/brassknuckles_barber/" TargetMode="External" Id="rId14" /><Relationship Type="http://schemas.openxmlformats.org/officeDocument/2006/relationships/hyperlink" Target="https://www.google.com/maps/search/?api=1&amp;query=Brass+Knuckles+Barber+448+Enoggera+Road+Alderley" TargetMode="External" Id="rId15" /><Relationship Type="http://schemas.openxmlformats.org/officeDocument/2006/relationships/hyperlink" Target="https://www.facebook.com/crownandcobarbers/?ref=page_internal" TargetMode="External" Id="rId16" /><Relationship Type="http://schemas.openxmlformats.org/officeDocument/2006/relationships/hyperlink" Target="https://www.facebook.com/crownandcobarbers/?ref=page_internal" TargetMode="External" Id="rId17" /><Relationship Type="http://schemas.openxmlformats.org/officeDocument/2006/relationships/hyperlink" Target="https://www.google.com/maps/search/?api=1&amp;query=Crown+and+Co+Barbers+Brunswick+Street+Fortitude+Valley" TargetMode="External" Id="rId18" /><Relationship Type="http://schemas.openxmlformats.org/officeDocument/2006/relationships/hyperlink" Target="https://www.facebook.com/p/Kin-Barbershop-61557611918699" TargetMode="External" Id="rId19" /><Relationship Type="http://schemas.openxmlformats.org/officeDocument/2006/relationships/hyperlink" Target="https://kinbarbershop.square.site/" TargetMode="External" Id="rId20" /><Relationship Type="http://schemas.openxmlformats.org/officeDocument/2006/relationships/hyperlink" Target="https://www.google.com/maps/search/?api=1&amp;query=Kin+Barbershop+95+Samford+Road+Alderley" TargetMode="External" Id="rId21" /><Relationship Type="http://schemas.openxmlformats.org/officeDocument/2006/relationships/hyperlink" Target="https://facebook.com/scottybarberinos/" TargetMode="External" Id="rId22" /><Relationship Type="http://schemas.openxmlformats.org/officeDocument/2006/relationships/hyperlink" Target="https://facebook.com/scottybarberinos/" TargetMode="External" Id="rId23" /><Relationship Type="http://schemas.openxmlformats.org/officeDocument/2006/relationships/hyperlink" Target="https://www.google.com/maps/search/?api=1&amp;query=Scotty+Barberino%27s+Barber+Shop+37+Main+Street+Samford+Village" TargetMode="External" Id="rId24" /><Relationship Type="http://schemas.openxmlformats.org/officeDocument/2006/relationships/hyperlink" Target="https://www.facebook.com/Terrydobiehair/" TargetMode="External" Id="rId25" /><Relationship Type="http://schemas.openxmlformats.org/officeDocument/2006/relationships/hyperlink" Target="https://terrydobiehair.wixsite.com/mysite" TargetMode="External" Id="rId26" /><Relationship Type="http://schemas.openxmlformats.org/officeDocument/2006/relationships/hyperlink" Target="https://www.google.com/maps/search/?api=1&amp;query=Terry+Dobie+Hairdressing+210+Redland+Bay+Road+Capalaba" TargetMode="External" Id="rId27" /><Relationship Type="http://schemas.openxmlformats.org/officeDocument/2006/relationships/hyperlink" Target="https://www.facebook.com/profile.php?id=100063881476277" TargetMode="External" Id="rId28" /><Relationship Type="http://schemas.openxmlformats.org/officeDocument/2006/relationships/hyperlink" Target="https://www.facebook.com/profile.php?id=100063881476277" TargetMode="External" Id="rId29" /><Relationship Type="http://schemas.openxmlformats.org/officeDocument/2006/relationships/hyperlink" Target="https://www.google.com/maps/search/?api=1&amp;query=Nail+Today" TargetMode="External" Id="rId30" /><Relationship Type="http://schemas.openxmlformats.org/officeDocument/2006/relationships/hyperlink" Target="https://m.facebook.com/story.php?story_fbid=2013500125499490&amp;id=487145808134937&amp;sfnsn=mo" TargetMode="External" Id="rId31" /><Relationship Type="http://schemas.openxmlformats.org/officeDocument/2006/relationships/hyperlink" Target="https://m.facebook.com/story.php?story_fbid=2013500125499490&amp;id=487145808134937&amp;sfnsn=mo" TargetMode="External" Id="rId32" /><Relationship Type="http://schemas.openxmlformats.org/officeDocument/2006/relationships/hyperlink" Target="https://www.google.com/maps/search/?api=1&amp;query=Bancroft+Roasters%2C+Bardon+69+Bowman+Parade+Bardon" TargetMode="External" Id="rId33" /><Relationship Type="http://schemas.openxmlformats.org/officeDocument/2006/relationships/hyperlink" Target="https://www.instagram.com/bardonthyme/?hl=en" TargetMode="External" Id="rId34" /><Relationship Type="http://schemas.openxmlformats.org/officeDocument/2006/relationships/hyperlink" Target="https://www.instagram.com/bardonthyme/?hl=en" TargetMode="External" Id="rId35" /><Relationship Type="http://schemas.openxmlformats.org/officeDocument/2006/relationships/hyperlink" Target="https://www.google.com/maps/search/?api=1&amp;query=Bardon+Thyme+5+Morgan+Terrace+Bardon" TargetMode="External" Id="rId36" /><Relationship Type="http://schemas.openxmlformats.org/officeDocument/2006/relationships/hyperlink" Target="https://www.facebook.com/canterandcolt" TargetMode="External" Id="rId37" /><Relationship Type="http://schemas.openxmlformats.org/officeDocument/2006/relationships/hyperlink" Target="https://www.facebook.com/canterandcolt" TargetMode="External" Id="rId38" /><Relationship Type="http://schemas.openxmlformats.org/officeDocument/2006/relationships/hyperlink" Target="https://www.google.com/maps/search/?api=1&amp;query=Canter+%26+Colt+42+Main+Street+Samford+Village" TargetMode="External" Id="rId39" /><Relationship Type="http://schemas.openxmlformats.org/officeDocument/2006/relationships/hyperlink" Target="https://www.facebook.com/Coffee-Warden-Sandgate-380818316058328/" TargetMode="External" Id="rId40" /><Relationship Type="http://schemas.openxmlformats.org/officeDocument/2006/relationships/hyperlink" Target="https://www.facebook.com/Coffee-Warden-Sandgate-380818316058328/" TargetMode="External" Id="rId41" /><Relationship Type="http://schemas.openxmlformats.org/officeDocument/2006/relationships/hyperlink" Target="https://www.google.com/maps/search/?api=1&amp;query=Coffee+Warden+74+Ward+Street+Sandgate" TargetMode="External" Id="rId42" /><Relationship Type="http://schemas.openxmlformats.org/officeDocument/2006/relationships/hyperlink" Target="https://www.facebook.com/people/Coffee-on-the-Way/100057414793271/" TargetMode="External" Id="rId43" /><Relationship Type="http://schemas.openxmlformats.org/officeDocument/2006/relationships/hyperlink" Target="https://www.facebook.com/people/Coffee-on-the-Way/100057414793271/" TargetMode="External" Id="rId44" /><Relationship Type="http://schemas.openxmlformats.org/officeDocument/2006/relationships/hyperlink" Target="https://www.google.com/maps/search/?api=1&amp;query=Coffee+on+the+Way+146+Ferny+Way+Ferny+Hills" TargetMode="External" Id="rId45" /><Relationship Type="http://schemas.openxmlformats.org/officeDocument/2006/relationships/hyperlink" Target="https://www.facebook.com/Dropout-espresso-110045364260266/" TargetMode="External" Id="rId46" /><Relationship Type="http://schemas.openxmlformats.org/officeDocument/2006/relationships/hyperlink" Target="https://www.facebook.com/Dropout-espresso-110045364260266/" TargetMode="External" Id="rId47" /><Relationship Type="http://schemas.openxmlformats.org/officeDocument/2006/relationships/hyperlink" Target="https://www.google.com/maps/search/?api=1&amp;query=Dropout+Espresso+37+Main+Street+Samford+Village" TargetMode="External" Id="rId48" /><Relationship Type="http://schemas.openxmlformats.org/officeDocument/2006/relationships/hyperlink" Target="https://www.instagram.com/frasersnewstead/" TargetMode="External" Id="rId49" /><Relationship Type="http://schemas.openxmlformats.org/officeDocument/2006/relationships/hyperlink" Target="https://www.instagram.com/frasersnewstead/" TargetMode="External" Id="rId50" /><Relationship Type="http://schemas.openxmlformats.org/officeDocument/2006/relationships/hyperlink" Target="https://www.google.com/maps/search/?api=1&amp;query=Fraser%27s+Newstead+12+Commercial+Road" TargetMode="External" Id="rId51" /><Relationship Type="http://schemas.openxmlformats.org/officeDocument/2006/relationships/hyperlink" Target="https://www.facebook.com/gracevillemoments/" TargetMode="External" Id="rId52" /><Relationship Type="http://schemas.openxmlformats.org/officeDocument/2006/relationships/hyperlink" Target="https://www.facebook.com/gracevillemoments/" TargetMode="External" Id="rId53" /><Relationship Type="http://schemas.openxmlformats.org/officeDocument/2006/relationships/hyperlink" Target="https://www.google.com/maps/search/?api=1&amp;query=Graceville+Moments+Cafe+8+Bank+Road+Graceville" TargetMode="External" Id="rId54" /><Relationship Type="http://schemas.openxmlformats.org/officeDocument/2006/relationships/hyperlink" Target="https://www.facebook.com/littleredprovidore/" TargetMode="External" Id="rId55" /><Relationship Type="http://schemas.openxmlformats.org/officeDocument/2006/relationships/hyperlink" Target="https://www.facebook.com/littleredprovidore/" TargetMode="External" Id="rId56" /><Relationship Type="http://schemas.openxmlformats.org/officeDocument/2006/relationships/hyperlink" Target="https://www.google.com/maps/search/?api=1&amp;query=Little+Red+Providore+63+Windsor+Road" TargetMode="External" Id="rId57" /><Relationship Type="http://schemas.openxmlformats.org/officeDocument/2006/relationships/hyperlink" Target="https://www.facebook.com/profile.php?id=61584852192002" TargetMode="External" Id="rId58" /><Relationship Type="http://schemas.openxmlformats.org/officeDocument/2006/relationships/hyperlink" Target="https://www.facebook.com/profile.php?id=61584852192002" TargetMode="External" Id="rId59" /><Relationship Type="http://schemas.openxmlformats.org/officeDocument/2006/relationships/hyperlink" Target="https://www.google.com/maps/search/?api=1&amp;query=Paper+Moon+Coffee+House+and+Functions" TargetMode="External" Id="rId60" /><Relationship Type="http://schemas.openxmlformats.org/officeDocument/2006/relationships/hyperlink" Target="https://www.facebook.com/people/PROUD-to-SERVE/100083122461252/" TargetMode="External" Id="rId61" /><Relationship Type="http://schemas.openxmlformats.org/officeDocument/2006/relationships/hyperlink" Target="https://www.facebook.com/people/PROUD-to-SERVE/100083122461252/" TargetMode="External" Id="rId62" /><Relationship Type="http://schemas.openxmlformats.org/officeDocument/2006/relationships/hyperlink" Target="https://www.google.com/maps/search/?api=1&amp;query=Proud+To+Serve+202+Samford+Road+Enoggera" TargetMode="External" Id="rId63" /><Relationship Type="http://schemas.openxmlformats.org/officeDocument/2006/relationships/hyperlink" Target="https://www.facebook.com/remedyec/" TargetMode="External" Id="rId64" /><Relationship Type="http://schemas.openxmlformats.org/officeDocument/2006/relationships/hyperlink" Target="https://www.facebook.com/remedyec/" TargetMode="External" Id="rId65" /><Relationship Type="http://schemas.openxmlformats.org/officeDocument/2006/relationships/hyperlink" Target="https://www.google.com/maps/search/?api=1&amp;query=Remedy+Espresso+Cafe+1+Springfield+Lakes+Boulevard+Springfield+Lakes" TargetMode="External" Id="rId66" /><Relationship Type="http://schemas.openxmlformats.org/officeDocument/2006/relationships/hyperlink" Target="https://www.instagram.com/rookaacai" TargetMode="External" Id="rId67" /><Relationship Type="http://schemas.openxmlformats.org/officeDocument/2006/relationships/hyperlink" Target="https://www.instagram.com/rookaacai" TargetMode="External" Id="rId68" /><Relationship Type="http://schemas.openxmlformats.org/officeDocument/2006/relationships/hyperlink" Target="https://www.google.com/maps/search/?api=1&amp;query=Rooka+Acai" TargetMode="External" Id="rId69" /><Relationship Type="http://schemas.openxmlformats.org/officeDocument/2006/relationships/hyperlink" Target="https://www.facebook.com/storybehindthecoffee/" TargetMode="External" Id="rId70" /><Relationship Type="http://schemas.openxmlformats.org/officeDocument/2006/relationships/hyperlink" Target="https://www.facebook.com/storybehindthecoffee/" TargetMode="External" Id="rId71" /><Relationship Type="http://schemas.openxmlformats.org/officeDocument/2006/relationships/hyperlink" Target="https://www.google.com/maps/search/?api=1&amp;query=Story+Behind+The+Coffee+89+Broadwater+Road+Mount+Gravatt+East" TargetMode="External" Id="rId72" /><Relationship Type="http://schemas.openxmlformats.org/officeDocument/2006/relationships/hyperlink" Target="https://www.facebook.com/SundaysCoffeeHouseRocklea/" TargetMode="External" Id="rId73" /><Relationship Type="http://schemas.openxmlformats.org/officeDocument/2006/relationships/hyperlink" Target="https://www.facebook.com/SundaysCoffeeHouseRocklea/" TargetMode="External" Id="rId74" /><Relationship Type="http://schemas.openxmlformats.org/officeDocument/2006/relationships/hyperlink" Target="https://www.google.com/maps/search/?api=1&amp;query=Sundays+Cafe+59+Brooke+Street+Rocklea" TargetMode="External" Id="rId75" /><Relationship Type="http://schemas.openxmlformats.org/officeDocument/2006/relationships/hyperlink" Target="https://www.facebook.com/profile.php?id=100093799565639" TargetMode="External" Id="rId76" /><Relationship Type="http://schemas.openxmlformats.org/officeDocument/2006/relationships/hyperlink" Target="https://www.facebook.com/profile.php?id=100093799565639" TargetMode="External" Id="rId77" /><Relationship Type="http://schemas.openxmlformats.org/officeDocument/2006/relationships/hyperlink" Target="https://www.google.com/maps/search/?api=1&amp;query=The+Brass+116+Manson+Road" TargetMode="External" Id="rId78" /><Relationship Type="http://schemas.openxmlformats.org/officeDocument/2006/relationships/hyperlink" Target="https://www.instagram.com/woolshed.bne/" TargetMode="External" Id="rId79" /><Relationship Type="http://schemas.openxmlformats.org/officeDocument/2006/relationships/hyperlink" Target="https://www.instagram.com/woolshed.bne/" TargetMode="External" Id="rId80" /><Relationship Type="http://schemas.openxmlformats.org/officeDocument/2006/relationships/hyperlink" Target="https://www.google.com/maps/search/?api=1&amp;query=The+Woolshed.+15+Helen+Street" TargetMode="External" Id="rId81" /><Relationship Type="http://schemas.openxmlformats.org/officeDocument/2006/relationships/hyperlink" Target="https://www.instagram.com/vintybean/" TargetMode="External" Id="rId82" /><Relationship Type="http://schemas.openxmlformats.org/officeDocument/2006/relationships/hyperlink" Target="https://www.instagram.com/vintybean/" TargetMode="External" Id="rId83" /><Relationship Type="http://schemas.openxmlformats.org/officeDocument/2006/relationships/hyperlink" Target="https://www.google.com/maps/search/?api=1&amp;query=Vinty+Bean+53+Vernon+Terrace" TargetMode="External" Id="rId84" /><Relationship Type="http://schemas.openxmlformats.org/officeDocument/2006/relationships/hyperlink" Target="https://www.facebook.com/lifecyclebrisbane" TargetMode="External" Id="rId85" /><Relationship Type="http://schemas.openxmlformats.org/officeDocument/2006/relationships/hyperlink" Target="https://www.facebook.com/lifecyclebrisbane" TargetMode="External" Id="rId86" /><Relationship Type="http://schemas.openxmlformats.org/officeDocument/2006/relationships/hyperlink" Target="https://www.google.com/maps/search/?api=1&amp;query=Lifecycle+Garage+%26+Bespoke+10+Gladstone+Road+Highgate+Hill" TargetMode="External" Id="rId87" /><Relationship Type="http://schemas.openxmlformats.org/officeDocument/2006/relationships/hyperlink" Target="https://www.facebook.com/pages/Dinmore-Fruit-Barn/190399727707208" TargetMode="External" Id="rId88" /><Relationship Type="http://schemas.openxmlformats.org/officeDocument/2006/relationships/hyperlink" Target="https://www.facebook.com/pages/Dinmore-Fruit-Barn/190399727707208" TargetMode="External" Id="rId89" /><Relationship Type="http://schemas.openxmlformats.org/officeDocument/2006/relationships/hyperlink" Target="https://www.google.com/maps/search/?api=1&amp;query=Dinmore+Fruit+Barn+25+Brisbane+Road+Dinmore" TargetMode="External" Id="rId90" /><Relationship Type="http://schemas.openxmlformats.org/officeDocument/2006/relationships/hyperlink" Target="https://www.facebook.com/kadisonandlealta/" TargetMode="External" Id="rId91" /><Relationship Type="http://schemas.openxmlformats.org/officeDocument/2006/relationships/hyperlink" Target="https://www.facebook.com/kadisonandlealta/" TargetMode="External" Id="rId92" /><Relationship Type="http://schemas.openxmlformats.org/officeDocument/2006/relationships/hyperlink" Target="https://www.google.com/maps/search/?api=1&amp;query=Kadison+And+Lealta" TargetMode="External" Id="rId93" /><Relationship Type="http://schemas.openxmlformats.org/officeDocument/2006/relationships/hyperlink" Target="https://www.facebook.com/cherishedcreationshandmade/" TargetMode="External" Id="rId94" /><Relationship Type="http://schemas.openxmlformats.org/officeDocument/2006/relationships/hyperlink" Target="https://www.facebook.com/cherishedcreationshandmade/" TargetMode="External" Id="rId95" /><Relationship Type="http://schemas.openxmlformats.org/officeDocument/2006/relationships/hyperlink" Target="https://www.google.com/maps/search/?api=1&amp;query=Cherished+Creations+37+Main+Street+Samford+Village" TargetMode="External" Id="rId96" /><Relationship Type="http://schemas.openxmlformats.org/officeDocument/2006/relationships/hyperlink" Target="https://www.facebook.com/Makers-On-Main-281063809243994/" TargetMode="External" Id="rId97" /><Relationship Type="http://schemas.openxmlformats.org/officeDocument/2006/relationships/hyperlink" Target="https://www.facebook.com/Makers-On-Main-281063809243994/" TargetMode="External" Id="rId98" /><Relationship Type="http://schemas.openxmlformats.org/officeDocument/2006/relationships/hyperlink" Target="https://www.google.com/maps/search/?api=1&amp;query=Makers+on+Main+48+Main+Street+Samford+Village" TargetMode="External" Id="rId99" /><Relationship Type="http://schemas.openxmlformats.org/officeDocument/2006/relationships/hyperlink" Target="https://www.facebook.com/people/Petrie-secondhand-furniture/100057573274067/" TargetMode="External" Id="rId100" /><Relationship Type="http://schemas.openxmlformats.org/officeDocument/2006/relationships/hyperlink" Target="https://petrie-secondhand-furniture.business.site/" TargetMode="External" Id="rId101" /><Relationship Type="http://schemas.openxmlformats.org/officeDocument/2006/relationships/hyperlink" Target="https://www.google.com/maps/search/?api=1&amp;query=Petrie+2nd+Hand+Furniture+11+Dayboro+Road" TargetMode="External" Id="rId102" /><Relationship Type="http://schemas.openxmlformats.org/officeDocument/2006/relationships/hyperlink" Target="https://www.facebook.com/shadydayzgifts/" TargetMode="External" Id="rId103" /><Relationship Type="http://schemas.openxmlformats.org/officeDocument/2006/relationships/hyperlink" Target="https://www.facebook.com/shadydayzgifts/" TargetMode="External" Id="rId104" /><Relationship Type="http://schemas.openxmlformats.org/officeDocument/2006/relationships/hyperlink" Target="https://www.google.com/maps/search/?api=1&amp;query=Shady+Dayz+Gifts+%26+Homewares+40+Main+Street+Samford+Village" TargetMode="External" Id="rId105" /><Relationship Type="http://schemas.openxmlformats.org/officeDocument/2006/relationships/hyperlink" Target="https://www.facebook.com/Canary-Lane-686290855153091/" TargetMode="External" Id="rId106" /><Relationship Type="http://schemas.openxmlformats.org/officeDocument/2006/relationships/hyperlink" Target="https://www.facebook.com/Canary-Lane-686290855153091/" TargetMode="External" Id="rId107" /><Relationship Type="http://schemas.openxmlformats.org/officeDocument/2006/relationships/hyperlink" Target="https://www.google.com/maps/search/?api=1&amp;query=Canary+Lane" TargetMode="External" Id="rId108" /><Relationship Type="http://schemas.openxmlformats.org/officeDocument/2006/relationships/hyperlink" Target="https://www.facebook.com/ascotautomotive4007/" TargetMode="External" Id="rId109" /><Relationship Type="http://schemas.openxmlformats.org/officeDocument/2006/relationships/hyperlink" Target="https://www.facebook.com/ascotautomotive4007/" TargetMode="External" Id="rId110" /><Relationship Type="http://schemas.openxmlformats.org/officeDocument/2006/relationships/hyperlink" Target="https://www.google.com/maps/search/?api=1&amp;query=Ascot+Automotive" TargetMode="External" Id="rId111" /><Relationship Type="http://schemas.openxmlformats.org/officeDocument/2006/relationships/hyperlink" Target="https://www.facebook.com/next.up.5/" TargetMode="External" Id="rId112" /><Relationship Type="http://schemas.openxmlformats.org/officeDocument/2006/relationships/hyperlink" Target="https://www.facebook.com/next.up.5/" TargetMode="External" Id="rId113" /><Relationship Type="http://schemas.openxmlformats.org/officeDocument/2006/relationships/hyperlink" Target="https://www.google.com/maps/search/?api=1&amp;query=Next+Up+Performance+%26+Dyno+Tuning+115+Dollis+Street+Rocklea" TargetMode="External" Id="rId114" /><Relationship Type="http://schemas.openxmlformats.org/officeDocument/2006/relationships/hyperlink" Target="https://www.facebook.com/princeauto111/" TargetMode="External" Id="rId115" /><Relationship Type="http://schemas.openxmlformats.org/officeDocument/2006/relationships/hyperlink" Target="https://www.facebook.com/princeauto111/" TargetMode="External" Id="rId116" /><Relationship Type="http://schemas.openxmlformats.org/officeDocument/2006/relationships/hyperlink" Target="https://www.google.com/maps/search/?api=1&amp;query=Prince+Auto+%26+Tyre+Service+115+Dollis+Street+Rocklea" TargetMode="External" Id="rId117" /><Relationship Type="http://schemas.openxmlformats.org/officeDocument/2006/relationships/hyperlink" Target="https://www.facebook.com/caninestylist.com.au/" TargetMode="External" Id="rId118" /><Relationship Type="http://schemas.openxmlformats.org/officeDocument/2006/relationships/hyperlink" Target="https://www.facebook.com/caninestylist.com.au/" TargetMode="External" Id="rId119" /><Relationship Type="http://schemas.openxmlformats.org/officeDocument/2006/relationships/hyperlink" Target="https://www.google.com/maps/search/?api=1&amp;query=Shear+Designz" TargetMode="External" Id="rId120" /><Relationship Type="http://schemas.openxmlformats.org/officeDocument/2006/relationships/hyperlink" Target="https://www.facebook.com/Blockhouseeatdrink/" TargetMode="External" Id="rId121" /><Relationship Type="http://schemas.openxmlformats.org/officeDocument/2006/relationships/hyperlink" Target="https://www.facebook.com/Blockhouseeatdrink/" TargetMode="External" Id="rId122" /><Relationship Type="http://schemas.openxmlformats.org/officeDocument/2006/relationships/hyperlink" Target="https://www.google.com/maps/search/?api=1&amp;query=Block+House+Coffe+130+Ryans+Road+Nundah" TargetMode="External" Id="rId123" /><Relationship Type="http://schemas.openxmlformats.org/officeDocument/2006/relationships/hyperlink" Target="https://www.instagram.com/caxtonstreetbrewing/?hl=en" TargetMode="External" Id="rId124" /><Relationship Type="http://schemas.openxmlformats.org/officeDocument/2006/relationships/hyperlink" Target="https://www.instagram.com/caxtonstreetbrewing/?hl=en" TargetMode="External" Id="rId125" /><Relationship Type="http://schemas.openxmlformats.org/officeDocument/2006/relationships/hyperlink" Target="https://www.google.com/maps/search/?api=1&amp;query=Caxton+Street+Brewing+Co+52+Petrie+Terrace" TargetMode="External" Id="rId126" /><Relationship Type="http://schemas.openxmlformats.org/officeDocument/2006/relationships/hyperlink" Target="https://www.facebook.com/GracevillePizza/" TargetMode="External" Id="rId127" /><Relationship Type="http://schemas.openxmlformats.org/officeDocument/2006/relationships/hyperlink" Target="https://www.facebook.com/GracevillePizza/" TargetMode="External" Id="rId128" /><Relationship Type="http://schemas.openxmlformats.org/officeDocument/2006/relationships/hyperlink" Target="https://www.google.com/maps/search/?api=1&amp;query=Graceville+Pizza+158+Graceville+Avenue" TargetMode="External" Id="rId129" /><Relationship Type="http://schemas.openxmlformats.org/officeDocument/2006/relationships/hyperlink" Target="https://www.facebook.com/MomijiJapaneseRestaurant/" TargetMode="External" Id="rId130" /><Relationship Type="http://schemas.openxmlformats.org/officeDocument/2006/relationships/hyperlink" Target="https://www.facebook.com/MomijiJapaneseRestaurant/" TargetMode="External" Id="rId131" /><Relationship Type="http://schemas.openxmlformats.org/officeDocument/2006/relationships/hyperlink" Target="https://www.google.com/maps/search/?api=1&amp;query=Momiji+27+Commercial+Road+Newstead" TargetMode="External" Id="rId132" /><Relationship Type="http://schemas.openxmlformats.org/officeDocument/2006/relationships/hyperlink" Target="https://m.facebook.com/61579010138892/" TargetMode="External" Id="rId133" /><Relationship Type="http://schemas.openxmlformats.org/officeDocument/2006/relationships/hyperlink" Target="https://m.facebook.com/61579010138892/" TargetMode="External" Id="rId134" /><Relationship Type="http://schemas.openxmlformats.org/officeDocument/2006/relationships/hyperlink" Target="https://www.google.com/maps/search/?api=1&amp;query=Pimnipa+Thai+Kitchen" TargetMode="External" Id="rId135" /><Relationship Type="http://schemas.openxmlformats.org/officeDocument/2006/relationships/hyperlink" Target="https://www.facebook.com/sushiaruhi/" TargetMode="External" Id="rId136" /><Relationship Type="http://schemas.openxmlformats.org/officeDocument/2006/relationships/hyperlink" Target="https://www.facebook.com/sushiaruhi/" TargetMode="External" Id="rId137" /><Relationship Type="http://schemas.openxmlformats.org/officeDocument/2006/relationships/hyperlink" Target="https://www.google.com/maps/search/?api=1&amp;query=Sushi+Gruhi+10+Lakeview+Promenade+Newport" TargetMode="External" Id="rId138" /><Relationship Type="http://schemas.openxmlformats.org/officeDocument/2006/relationships/hyperlink" Target="https://www.instagram.com/gfreedonuts.uq" TargetMode="External" Id="rId139" /><Relationship Type="http://schemas.openxmlformats.org/officeDocument/2006/relationships/hyperlink" Target="https://www.instagram.com/gfreedonuts.uq" TargetMode="External" Id="rId140" /><Relationship Type="http://schemas.openxmlformats.org/officeDocument/2006/relationships/hyperlink" Target="https://www.google.com/maps/search/?api=1&amp;query=G-Free+Donuts" TargetMode="External" Id="rId141" /><Relationship Type="http://schemas.openxmlformats.org/officeDocument/2006/relationships/hyperlink" Target="https://www.facebook.com/kebabncharcoalplace" TargetMode="External" Id="rId142" /><Relationship Type="http://schemas.openxmlformats.org/officeDocument/2006/relationships/hyperlink" Target="https://www.facebook.com/kebabncharcoalplace" TargetMode="External" Id="rId143" /><Relationship Type="http://schemas.openxmlformats.org/officeDocument/2006/relationships/hyperlink" Target="https://www.google.com/maps/search/?api=1&amp;query=Kebab+%26+Charcoal+Place" TargetMode="External" Id="rId144" /><Relationship Type="http://schemas.openxmlformats.org/officeDocument/2006/relationships/hyperlink" Target="https://www.facebook.com/profile.php?id=100071592963125" TargetMode="External" Id="rId145" /><Relationship Type="http://schemas.openxmlformats.org/officeDocument/2006/relationships/hyperlink" Target="https://www.facebook.com/profile.php?id=100071592963125" TargetMode="External" Id="rId146" /><Relationship Type="http://schemas.openxmlformats.org/officeDocument/2006/relationships/hyperlink" Target="https://www.google.com/maps/search/?api=1&amp;query=Red+Dolphin+Seafoods+17+Margate+Parade" TargetMode="External" Id="rId147" /><Relationship Type="http://schemas.openxmlformats.org/officeDocument/2006/relationships/hyperlink" Target="https://www.facebook.com/yabbeyroad/" TargetMode="External" Id="rId148" /><Relationship Type="http://schemas.openxmlformats.org/officeDocument/2006/relationships/hyperlink" Target="https://www.facebook.com/yabbeyroad/" TargetMode="External" Id="rId149" /><Relationship Type="http://schemas.openxmlformats.org/officeDocument/2006/relationships/hyperlink" Target="https://www.google.com/maps/search/?api=1&amp;query=Yabby+Road+133+Redcliffe+Parade" TargetMode="External" Id="rId150" /><Relationship Type="http://schemas.openxmlformats.org/officeDocument/2006/relationships/hyperlink" Target="https://www.facebook.com/mistercutsbarbershopcairns" TargetMode="External" Id="rId151" /><Relationship Type="http://schemas.openxmlformats.org/officeDocument/2006/relationships/hyperlink" Target="https://www.facebook.com/mistercutsbarbershopcairns" TargetMode="External" Id="rId152" /><Relationship Type="http://schemas.openxmlformats.org/officeDocument/2006/relationships/hyperlink" Target="https://www.google.com/maps/search/?api=1&amp;query=Mister+Cuts+Barber+Shop" TargetMode="External" Id="rId153" /><Relationship Type="http://schemas.openxmlformats.org/officeDocument/2006/relationships/hyperlink" Target="https://www.facebook.com/photo/?fbid=122113102580862715&amp;set=a.122095944620862715" TargetMode="External" Id="rId154" /><Relationship Type="http://schemas.openxmlformats.org/officeDocument/2006/relationships/hyperlink" Target="https://www.facebook.com/photo/?fbid=122113102580862715&amp;set=a.122095944620862715" TargetMode="External" Id="rId155" /><Relationship Type="http://schemas.openxmlformats.org/officeDocument/2006/relationships/hyperlink" Target="https://www.google.com/maps/search/?api=1&amp;query=Mrs+Delicious" TargetMode="External" Id="rId156" /><Relationship Type="http://schemas.openxmlformats.org/officeDocument/2006/relationships/hyperlink" Target="https://www.facebook.com/bbqbrothersaustralia" TargetMode="External" Id="rId157" /><Relationship Type="http://schemas.openxmlformats.org/officeDocument/2006/relationships/hyperlink" Target="https://www.facebook.com/bbqbrothersaustralia" TargetMode="External" Id="rId158" /><Relationship Type="http://schemas.openxmlformats.org/officeDocument/2006/relationships/hyperlink" Target="https://www.google.com/maps/search/?api=1&amp;query=BBQ+Brothers" TargetMode="External" Id="rId159" /><Relationship Type="http://schemas.openxmlformats.org/officeDocument/2006/relationships/hyperlink" Target="https://www.instagram.com/cool_ganba" TargetMode="External" Id="rId160" /><Relationship Type="http://schemas.openxmlformats.org/officeDocument/2006/relationships/hyperlink" Target="https://www.instagram.com/cool_ganba/" TargetMode="External" Id="rId161" /><Relationship Type="http://schemas.openxmlformats.org/officeDocument/2006/relationships/hyperlink" Target="https://www.google.com/maps/search/?api=1&amp;query=Ganbaranba+12-20+Spence+Street" TargetMode="External" Id="rId162" /><Relationship Type="http://schemas.openxmlformats.org/officeDocument/2006/relationships/hyperlink" Target="https://www.facebook.com/Sushi-Rollking-Sheridan-869079169913894/?notify_field=hours&amp;modal=profile_completion" TargetMode="External" Id="rId163" /><Relationship Type="http://schemas.openxmlformats.org/officeDocument/2006/relationships/hyperlink" Target="https://www.facebook.com/Sushi-Rollking-Sheridan-869079169913894/?notify_field=hours&amp;modal=profile_completion" TargetMode="External" Id="rId164" /><Relationship Type="http://schemas.openxmlformats.org/officeDocument/2006/relationships/hyperlink" Target="https://www.google.com/maps/search/?api=1&amp;query=Sushi+Roll+King+129+Sheridan+Street+Cairns+City" TargetMode="External" Id="rId165" /><Relationship Type="http://schemas.openxmlformats.org/officeDocument/2006/relationships/hyperlink" Target="https://www.facebook.com/Arttastecaferobina/" TargetMode="External" Id="rId166" /><Relationship Type="http://schemas.openxmlformats.org/officeDocument/2006/relationships/hyperlink" Target="https://www.facebook.com/Arttastecaferobina/" TargetMode="External" Id="rId167" /><Relationship Type="http://schemas.openxmlformats.org/officeDocument/2006/relationships/hyperlink" Target="https://www.google.com/maps/search/?api=1&amp;query=Art+Taste+Cafe" TargetMode="External" Id="rId168" /><Relationship Type="http://schemas.openxmlformats.org/officeDocument/2006/relationships/hyperlink" Target="https://www.facebook.com/kirrabeachbakery/" TargetMode="External" Id="rId169" /><Relationship Type="http://schemas.openxmlformats.org/officeDocument/2006/relationships/hyperlink" Target="https://www.facebook.com/kirrabeachbakery/" TargetMode="External" Id="rId170" /><Relationship Type="http://schemas.openxmlformats.org/officeDocument/2006/relationships/hyperlink" Target="https://www.google.com/maps/search/?api=1&amp;query=Kirra+Beach+Bakery" TargetMode="External" Id="rId171" /><Relationship Type="http://schemas.openxmlformats.org/officeDocument/2006/relationships/hyperlink" Target="https://www.facebook.com/piepieburleigh" TargetMode="External" Id="rId172" /><Relationship Type="http://schemas.openxmlformats.org/officeDocument/2006/relationships/hyperlink" Target="https://www.facebook.com/piepieburleigh" TargetMode="External" Id="rId173" /><Relationship Type="http://schemas.openxmlformats.org/officeDocument/2006/relationships/hyperlink" Target="https://www.google.com/maps/search/?api=1&amp;query=Pie+Pie" TargetMode="External" Id="rId174" /><Relationship Type="http://schemas.openxmlformats.org/officeDocument/2006/relationships/hyperlink" Target="https://www.facebook.com/varsity4227/" TargetMode="External" Id="rId175" /><Relationship Type="http://schemas.openxmlformats.org/officeDocument/2006/relationships/hyperlink" Target="https://www.facebook.com/varsity4227/" TargetMode="External" Id="rId176" /><Relationship Type="http://schemas.openxmlformats.org/officeDocument/2006/relationships/hyperlink" Target="https://www.google.com/maps/search/?api=1&amp;query=BarberLife" TargetMode="External" Id="rId177" /><Relationship Type="http://schemas.openxmlformats.org/officeDocument/2006/relationships/hyperlink" Target="https://www.facebook.com/DMHPalmBeach/" TargetMode="External" Id="rId178" /><Relationship Type="http://schemas.openxmlformats.org/officeDocument/2006/relationships/hyperlink" Target="https://www.facebook.com/DMHPalmBeach/" TargetMode="External" Id="rId179" /><Relationship Type="http://schemas.openxmlformats.org/officeDocument/2006/relationships/hyperlink" Target="https://www.google.com/maps/search/?api=1&amp;query=DMH+Palm+Beach" TargetMode="External" Id="rId180" /><Relationship Type="http://schemas.openxmlformats.org/officeDocument/2006/relationships/hyperlink" Target="https://www.facebook.com/Firstwave-Hair-Salon-Tugun-1473721922922601/" TargetMode="External" Id="rId181" /><Relationship Type="http://schemas.openxmlformats.org/officeDocument/2006/relationships/hyperlink" Target="https://www.facebook.com/Firstwave-Hair-Salon-Tugun-1473721922922601/" TargetMode="External" Id="rId182" /><Relationship Type="http://schemas.openxmlformats.org/officeDocument/2006/relationships/hyperlink" Target="https://www.google.com/maps/search/?api=1&amp;query=First+Wave+Hair" TargetMode="External" Id="rId183" /><Relationship Type="http://schemas.openxmlformats.org/officeDocument/2006/relationships/hyperlink" Target="https://www.facebook.com/vanitybeautyservices/" TargetMode="External" Id="rId184" /><Relationship Type="http://schemas.openxmlformats.org/officeDocument/2006/relationships/hyperlink" Target="https://www.facebook.com/vanitybeautyservices/" TargetMode="External" Id="rId185" /><Relationship Type="http://schemas.openxmlformats.org/officeDocument/2006/relationships/hyperlink" Target="https://www.google.com/maps/search/?api=1&amp;query=Vanity+Beauty+Services" TargetMode="External" Id="rId186" /><Relationship Type="http://schemas.openxmlformats.org/officeDocument/2006/relationships/hyperlink" Target="https://m.facebook.com/SeaWishShop/" TargetMode="External" Id="rId187" /><Relationship Type="http://schemas.openxmlformats.org/officeDocument/2006/relationships/hyperlink" Target="https://m.facebook.com/SeaWishShop/" TargetMode="External" Id="rId188" /><Relationship Type="http://schemas.openxmlformats.org/officeDocument/2006/relationships/hyperlink" Target="https://www.google.com/maps/search/?api=1&amp;query=Sea+Wish+52+Griffith+Street+Coolangatta" TargetMode="External" Id="rId189" /><Relationship Type="http://schemas.openxmlformats.org/officeDocument/2006/relationships/hyperlink" Target="https://www.facebook.com/burleighbeachkiosk" TargetMode="External" Id="rId190" /><Relationship Type="http://schemas.openxmlformats.org/officeDocument/2006/relationships/hyperlink" Target="https://www.facebook.com/burleighbeachkiosk" TargetMode="External" Id="rId191" /><Relationship Type="http://schemas.openxmlformats.org/officeDocument/2006/relationships/hyperlink" Target="https://www.google.com/maps/search/?api=1&amp;query=Burleigh+Beach+Kiosk" TargetMode="External" Id="rId192" /><Relationship Type="http://schemas.openxmlformats.org/officeDocument/2006/relationships/hyperlink" Target="https://www.facebook.com/Cafetwelve91/" TargetMode="External" Id="rId193" /><Relationship Type="http://schemas.openxmlformats.org/officeDocument/2006/relationships/hyperlink" Target="https://www.facebook.com/Cafetwelve91/" TargetMode="External" Id="rId194" /><Relationship Type="http://schemas.openxmlformats.org/officeDocument/2006/relationships/hyperlink" Target="https://www.google.com/maps/search/?api=1&amp;query=Cafe+1291" TargetMode="External" Id="rId195" /><Relationship Type="http://schemas.openxmlformats.org/officeDocument/2006/relationships/hyperlink" Target="https://www.facebook.com/cafekirra/" TargetMode="External" Id="rId196" /><Relationship Type="http://schemas.openxmlformats.org/officeDocument/2006/relationships/hyperlink" Target="https://www.facebook.com/cafekirra/" TargetMode="External" Id="rId197" /><Relationship Type="http://schemas.openxmlformats.org/officeDocument/2006/relationships/hyperlink" Target="https://www.google.com/maps/search/?api=1&amp;query=Cafe+Kirra" TargetMode="External" Id="rId198" /><Relationship Type="http://schemas.openxmlformats.org/officeDocument/2006/relationships/hyperlink" Target="https://www.facebook.com/Elephant-Grounds-552246915107742/" TargetMode="External" Id="rId199" /><Relationship Type="http://schemas.openxmlformats.org/officeDocument/2006/relationships/hyperlink" Target="https://www.facebook.com/Elephant-Grounds-552246915107742/" TargetMode="External" Id="rId200" /><Relationship Type="http://schemas.openxmlformats.org/officeDocument/2006/relationships/hyperlink" Target="https://www.google.com/maps/search/?api=1&amp;query=Elephant+Grounds+Cafe" TargetMode="External" Id="rId201" /><Relationship Type="http://schemas.openxmlformats.org/officeDocument/2006/relationships/hyperlink" Target="https://www.instagram.com/gooddaycoffee/?hl=en" TargetMode="External" Id="rId202" /><Relationship Type="http://schemas.openxmlformats.org/officeDocument/2006/relationships/hyperlink" Target="https://www.instagram.com/gooddaycoffee/?hl=en" TargetMode="External" Id="rId203" /><Relationship Type="http://schemas.openxmlformats.org/officeDocument/2006/relationships/hyperlink" Target="https://www.google.com/maps/search/?api=1&amp;query=Good+Day+Coffee" TargetMode="External" Id="rId204" /><Relationship Type="http://schemas.openxmlformats.org/officeDocument/2006/relationships/hyperlink" Target="https://www.facebook.com/Los-Vegos-Coolangatta-853780404959832/" TargetMode="External" Id="rId205" /><Relationship Type="http://schemas.openxmlformats.org/officeDocument/2006/relationships/hyperlink" Target="https://www.facebook.com/Los-Vegos-Coolangatta-853780404959832/" TargetMode="External" Id="rId206" /><Relationship Type="http://schemas.openxmlformats.org/officeDocument/2006/relationships/hyperlink" Target="https://www.google.com/maps/search/?api=1&amp;query=Los+Vegos" TargetMode="External" Id="rId207" /><Relationship Type="http://schemas.openxmlformats.org/officeDocument/2006/relationships/hyperlink" Target="https://www.facebook.com/Mokacinos/" TargetMode="External" Id="rId208" /><Relationship Type="http://schemas.openxmlformats.org/officeDocument/2006/relationships/hyperlink" Target="https://www.facebook.com/Mokacinos/" TargetMode="External" Id="rId209" /><Relationship Type="http://schemas.openxmlformats.org/officeDocument/2006/relationships/hyperlink" Target="https://www.google.com/maps/search/?api=1&amp;query=Mokacino%27s+Cafe" TargetMode="External" Id="rId210" /><Relationship Type="http://schemas.openxmlformats.org/officeDocument/2006/relationships/hyperlink" Target="https://www.facebook.com/oldparisvarsity/" TargetMode="External" Id="rId211" /><Relationship Type="http://schemas.openxmlformats.org/officeDocument/2006/relationships/hyperlink" Target="https://www.facebook.com/oldparisvarsity/" TargetMode="External" Id="rId212" /><Relationship Type="http://schemas.openxmlformats.org/officeDocument/2006/relationships/hyperlink" Target="https://www.google.com/maps/search/?api=1&amp;query=Old+Paris+Cafe" TargetMode="External" Id="rId213" /><Relationship Type="http://schemas.openxmlformats.org/officeDocument/2006/relationships/hyperlink" Target="https://www.facebook.com/seawaykioskandjetty/" TargetMode="External" Id="rId214" /><Relationship Type="http://schemas.openxmlformats.org/officeDocument/2006/relationships/hyperlink" Target="https://www.facebook.com/seawaykioskandjetty/" TargetMode="External" Id="rId215" /><Relationship Type="http://schemas.openxmlformats.org/officeDocument/2006/relationships/hyperlink" Target="https://www.google.com/maps/search/?api=1&amp;query=Seaway+Kiosk" TargetMode="External" Id="rId216" /><Relationship Type="http://schemas.openxmlformats.org/officeDocument/2006/relationships/hyperlink" Target="https://www.facebook.com/Sisterhood-Coffee-2763461207004085/" TargetMode="External" Id="rId217" /><Relationship Type="http://schemas.openxmlformats.org/officeDocument/2006/relationships/hyperlink" Target="https://www.facebook.com/Sisterhood-Coffee-2763461207004085/" TargetMode="External" Id="rId218" /><Relationship Type="http://schemas.openxmlformats.org/officeDocument/2006/relationships/hyperlink" Target="https://www.google.com/maps/search/?api=1&amp;query=Sisterhood+Coffee" TargetMode="External" Id="rId219" /><Relationship Type="http://schemas.openxmlformats.org/officeDocument/2006/relationships/hyperlink" Target="https://www.facebook.com/The-Lott-Cafe-Robina-1803600919948866/" TargetMode="External" Id="rId220" /><Relationship Type="http://schemas.openxmlformats.org/officeDocument/2006/relationships/hyperlink" Target="https://www.facebook.com/The-Lott-Cafe-Robina-1803600919948866/" TargetMode="External" Id="rId221" /><Relationship Type="http://schemas.openxmlformats.org/officeDocument/2006/relationships/hyperlink" Target="https://www.google.com/maps/search/?api=1&amp;query=The+Lott+Cafe" TargetMode="External" Id="rId222" /><Relationship Type="http://schemas.openxmlformats.org/officeDocument/2006/relationships/hyperlink" Target="https://www.facebook.com/West-Brew-Coffee-106717397834618/" TargetMode="External" Id="rId223" /><Relationship Type="http://schemas.openxmlformats.org/officeDocument/2006/relationships/hyperlink" Target="https://www.facebook.com/West-Brew-Coffee-106717397834618/" TargetMode="External" Id="rId224" /><Relationship Type="http://schemas.openxmlformats.org/officeDocument/2006/relationships/hyperlink" Target="https://www.google.com/maps/search/?api=1&amp;query=West+Brew+Coffee" TargetMode="External" Id="rId225" /><Relationship Type="http://schemas.openxmlformats.org/officeDocument/2006/relationships/hyperlink" Target="https://www.facebook.com/TugunVets/" TargetMode="External" Id="rId226" /><Relationship Type="http://schemas.openxmlformats.org/officeDocument/2006/relationships/hyperlink" Target="https://www.facebook.com/TugunVets/" TargetMode="External" Id="rId227" /><Relationship Type="http://schemas.openxmlformats.org/officeDocument/2006/relationships/hyperlink" Target="https://www.google.com/maps/search/?api=1&amp;query=Tugun+Veterinary+Surgery" TargetMode="External" Id="rId228" /><Relationship Type="http://schemas.openxmlformats.org/officeDocument/2006/relationships/hyperlink" Target="https://www.facebook.com/Big-Chief-Burgers-Coolangatta-182275748504697/" TargetMode="External" Id="rId229" /><Relationship Type="http://schemas.openxmlformats.org/officeDocument/2006/relationships/hyperlink" Target="https://www.facebook.com/Big-Chief-Burgers-Coolangatta-182275748504697/" TargetMode="External" Id="rId230" /><Relationship Type="http://schemas.openxmlformats.org/officeDocument/2006/relationships/hyperlink" Target="https://www.google.com/maps/search/?api=1&amp;query=Big+Chief" TargetMode="External" Id="rId231" /><Relationship Type="http://schemas.openxmlformats.org/officeDocument/2006/relationships/hyperlink" Target="https://www.facebook.com/pages/Flying-Chicken/2115204535392038" TargetMode="External" Id="rId232" /><Relationship Type="http://schemas.openxmlformats.org/officeDocument/2006/relationships/hyperlink" Target="https://www.facebook.com/pages/Flying-Chicken/2115204535392038" TargetMode="External" Id="rId233" /><Relationship Type="http://schemas.openxmlformats.org/officeDocument/2006/relationships/hyperlink" Target="https://www.google.com/maps/search/?api=1&amp;query=Flying+Chicken" TargetMode="External" Id="rId234" /><Relationship Type="http://schemas.openxmlformats.org/officeDocument/2006/relationships/hyperlink" Target="https://www.facebook.com/jjsongoldenfour/" TargetMode="External" Id="rId235" /><Relationship Type="http://schemas.openxmlformats.org/officeDocument/2006/relationships/hyperlink" Target="https://www.facebook.com/jjsongoldenfour/" TargetMode="External" Id="rId236" /><Relationship Type="http://schemas.openxmlformats.org/officeDocument/2006/relationships/hyperlink" Target="https://www.google.com/maps/search/?api=1&amp;query=JJ%27s+on+Golden+Four" TargetMode="External" Id="rId237" /><Relationship Type="http://schemas.openxmlformats.org/officeDocument/2006/relationships/hyperlink" Target="https://www.facebook.com/bottletreepub/" TargetMode="External" Id="rId238" /><Relationship Type="http://schemas.openxmlformats.org/officeDocument/2006/relationships/hyperlink" Target="https://www.facebook.com/bottletreepub/" TargetMode="External" Id="rId239" /><Relationship Type="http://schemas.openxmlformats.org/officeDocument/2006/relationships/hyperlink" Target="https://www.google.com/maps/search/?api=1&amp;query=Bottletree+Hotel+Glamorgan+Vale+664+Glamorgan+Vale+Road+Glamorgan+Vale" TargetMode="External" Id="rId240" /><Relationship Type="http://schemas.openxmlformats.org/officeDocument/2006/relationships/hyperlink" Target="https://www.facebook.com/louisboovalfruitmarket/" TargetMode="External" Id="rId241" /><Relationship Type="http://schemas.openxmlformats.org/officeDocument/2006/relationships/hyperlink" Target="https://www.facebook.com/louisboovalfruitmarket/" TargetMode="External" Id="rId242" /><Relationship Type="http://schemas.openxmlformats.org/officeDocument/2006/relationships/hyperlink" Target="https://www.google.com/maps/search/?api=1&amp;query=Loui%27s+Fruit+Market+116+Brisbane+Road+Booval" TargetMode="External" Id="rId243" /><Relationship Type="http://schemas.openxmlformats.org/officeDocument/2006/relationships/hyperlink" Target="https://www.facebook.com/boovalseafood/" TargetMode="External" Id="rId244" /><Relationship Type="http://schemas.openxmlformats.org/officeDocument/2006/relationships/hyperlink" Target="https://www.facebook.com/boovalseafood/" TargetMode="External" Id="rId245" /><Relationship Type="http://schemas.openxmlformats.org/officeDocument/2006/relationships/hyperlink" Target="https://www.google.com/maps/search/?api=1&amp;query=Booval+Seafood+73+Blackstone+Road" TargetMode="External" Id="rId246" /><Relationship Type="http://schemas.openxmlformats.org/officeDocument/2006/relationships/hyperlink" Target="https://www.facebook.com/GrazingGoatCafe/" TargetMode="External" Id="rId247" /><Relationship Type="http://schemas.openxmlformats.org/officeDocument/2006/relationships/hyperlink" Target="https://www.facebook.com/GrazingGoatCafe/" TargetMode="External" Id="rId248" /><Relationship Type="http://schemas.openxmlformats.org/officeDocument/2006/relationships/hyperlink" Target="https://www.google.com/maps/search/?api=1&amp;query=The+Grazing+Goat+Cafe" TargetMode="External" Id="rId249" /><Relationship Type="http://schemas.openxmlformats.org/officeDocument/2006/relationships/hyperlink" Target="https://www.facebook.com/rarebarandgrillmackay" TargetMode="External" Id="rId250" /><Relationship Type="http://schemas.openxmlformats.org/officeDocument/2006/relationships/hyperlink" Target="https://www.facebook.com/rarebarandgrillmackay" TargetMode="External" Id="rId251" /><Relationship Type="http://schemas.openxmlformats.org/officeDocument/2006/relationships/hyperlink" Target="https://www.google.com/maps/search/?api=1&amp;query=RARE+Bar+%26+Grill" TargetMode="External" Id="rId252" /><Relationship Type="http://schemas.openxmlformats.org/officeDocument/2006/relationships/hyperlink" Target="https://www.facebook.com/URokHairMakeupDesign/" TargetMode="External" Id="rId253" /><Relationship Type="http://schemas.openxmlformats.org/officeDocument/2006/relationships/hyperlink" Target="https://www.facebook.com/URokHairMakeupDesign/" TargetMode="External" Id="rId254" /><Relationship Type="http://schemas.openxmlformats.org/officeDocument/2006/relationships/hyperlink" Target="https://www.google.com/maps/search/?api=1&amp;query=U+Rok+Hair+%26+Beauty+7+Agnew+Avenue" TargetMode="External" Id="rId255" /><Relationship Type="http://schemas.openxmlformats.org/officeDocument/2006/relationships/hyperlink" Target="https://www.facebook.com/coffeesocietyrockhampton/" TargetMode="External" Id="rId256" /><Relationship Type="http://schemas.openxmlformats.org/officeDocument/2006/relationships/hyperlink" Target="https://www.facebook.com/coffeesocietyrockhampton/" TargetMode="External" Id="rId257" /><Relationship Type="http://schemas.openxmlformats.org/officeDocument/2006/relationships/hyperlink" Target="https://www.google.com/maps/search/?api=1&amp;query=Coffee+Society+126+East+Street" TargetMode="External" Id="rId258" /><Relationship Type="http://schemas.openxmlformats.org/officeDocument/2006/relationships/hyperlink" Target="https://www.facebook.com/rockhamptonfitness.centre/" TargetMode="External" Id="rId259" /><Relationship Type="http://schemas.openxmlformats.org/officeDocument/2006/relationships/hyperlink" Target="https://www.facebook.com/rockhamptonfitness.centre/" TargetMode="External" Id="rId260" /><Relationship Type="http://schemas.openxmlformats.org/officeDocument/2006/relationships/hyperlink" Target="https://www.google.com/maps/search/?api=1&amp;query=Rockhampton+Fitness+Centre+205+East+Street" TargetMode="External" Id="rId261" /><Relationship Type="http://schemas.openxmlformats.org/officeDocument/2006/relationships/hyperlink" Target="https://www.facebook.com/capricorniaremedialmassage" TargetMode="External" Id="rId262" /><Relationship Type="http://schemas.openxmlformats.org/officeDocument/2006/relationships/hyperlink" Target="https://capricorniaremedialmassagerockhampton.gettimely.com/" TargetMode="External" Id="rId263" /><Relationship Type="http://schemas.openxmlformats.org/officeDocument/2006/relationships/hyperlink" Target="https://www.google.com/maps/search/?api=1&amp;query=Capricornia+Remedial+Massage+31+Berserker+Street" TargetMode="External" Id="rId264" /><Relationship Type="http://schemas.openxmlformats.org/officeDocument/2006/relationships/hyperlink" Target="https://facebook.com/parklandsbakery/" TargetMode="External" Id="rId265" /><Relationship Type="http://schemas.openxmlformats.org/officeDocument/2006/relationships/hyperlink" Target="https://facebook.com/parklandsbakery/" TargetMode="External" Id="rId266" /><Relationship Type="http://schemas.openxmlformats.org/officeDocument/2006/relationships/hyperlink" Target="https://www.google.com/maps/search/?api=1&amp;query=Parklands+Bakery+36+Village+Way+Little+Mountain" TargetMode="External" Id="rId267" /><Relationship Type="http://schemas.openxmlformats.org/officeDocument/2006/relationships/hyperlink" Target="https://www.facebook.com/petesvillagebakery" TargetMode="External" Id="rId268" /><Relationship Type="http://schemas.openxmlformats.org/officeDocument/2006/relationships/hyperlink" Target="https://www.facebook.com/petesvillagebakery" TargetMode="External" Id="rId269" /><Relationship Type="http://schemas.openxmlformats.org/officeDocument/2006/relationships/hyperlink" Target="https://www.google.com/maps/search/?api=1&amp;query=Pete%27s+Village+Bakery+5+Farrell+Street+Yandina" TargetMode="External" Id="rId270" /><Relationship Type="http://schemas.openxmlformats.org/officeDocument/2006/relationships/hyperlink" Target="https://m.facebook.com/@hairstudiomooloolabah" TargetMode="External" Id="rId271" /><Relationship Type="http://schemas.openxmlformats.org/officeDocument/2006/relationships/hyperlink" Target="https://m.facebook.com/@hairstudiomooloolabah" TargetMode="External" Id="rId272" /><Relationship Type="http://schemas.openxmlformats.org/officeDocument/2006/relationships/hyperlink" Target="https://www.google.com/maps/search/?api=1&amp;query=Hair+at+Mooloolaba+2+Brisbane+Road+Mooloolaba" TargetMode="External" Id="rId273" /><Relationship Type="http://schemas.openxmlformats.org/officeDocument/2006/relationships/hyperlink" Target="https://www.facebook.com/Ocean-Spa-Nails-Currimundi-100394445284468/" TargetMode="External" Id="rId274" /><Relationship Type="http://schemas.openxmlformats.org/officeDocument/2006/relationships/hyperlink" Target="https://www.facebook.com/Ocean-Spa-Nails-Currimundi-100394445284468/" TargetMode="External" Id="rId275" /><Relationship Type="http://schemas.openxmlformats.org/officeDocument/2006/relationships/hyperlink" Target="https://www.google.com/maps/search/?api=1&amp;query=Ocean+Spa+Nails+750+Nicklin+Way+Currimundi" TargetMode="External" Id="rId276" /><Relationship Type="http://schemas.openxmlformats.org/officeDocument/2006/relationships/hyperlink" Target="https://www.facebook.com/THESUSHI79CURRIMUNDI/" TargetMode="External" Id="rId277" /><Relationship Type="http://schemas.openxmlformats.org/officeDocument/2006/relationships/hyperlink" Target="https://www.facebook.com/THESUSHI79CURRIMUNDI/" TargetMode="External" Id="rId278" /><Relationship Type="http://schemas.openxmlformats.org/officeDocument/2006/relationships/hyperlink" Target="https://www.google.com/maps/search/?api=1&amp;query=Sushi+79+750+Nicklin+Way+Currimundi" TargetMode="External" Id="rId279" /><Relationship Type="http://schemas.openxmlformats.org/officeDocument/2006/relationships/hyperlink" Target="https://www.facebook.com/Wok-at-Li-noodles-595307274287896/" TargetMode="External" Id="rId280" /><Relationship Type="http://schemas.openxmlformats.org/officeDocument/2006/relationships/hyperlink" Target="https://www.facebook.com/Wok-at-Li-noodles-595307274287896/" TargetMode="External" Id="rId281" /><Relationship Type="http://schemas.openxmlformats.org/officeDocument/2006/relationships/hyperlink" Target="https://www.google.com/maps/search/?api=1&amp;query=Wok%40Li+Noodles+750+Nicklin+Way+Currimundi" TargetMode="External" Id="rId282" /><Relationship Type="http://schemas.openxmlformats.org/officeDocument/2006/relationships/hyperlink" Target="https://www.facebook.com/clancys.beachside.takeaway/" TargetMode="External" Id="rId283" /><Relationship Type="http://schemas.openxmlformats.org/officeDocument/2006/relationships/hyperlink" Target="https://www.facebook.com/clancys.beachside.takeaway/" TargetMode="External" Id="rId284" /><Relationship Type="http://schemas.openxmlformats.org/officeDocument/2006/relationships/hyperlink" Target="https://www.google.com/maps/search/?api=1&amp;query=Clancy%27s+Beachside+Takeaway+8A+Beerburrum+Street" TargetMode="External" Id="rId285" /><Relationship Type="http://schemas.openxmlformats.org/officeDocument/2006/relationships/hyperlink" Target="https://www.facebook.com/australianhoteltownsville" TargetMode="External" Id="rId286" /><Relationship Type="http://schemas.openxmlformats.org/officeDocument/2006/relationships/hyperlink" Target="https://www.facebook.com/australianhoteltownsville" TargetMode="External" Id="rId287" /><Relationship Type="http://schemas.openxmlformats.org/officeDocument/2006/relationships/hyperlink" Target="https://www.google.com/maps/search/?api=1&amp;query=Australian+Hotel" TargetMode="External" Id="rId288" /><Relationship Type="http://schemas.openxmlformats.org/officeDocument/2006/relationships/hyperlink" Target="https://www.facebook.com/pages/category/Local-Business/Gentleman-Jones-235990806595718" TargetMode="External" Id="rId289" /><Relationship Type="http://schemas.openxmlformats.org/officeDocument/2006/relationships/hyperlink" Target="https://www.facebook.com/pages/category/Local-Business/Gentleman-Jones-235990806595718" TargetMode="External" Id="rId290" /><Relationship Type="http://schemas.openxmlformats.org/officeDocument/2006/relationships/hyperlink" Target="https://www.google.com/maps/search/?api=1&amp;query=Gentleman+Jones+Barber+Shop" TargetMode="External" Id="rId291" /><Relationship Type="http://schemas.openxmlformats.org/officeDocument/2006/relationships/hyperlink" Target="https://www.facebook.com/shecreativehair.com.au/" TargetMode="External" Id="rId292" /><Relationship Type="http://schemas.openxmlformats.org/officeDocument/2006/relationships/hyperlink" Target="https://www.facebook.com/shecreativehair.com.au/" TargetMode="External" Id="rId293" /><Relationship Type="http://schemas.openxmlformats.org/officeDocument/2006/relationships/hyperlink" Target="https://www.google.com/maps/search/?api=1&amp;query=She+Creative+Hair" TargetMode="External" Id="rId294" /><Relationship Type="http://schemas.openxmlformats.org/officeDocument/2006/relationships/hyperlink" Target="https://www.facebook.com/Alt-Brew-1325275994229457" TargetMode="External" Id="rId295" /><Relationship Type="http://schemas.openxmlformats.org/officeDocument/2006/relationships/hyperlink" Target="https://www.facebook.com/Alt-Brew-1325275994229457" TargetMode="External" Id="rId296" /><Relationship Type="http://schemas.openxmlformats.org/officeDocument/2006/relationships/hyperlink" Target="https://www.google.com/maps/search/?api=1&amp;query=Alt+Brew" TargetMode="External" Id="rId297" /><Relationship Type="http://schemas.openxmlformats.org/officeDocument/2006/relationships/hyperlink" Target="https://www.facebook.com/theoldrailwaycafe" TargetMode="External" Id="rId298" /><Relationship Type="http://schemas.openxmlformats.org/officeDocument/2006/relationships/hyperlink" Target="https://www.facebook.com/theoldrailwaycafe" TargetMode="External" Id="rId299" /><Relationship Type="http://schemas.openxmlformats.org/officeDocument/2006/relationships/hyperlink" Target="https://www.google.com/maps/search/?api=1&amp;query=Old+Railway+Cafe" TargetMode="External" Id="rId300" /><Relationship Type="http://schemas.openxmlformats.org/officeDocument/2006/relationships/hyperlink" Target="https://www.facebook.com/The-Spirited-Goat-475954869187116" TargetMode="External" Id="rId301" /><Relationship Type="http://schemas.openxmlformats.org/officeDocument/2006/relationships/hyperlink" Target="https://www.facebook.com/The-Spirited-Goat-475954869187116" TargetMode="External" Id="rId302" /><Relationship Type="http://schemas.openxmlformats.org/officeDocument/2006/relationships/hyperlink" Target="https://www.google.com/maps/search/?api=1&amp;query=The+Spirited+Goat" TargetMode="External" Id="rId303" /><Relationship Type="http://schemas.openxmlformats.org/officeDocument/2006/relationships/hyperlink" Target="https://www.facebook.com/ottosmarketprecinct" TargetMode="External" Id="rId304" /><Relationship Type="http://schemas.openxmlformats.org/officeDocument/2006/relationships/hyperlink" Target="https://www.facebook.com/ottosmarketprecinct" TargetMode="External" Id="rId305" /><Relationship Type="http://schemas.openxmlformats.org/officeDocument/2006/relationships/hyperlink" Target="https://www.google.com/maps/search/?api=1&amp;query=Precinct+Fine+Meats" TargetMode="External" Id="rId306" /><Relationship Type="http://schemas.openxmlformats.org/officeDocument/2006/relationships/hyperlink" Target="https://www.facebook.com/NCSAutomotiveTownsville/" TargetMode="External" Id="rId307" /><Relationship Type="http://schemas.openxmlformats.org/officeDocument/2006/relationships/hyperlink" Target="https://www.facebook.com/NCSAutomotiveTownsville/" TargetMode="External" Id="rId308" /><Relationship Type="http://schemas.openxmlformats.org/officeDocument/2006/relationships/hyperlink" Target="https://www.google.com/maps/search/?api=1&amp;query=NCS+Automotive+Townsville" TargetMode="External" Id="rId309" /><Relationship Type="http://schemas.openxmlformats.org/officeDocument/2006/relationships/hyperlink" Target="https://www.facebook.com/AroiBangkokThaiRestaurant" TargetMode="External" Id="rId310" /><Relationship Type="http://schemas.openxmlformats.org/officeDocument/2006/relationships/hyperlink" Target="https://www.facebook.com/AroiBangkokThaiRestaurant" TargetMode="External" Id="rId311" /><Relationship Type="http://schemas.openxmlformats.org/officeDocument/2006/relationships/hyperlink" Target="https://www.google.com/maps/search/?api=1&amp;query=Aroi+Bangkok+Thai+Restaurant" TargetMode="External" Id="rId312" /><Relationship Type="http://schemas.openxmlformats.org/officeDocument/2006/relationships/hyperlink" Target="https://www.instagram.com/lotussaigonts" TargetMode="External" Id="rId313" /><Relationship Type="http://schemas.openxmlformats.org/officeDocument/2006/relationships/hyperlink" Target="https://www.facebook.com/lotussaigontsv" TargetMode="External" Id="rId314" /><Relationship Type="http://schemas.openxmlformats.org/officeDocument/2006/relationships/hyperlink" Target="https://lotus-saigon.business.site/" TargetMode="External" Id="rId315" /><Relationship Type="http://schemas.openxmlformats.org/officeDocument/2006/relationships/hyperlink" Target="https://www.google.com/maps/search/?api=1&amp;query=Lotus+Saigon+42+Gregory+Street" TargetMode="External" Id="rId316" /><Relationship Type="http://schemas.openxmlformats.org/officeDocument/2006/relationships/hyperlink" Target="https://www.facebook.com/WHKindy/" TargetMode="External" Id="rId317" /><Relationship Type="http://schemas.openxmlformats.org/officeDocument/2006/relationships/hyperlink" Target="https://www.wavellheightskindergarten.com.au" TargetMode="External" Id="rId318" /><Relationship Type="http://schemas.openxmlformats.org/officeDocument/2006/relationships/hyperlink" Target="https://www.google.com/maps/search/?api=1&amp;query=Wavell+Heights+Kindergarten+175+Edinburgh+Castle+Road+Wavell+Heights" TargetMode="External" Id="rId319" /><Relationship Type="http://schemas.openxmlformats.org/officeDocument/2006/relationships/hyperlink" Target="https://www.instagram.com/duttonparkfamilydental" TargetMode="External" Id="rId320" /><Relationship Type="http://schemas.openxmlformats.org/officeDocument/2006/relationships/hyperlink" Target="https://www.duttonparkfamilydental.com.au/" TargetMode="External" Id="rId321" /><Relationship Type="http://schemas.openxmlformats.org/officeDocument/2006/relationships/hyperlink" Target="https://www.google.com/maps/search/?api=1&amp;query=Dutton+Park+Family+Dental" TargetMode="External" Id="rId322" /><Relationship Type="http://schemas.openxmlformats.org/officeDocument/2006/relationships/hyperlink" Target="https://www.facebook.com/oxleynursery/" TargetMode="External" Id="rId323" /><Relationship Type="http://schemas.openxmlformats.org/officeDocument/2006/relationships/hyperlink" Target="https://www.oxleynursery.com.au/" TargetMode="External" Id="rId324" /><Relationship Type="http://schemas.openxmlformats.org/officeDocument/2006/relationships/hyperlink" Target="https://www.google.com/maps/search/?api=1&amp;query=Oxley+Nursery+174+Dowding+Street+Oxley" TargetMode="External" Id="rId325" /><Relationship Type="http://schemas.openxmlformats.org/officeDocument/2006/relationships/hyperlink" Target="https://www.instagram.com/maggiemaybne" TargetMode="External" Id="rId326" /><Relationship Type="http://schemas.openxmlformats.org/officeDocument/2006/relationships/hyperlink" Target="https://www.facebook.com/maggiemaybne" TargetMode="External" Id="rId327" /><Relationship Type="http://schemas.openxmlformats.org/officeDocument/2006/relationships/hyperlink" Target="https://maggiemaybne.com.au/" TargetMode="External" Id="rId328" /><Relationship Type="http://schemas.openxmlformats.org/officeDocument/2006/relationships/hyperlink" Target="https://www.google.com/maps/search/?api=1&amp;query=Supperclub+Maggie+May+84+Longland+Street+Newstead" TargetMode="External" Id="rId329" /><Relationship Type="http://schemas.openxmlformats.org/officeDocument/2006/relationships/hyperlink" Target="https://www.facebook.com/FlourOfLife" TargetMode="External" Id="rId330" /><Relationship Type="http://schemas.openxmlformats.org/officeDocument/2006/relationships/hyperlink" Target="https://flouroflifebakery.com.au" TargetMode="External" Id="rId331" /><Relationship Type="http://schemas.openxmlformats.org/officeDocument/2006/relationships/hyperlink" Target="https://www.google.com/maps/search/?api=1&amp;query=Flour+of+Life+Bakery+22-32+Siganto+Drive+Helensvale" TargetMode="External" Id="rId332" /><Relationship Type="http://schemas.openxmlformats.org/officeDocument/2006/relationships/hyperlink" Target="https://www.facebook.com/beancafe2016/" TargetMode="External" Id="rId333" /><Relationship Type="http://schemas.openxmlformats.org/officeDocument/2006/relationships/hyperlink" Target="https://naughtybeancafe.com.au/" TargetMode="External" Id="rId334" /><Relationship Type="http://schemas.openxmlformats.org/officeDocument/2006/relationships/hyperlink" Target="https://www.google.com/maps/search/?api=1&amp;query=Naughty+Bean+Cafe+16+Township+Drive+Burleigh+Heads" TargetMode="External" Id="rId335" /><Relationship Type="http://schemas.openxmlformats.org/officeDocument/2006/relationships/hyperlink" Target="https://www.facebook.com/thewitchhotel/" TargetMode="External" Id="rId336" /><Relationship Type="http://schemas.openxmlformats.org/officeDocument/2006/relationships/hyperlink" Target="https://www.witchhotel.com/" TargetMode="External" Id="rId337" /><Relationship Type="http://schemas.openxmlformats.org/officeDocument/2006/relationships/hyperlink" Target="https://www.google.com/maps/search/?api=1&amp;query=The+Witch+Hotel+254+Brisbane+Street" TargetMode="External" Id="rId338" /><Relationship Type="http://schemas.openxmlformats.org/officeDocument/2006/relationships/hyperlink" Target="https://www.facebook.com/westbrooktavern" TargetMode="External" Id="rId339" /><Relationship Type="http://schemas.openxmlformats.org/officeDocument/2006/relationships/hyperlink" Target="https://www.westbrooktavern.com.au/" TargetMode="External" Id="rId340" /><Relationship Type="http://schemas.openxmlformats.org/officeDocument/2006/relationships/hyperlink" Target="https://www.google.com/maps/search/?api=1&amp;query=Westbrook+Tavern+68-78+Main+Street+Westbrook" TargetMode="External" Id="rId341" /><Relationship Type="http://schemas.openxmlformats.org/officeDocument/2006/relationships/hyperlink" Target="https://www.instagram.com/blacktempletattootsv" TargetMode="External" Id="rId342" /><Relationship Type="http://schemas.openxmlformats.org/officeDocument/2006/relationships/hyperlink" Target="https://www.facebook.com/blacktempletattootownsville" TargetMode="External" Id="rId343" /><Relationship Type="http://schemas.openxmlformats.org/officeDocument/2006/relationships/hyperlink" Target="https://blacktempletattoo.com.au" TargetMode="External" Id="rId344" /><Relationship Type="http://schemas.openxmlformats.org/officeDocument/2006/relationships/hyperlink" Target="https://www.google.com/maps/search/?api=1&amp;query=Black+Temple" TargetMode="External" Id="rId345" /><Relationship Type="http://schemas.openxmlformats.org/officeDocument/2006/relationships/hyperlink" Target="https://www.facebook.com/ColonialCourtHolidayApartements" TargetMode="External" Id="rId346" /><Relationship Type="http://schemas.openxmlformats.org/officeDocument/2006/relationships/hyperlink" Target="https://www.google.com/maps/search/?api=1&amp;query=Colonial+Court+Holiday+Apartments" TargetMode="External" Id="rId347" /><Relationship Type="http://schemas.openxmlformats.org/officeDocument/2006/relationships/hyperlink" Target="https://www.facebook.com/100065184004602" TargetMode="External" Id="rId348" /><Relationship Type="http://schemas.openxmlformats.org/officeDocument/2006/relationships/hyperlink" Target="https://www.google.com/maps/search/?api=1&amp;query=Artisan+Bakehouse+121+Proserpine+Shute+Harbour+Road" TargetMode="External" Id="rId349" /><Relationship Type="http://schemas.openxmlformats.org/officeDocument/2006/relationships/hyperlink" Target="https://www.instagram.com/bohocafe_airlie" TargetMode="External" Id="rId350" /><Relationship Type="http://schemas.openxmlformats.org/officeDocument/2006/relationships/hyperlink" Target="https://www.google.com/maps/search/?api=1&amp;query=BOHO+Cafe+Shingley+Drive" TargetMode="External" Id="rId351" /><Relationship Type="http://schemas.openxmlformats.org/officeDocument/2006/relationships/hyperlink" Target="https://www.instagram.com/leshack_airliebeach" TargetMode="External" Id="rId352" /><Relationship Type="http://schemas.openxmlformats.org/officeDocument/2006/relationships/hyperlink" Target="https://www.facebook.com/Le-SHACK-Airlie-Beach-113645703851003" TargetMode="External" Id="rId353" /><Relationship Type="http://schemas.openxmlformats.org/officeDocument/2006/relationships/hyperlink" Target="https://www.google.com/maps/search/?api=1&amp;query=Le+Shack+Cafe+356+Shute+Harbour+Road" TargetMode="External" Id="rId354" /><Relationship Type="http://schemas.openxmlformats.org/officeDocument/2006/relationships/hyperlink" Target="https://www.facebook.com/kenmorebakery/" TargetMode="External" Id="rId355" /><Relationship Type="http://schemas.openxmlformats.org/officeDocument/2006/relationships/hyperlink" Target="https://www.google.com/maps/search/?api=1&amp;query=Kenmore+Village+Bakery" TargetMode="External" Id="rId356" /><Relationship Type="http://schemas.openxmlformats.org/officeDocument/2006/relationships/hyperlink" Target="https://www.facebook.com/Mountcottonsourdoughbakers/" TargetMode="External" Id="rId357" /><Relationship Type="http://schemas.openxmlformats.org/officeDocument/2006/relationships/hyperlink" Target="https://www.google.com/maps/search/?api=1&amp;query=Mount+Cotton+Sourdough+Bakers+101+Valley+Way+Mount+Cotton" TargetMode="External" Id="rId358" /><Relationship Type="http://schemas.openxmlformats.org/officeDocument/2006/relationships/hyperlink" Target="https://www.facebook.com/mountviewbakehouse/" TargetMode="External" Id="rId359" /><Relationship Type="http://schemas.openxmlformats.org/officeDocument/2006/relationships/hyperlink" Target="https://www.google.com/maps/search/?api=1&amp;query=Mountview+Bakehouse+171-191+School+Road+Redbank+Plains" TargetMode="External" Id="rId360" /><Relationship Type="http://schemas.openxmlformats.org/officeDocument/2006/relationships/hyperlink" Target="https://www.facebook.com/kedronmumsbakehouse/?_rdr" TargetMode="External" Id="rId361" /><Relationship Type="http://schemas.openxmlformats.org/officeDocument/2006/relationships/hyperlink" Target="https://www.google.com/maps/search/?api=1&amp;query=Mum%27s+Bakehouse+206+Gympie+Road+Kedron" TargetMode="External" Id="rId362" /><Relationship Type="http://schemas.openxmlformats.org/officeDocument/2006/relationships/hyperlink" Target="https://www.instagram.com/88billiards" TargetMode="External" Id="rId363" /><Relationship Type="http://schemas.openxmlformats.org/officeDocument/2006/relationships/hyperlink" Target="https://www.google.com/maps/search/?api=1&amp;query=88+BILLIARDS+115+Boundary+Street" TargetMode="External" Id="rId364" /><Relationship Type="http://schemas.openxmlformats.org/officeDocument/2006/relationships/hyperlink" Target="https://www.instagram.com/barcoopers.bne" TargetMode="External" Id="rId365" /><Relationship Type="http://schemas.openxmlformats.org/officeDocument/2006/relationships/hyperlink" Target="https://www.google.com/maps/search/?api=1&amp;query=Bar+Cooper%27s+321+Chatsworth+Road" TargetMode="External" Id="rId366" /><Relationship Type="http://schemas.openxmlformats.org/officeDocument/2006/relationships/hyperlink" Target="https://www.instagram.com/makerbrisbane/" TargetMode="External" Id="rId367" /><Relationship Type="http://schemas.openxmlformats.org/officeDocument/2006/relationships/hyperlink" Target="https://www.google.com/maps/search/?api=1&amp;query=Maker+9+Fish+Lane+South+Brisbane" TargetMode="External" Id="rId368" /><Relationship Type="http://schemas.openxmlformats.org/officeDocument/2006/relationships/hyperlink" Target="https://www.instagram.com/thequivr" TargetMode="External" Id="rId369" /><Relationship Type="http://schemas.openxmlformats.org/officeDocument/2006/relationships/hyperlink" Target="https://www.google.com/maps/search/?api=1&amp;query=QUIVR+GAR+5D+Winn+Lane" TargetMode="External" Id="rId370" /><Relationship Type="http://schemas.openxmlformats.org/officeDocument/2006/relationships/hyperlink" Target="https://www.facebook.com/thestaffordtavern" TargetMode="External" Id="rId371" /><Relationship Type="http://schemas.openxmlformats.org/officeDocument/2006/relationships/hyperlink" Target="https://www.google.com/maps/search/?api=1&amp;query=Stafford+Tavern+51+Webster+Road+Stafford" TargetMode="External" Id="rId372" /><Relationship Type="http://schemas.openxmlformats.org/officeDocument/2006/relationships/hyperlink" Target="https://www.facebook.com/SuburbanSocialNeighbourhoodBarandKitchen/" TargetMode="External" Id="rId373" /><Relationship Type="http://schemas.openxmlformats.org/officeDocument/2006/relationships/hyperlink" Target="https://www.google.com/maps/search/?api=1&amp;query=Suburban+Social" TargetMode="External" Id="rId374" /><Relationship Type="http://schemas.openxmlformats.org/officeDocument/2006/relationships/hyperlink" Target="https://www.facebook.com/brookfieldhairstudio" TargetMode="External" Id="rId375" /><Relationship Type="http://schemas.openxmlformats.org/officeDocument/2006/relationships/hyperlink" Target="https://www.google.com/maps/search/?api=1&amp;query=Brookfield+Hair+Studio" TargetMode="External" Id="rId376" /><Relationship Type="http://schemas.openxmlformats.org/officeDocument/2006/relationships/hyperlink" Target="https://www.facebook.com/483499168383610" TargetMode="External" Id="rId377" /><Relationship Type="http://schemas.openxmlformats.org/officeDocument/2006/relationships/hyperlink" Target="https://www.google.com/maps/search/?api=1&amp;query=Charlie+Parrella+Hairdresser+2+Manson+Road" TargetMode="External" Id="rId378" /><Relationship Type="http://schemas.openxmlformats.org/officeDocument/2006/relationships/hyperlink" Target="https://www.facebook.com/Moorooka/" TargetMode="External" Id="rId379" /><Relationship Type="http://schemas.openxmlformats.org/officeDocument/2006/relationships/hyperlink" Target="https://www.google.com/maps/search/?api=1&amp;query=Eddy%E2%80%99s+Barber+Shop+204+Beaudesert+Road+Moorooka" TargetMode="External" Id="rId380" /><Relationship Type="http://schemas.openxmlformats.org/officeDocument/2006/relationships/hyperlink" Target="https://www.instagram.com/hairtobeaustralia/" TargetMode="External" Id="rId381" /><Relationship Type="http://schemas.openxmlformats.org/officeDocument/2006/relationships/hyperlink" Target="https://www.google.com/maps/search/?api=1&amp;query=Hair+to+be+195+Vienna+Road+Alexandra+Hills" TargetMode="External" Id="rId382" /><Relationship Type="http://schemas.openxmlformats.org/officeDocument/2006/relationships/hyperlink" Target="https://www.facebook.com/hikarihairstudio" TargetMode="External" Id="rId383" /><Relationship Type="http://schemas.openxmlformats.org/officeDocument/2006/relationships/hyperlink" Target="https://www.google.com/maps/search/?api=1&amp;query=Hikari+Hair+Studio+85+Mawson+Street+Stafford+Heights" TargetMode="External" Id="rId384" /><Relationship Type="http://schemas.openxmlformats.org/officeDocument/2006/relationships/hyperlink" Target="https://www.facebook.com/jacksbarber4171" TargetMode="External" Id="rId385" /><Relationship Type="http://schemas.openxmlformats.org/officeDocument/2006/relationships/hyperlink" Target="https://www.google.com/maps/search/?api=1&amp;query=Jack%27s+Barber+135+Riding+Road+Hawthorne" TargetMode="External" Id="rId386" /><Relationship Type="http://schemas.openxmlformats.org/officeDocument/2006/relationships/hyperlink" Target="https://www.facebook.com/julesandginger" TargetMode="External" Id="rId387" /><Relationship Type="http://schemas.openxmlformats.org/officeDocument/2006/relationships/hyperlink" Target="https://www.google.com/maps/search/?api=1&amp;query=Jules+%26+Ginger+135+Riding+Road+Hawthorne" TargetMode="External" Id="rId388" /><Relationship Type="http://schemas.openxmlformats.org/officeDocument/2006/relationships/hyperlink" Target="https://www.facebook.com/p/Kaija-hairdressing-make-up--100054313728630/" TargetMode="External" Id="rId389" /><Relationship Type="http://schemas.openxmlformats.org/officeDocument/2006/relationships/hyperlink" Target="https://www.google.com/maps/search/?api=1&amp;query=Kaija+Hairdresser+64+Park+Road+Wooloowin" TargetMode="External" Id="rId390" /><Relationship Type="http://schemas.openxmlformats.org/officeDocument/2006/relationships/hyperlink" Target="https://www.facebook.com/Mcbarbers2021" TargetMode="External" Id="rId391" /><Relationship Type="http://schemas.openxmlformats.org/officeDocument/2006/relationships/hyperlink" Target="https://www.google.com/maps/search/?api=1&amp;query=MC+Barbers+101+Valley+Way+Mount+Cotton" TargetMode="External" Id="rId392" /><Relationship Type="http://schemas.openxmlformats.org/officeDocument/2006/relationships/hyperlink" Target="https://www.instagram.com/ouhair_rochedale/?hl=en" TargetMode="External" Id="rId393" /><Relationship Type="http://schemas.openxmlformats.org/officeDocument/2006/relationships/hyperlink" Target="https://www.facebook.com/ouhairRochedale" TargetMode="External" Id="rId394" /><Relationship Type="http://schemas.openxmlformats.org/officeDocument/2006/relationships/hyperlink" Target="https://www.google.com/maps/search/?api=1&amp;query=OU+Hair+329+Gardner+Road+Rochedale" TargetMode="External" Id="rId395" /><Relationship Type="http://schemas.openxmlformats.org/officeDocument/2006/relationships/hyperlink" Target="https://www.facebook.com/people/Saba-hair-studio/100083090384553/" TargetMode="External" Id="rId396" /><Relationship Type="http://schemas.openxmlformats.org/officeDocument/2006/relationships/hyperlink" Target="https://www.google.com/maps/search/?api=1&amp;query=Saba+Hair+Studio" TargetMode="External" Id="rId397" /><Relationship Type="http://schemas.openxmlformats.org/officeDocument/2006/relationships/hyperlink" Target="https://www.facebook.com/stranzhairdesignbulimba/" TargetMode="External" Id="rId398" /><Relationship Type="http://schemas.openxmlformats.org/officeDocument/2006/relationships/hyperlink" Target="https://www.google.com/maps/search/?api=1&amp;query=Stranz+Hair+Design+141+Oxford+Street+Bulimba" TargetMode="External" Id="rId399" /><Relationship Type="http://schemas.openxmlformats.org/officeDocument/2006/relationships/hyperlink" Target="https://www.facebook.com/thesecrethaircolor/" TargetMode="External" Id="rId400" /><Relationship Type="http://schemas.openxmlformats.org/officeDocument/2006/relationships/hyperlink" Target="https://www.google.com/maps/search/?api=1&amp;query=The+Secret+Hair+Color" TargetMode="External" Id="rId401" /><Relationship Type="http://schemas.openxmlformats.org/officeDocument/2006/relationships/hyperlink" Target="https://www.facebook.com/9889nailsandbeauty" TargetMode="External" Id="rId402" /><Relationship Type="http://schemas.openxmlformats.org/officeDocument/2006/relationships/hyperlink" Target="https://www.google.com/maps/search/?api=1&amp;query=9889+Nails+and+Beauty+101+Valley+Way+Mount+Cotton" TargetMode="External" Id="rId403" /><Relationship Type="http://schemas.openxmlformats.org/officeDocument/2006/relationships/hyperlink" Target="https://www.facebook.com/isabishair" TargetMode="External" Id="rId404" /><Relationship Type="http://schemas.openxmlformats.org/officeDocument/2006/relationships/hyperlink" Target="https://www.google.com/maps/search/?api=1&amp;query=Isabis+Hair+82+Leicester+Street+Coorparoo" TargetMode="External" Id="rId405" /><Relationship Type="http://schemas.openxmlformats.org/officeDocument/2006/relationships/hyperlink" Target="https://www.instagram.com/nails59_rochedale/" TargetMode="External" Id="rId406" /><Relationship Type="http://schemas.openxmlformats.org/officeDocument/2006/relationships/hyperlink" Target="https://www.google.com/maps/search/?api=1&amp;query=Nails59+329+Gardner+Road+Rochedale" TargetMode="External" Id="rId407" /><Relationship Type="http://schemas.openxmlformats.org/officeDocument/2006/relationships/hyperlink" Target="https://www.facebook.com/satisfiednail/" TargetMode="External" Id="rId408" /><Relationship Type="http://schemas.openxmlformats.org/officeDocument/2006/relationships/hyperlink" Target="https://www.google.com/maps/search/?api=1&amp;query=Satisfied+Nail" TargetMode="External" Id="rId409" /><Relationship Type="http://schemas.openxmlformats.org/officeDocument/2006/relationships/hyperlink" Target="https://www.facebook.com/people/Brandons-Shoe-Repairs/100057123895028/" TargetMode="External" Id="rId410" /><Relationship Type="http://schemas.openxmlformats.org/officeDocument/2006/relationships/hyperlink" Target="https://www.google.com/maps/search/?api=1&amp;query=Brandons+Shoe+Repairs" TargetMode="External" Id="rId411" /><Relationship Type="http://schemas.openxmlformats.org/officeDocument/2006/relationships/hyperlink" Target="https://www.facebook.com/people/Etcetera-Leisure-Plus/61550838810039/" TargetMode="External" Id="rId412" /><Relationship Type="http://schemas.openxmlformats.org/officeDocument/2006/relationships/hyperlink" Target="https://www.google.com/maps/search/?api=1&amp;query=Etcetera+Leisure+Plus" TargetMode="External" Id="rId413" /><Relationship Type="http://schemas.openxmlformats.org/officeDocument/2006/relationships/hyperlink" Target="https://www.instagram.com/palmbeeaustralia" TargetMode="External" Id="rId414" /><Relationship Type="http://schemas.openxmlformats.org/officeDocument/2006/relationships/hyperlink" Target="https://www.facebook.com/palmbeexx" TargetMode="External" Id="rId415" /><Relationship Type="http://schemas.openxmlformats.org/officeDocument/2006/relationships/hyperlink" Target="https://www.google.com/maps/search/?api=1&amp;query=Palmbee+Capalaba+HQ+91+Redland+Bay+Road+Capalaba" TargetMode="External" Id="rId416" /><Relationship Type="http://schemas.openxmlformats.org/officeDocument/2006/relationships/hyperlink" Target="https://www.facebook.com/StudioMbyMargarita" TargetMode="External" Id="rId417" /><Relationship Type="http://schemas.openxmlformats.org/officeDocument/2006/relationships/hyperlink" Target="https://www.google.com/maps/search/?api=1&amp;query=Studio+M+by+Margarita" TargetMode="External" Id="rId418" /><Relationship Type="http://schemas.openxmlformats.org/officeDocument/2006/relationships/hyperlink" Target="https://www.facebook.com/abodeonHillsdon" TargetMode="External" Id="rId419" /><Relationship Type="http://schemas.openxmlformats.org/officeDocument/2006/relationships/hyperlink" Target="https://www.google.com/maps/search/?api=1&amp;query=Abode+Cafe" TargetMode="External" Id="rId420" /><Relationship Type="http://schemas.openxmlformats.org/officeDocument/2006/relationships/hyperlink" Target="https://www.facebook.com/Augustus.Espresso/" TargetMode="External" Id="rId421" /><Relationship Type="http://schemas.openxmlformats.org/officeDocument/2006/relationships/hyperlink" Target="https://www.google.com/maps/search/?api=1&amp;query=Augustus+Espresso+140+Oxford+Street+Bulimba" TargetMode="External" Id="rId422" /><Relationship Type="http://schemas.openxmlformats.org/officeDocument/2006/relationships/hyperlink" Target="https://www.facebook.com/vietnameseavachatcafe/" TargetMode="External" Id="rId423" /><Relationship Type="http://schemas.openxmlformats.org/officeDocument/2006/relationships/hyperlink" Target="https://www.google.com/maps/search/?api=1&amp;query=Av-A-Chat+Cafe" TargetMode="External" Id="rId424" /><Relationship Type="http://schemas.openxmlformats.org/officeDocument/2006/relationships/hyperlink" Target="http://facebook.com/thebluepoppy/" TargetMode="External" Id="rId425" /><Relationship Type="http://schemas.openxmlformats.org/officeDocument/2006/relationships/hyperlink" Target="https://www.google.com/maps/search/?api=1&amp;query=Blue+Poppy+32+Asquith+Street" TargetMode="External" Id="rId426" /><Relationship Type="http://schemas.openxmlformats.org/officeDocument/2006/relationships/hyperlink" Target="https://www.instagram.com/croixssant.bne" TargetMode="External" Id="rId427" /><Relationship Type="http://schemas.openxmlformats.org/officeDocument/2006/relationships/hyperlink" Target="https://www.google.com/maps/search/?api=1&amp;query=Croix+Croissant+68+Commercial+Road" TargetMode="External" Id="rId428" /><Relationship Type="http://schemas.openxmlformats.org/officeDocument/2006/relationships/hyperlink" Target="https://instagram.com/deathstarbrisbane" TargetMode="External" Id="rId429" /><Relationship Type="http://schemas.openxmlformats.org/officeDocument/2006/relationships/hyperlink" Target="https://facebook.com/deathstarcanteenbrisbane/" TargetMode="External" Id="rId430" /><Relationship Type="http://schemas.openxmlformats.org/officeDocument/2006/relationships/hyperlink" Target="https://www.google.com/maps/search/?api=1&amp;query=Death+Star+Canteen" TargetMode="External" Id="rId431" /><Relationship Type="http://schemas.openxmlformats.org/officeDocument/2006/relationships/hyperlink" Target="https://www.facebook.com/docbrowncafe" TargetMode="External" Id="rId432" /><Relationship Type="http://schemas.openxmlformats.org/officeDocument/2006/relationships/hyperlink" Target="https://www.google.com/maps/search/?api=1&amp;query=Doc+Brown" TargetMode="External" Id="rId433" /><Relationship Type="http://schemas.openxmlformats.org/officeDocument/2006/relationships/hyperlink" Target="https://www.facebook.com/DoubleMakerCoffee" TargetMode="External" Id="rId434" /><Relationship Type="http://schemas.openxmlformats.org/officeDocument/2006/relationships/hyperlink" Target="https://www.google.com/maps/search/?api=1&amp;query=Double+Maker+Coffee+126+Margaret+Street" TargetMode="External" Id="rId435" /><Relationship Type="http://schemas.openxmlformats.org/officeDocument/2006/relationships/hyperlink" Target="https://www.instagram.com/FARMHOUSEKEDRON" TargetMode="External" Id="rId436" /><Relationship Type="http://schemas.openxmlformats.org/officeDocument/2006/relationships/hyperlink" Target="https://www.facebook.com/farmhousekedron/" TargetMode="External" Id="rId437" /><Relationship Type="http://schemas.openxmlformats.org/officeDocument/2006/relationships/hyperlink" Target="https://www.google.com/maps/search/?api=1&amp;query=Farmhouse+Cafe+9+Somerset+Road+Kedron" TargetMode="External" Id="rId438" /><Relationship Type="http://schemas.openxmlformats.org/officeDocument/2006/relationships/hyperlink" Target="https://www.facebook.com/fiddleleafbrisbane" TargetMode="External" Id="rId439" /><Relationship Type="http://schemas.openxmlformats.org/officeDocument/2006/relationships/hyperlink" Target="https://www.google.com/maps/search/?api=1&amp;query=Fiddle+Leaf+7+Corio+Street+Bulimba" TargetMode="External" Id="rId440" /><Relationship Type="http://schemas.openxmlformats.org/officeDocument/2006/relationships/hyperlink" Target="https://www.instagram.com/idocafe_auchenflower" TargetMode="External" Id="rId441" /><Relationship Type="http://schemas.openxmlformats.org/officeDocument/2006/relationships/hyperlink" Target="https://www.google.com/maps/search/?api=1&amp;query=I+DO+28+Grimes+Street+Auchenflower" TargetMode="External" Id="rId442" /><Relationship Type="http://schemas.openxmlformats.org/officeDocument/2006/relationships/hyperlink" Target="https://www.facebook.com/lafamiliacoffeeco" TargetMode="External" Id="rId443" /><Relationship Type="http://schemas.openxmlformats.org/officeDocument/2006/relationships/hyperlink" Target="https://www.google.com/maps/search/?api=1&amp;query=La+Familia+Espesso+Bar+20+Minimine+Street" TargetMode="External" Id="rId444" /><Relationship Type="http://schemas.openxmlformats.org/officeDocument/2006/relationships/hyperlink" Target="https://www.instagram.com/laneway86/" TargetMode="External" Id="rId445" /><Relationship Type="http://schemas.openxmlformats.org/officeDocument/2006/relationships/hyperlink" Target="https://www.google.com/maps/search/?api=1&amp;query=Laneway+86" TargetMode="External" Id="rId446" /><Relationship Type="http://schemas.openxmlformats.org/officeDocument/2006/relationships/hyperlink" Target="https://www.facebook.com/Lecafeashgrove/" TargetMode="External" Id="rId447" /><Relationship Type="http://schemas.openxmlformats.org/officeDocument/2006/relationships/hyperlink" Target="https://www.google.com/maps/search/?api=1&amp;query=Le+Cafe+Ashgrove+486+Waterworks+Road+Ashgrove" TargetMode="External" Id="rId448" /><Relationship Type="http://schemas.openxmlformats.org/officeDocument/2006/relationships/hyperlink" Target="https://www.instagram.com/makemyday.cafe" TargetMode="External" Id="rId449" /><Relationship Type="http://schemas.openxmlformats.org/officeDocument/2006/relationships/hyperlink" Target="https://www.google.com/maps/search/?api=1&amp;query=Make+My+Day+3c+Gibbon+Street" TargetMode="External" Id="rId450" /><Relationship Type="http://schemas.openxmlformats.org/officeDocument/2006/relationships/hyperlink" Target="https://www.instagram.com/manka_cafe" TargetMode="External" Id="rId451" /><Relationship Type="http://schemas.openxmlformats.org/officeDocument/2006/relationships/hyperlink" Target="https://www.google.com/maps/search/?api=1&amp;query=Manka+Cafe" TargetMode="External" Id="rId452" /><Relationship Type="http://schemas.openxmlformats.org/officeDocument/2006/relationships/hyperlink" Target="https://www.facebook.com/MeanBeanzEspresso" TargetMode="External" Id="rId453" /><Relationship Type="http://schemas.openxmlformats.org/officeDocument/2006/relationships/hyperlink" Target="https://www.google.com/maps/search/?api=1&amp;query=Mean+Beanz+Espresso+60+Blamey+Street+Kelvin+Grove" TargetMode="External" Id="rId454" /><Relationship Type="http://schemas.openxmlformats.org/officeDocument/2006/relationships/hyperlink" Target="https://www.instagram.com/hellomowandco/" TargetMode="External" Id="rId455" /><Relationship Type="http://schemas.openxmlformats.org/officeDocument/2006/relationships/hyperlink" Target="https://www.google.com/maps/search/?api=1&amp;query=Mow+and+Co." TargetMode="External" Id="rId456" /><Relationship Type="http://schemas.openxmlformats.org/officeDocument/2006/relationships/hyperlink" Target="https://www.instagram.com/nursestationcafe" TargetMode="External" Id="rId457" /><Relationship Type="http://schemas.openxmlformats.org/officeDocument/2006/relationships/hyperlink" Target="https://www.facebook.com/nursestationcafe" TargetMode="External" Id="rId458" /><Relationship Type="http://schemas.openxmlformats.org/officeDocument/2006/relationships/hyperlink" Target="https://www.google.com/maps/search/?api=1&amp;query=Nurse+Station+Coffee+and+Juice+Bar" TargetMode="External" Id="rId459" /><Relationship Type="http://schemas.openxmlformats.org/officeDocument/2006/relationships/hyperlink" Target="https://www.facebook.com/OrangeTeaAustralia" TargetMode="External" Id="rId460" /><Relationship Type="http://schemas.openxmlformats.org/officeDocument/2006/relationships/hyperlink" Target="https://www.google.com/maps/search/?api=1&amp;query=Orange+Tea+Brisbane+One+Peel+Street" TargetMode="External" Id="rId461" /><Relationship Type="http://schemas.openxmlformats.org/officeDocument/2006/relationships/hyperlink" Target="https://www.facebook.com/podespresso/" TargetMode="External" Id="rId462" /><Relationship Type="http://schemas.openxmlformats.org/officeDocument/2006/relationships/hyperlink" Target="https://www.google.com/maps/search/?api=1&amp;query=POD+Espresso+275+Stafford+Road+Stafford" TargetMode="External" Id="rId463" /><Relationship Type="http://schemas.openxmlformats.org/officeDocument/2006/relationships/hyperlink" Target="https://www.facebook.com/pureshotcafe" TargetMode="External" Id="rId464" /><Relationship Type="http://schemas.openxmlformats.org/officeDocument/2006/relationships/hyperlink" Target="https://www.google.com/maps/search/?api=1&amp;query=Pure+Shot+Cafe+28+Doherty+Street+Brendale" TargetMode="External" Id="rId465" /><Relationship Type="http://schemas.openxmlformats.org/officeDocument/2006/relationships/hyperlink" Target="https://www.instagram.com/sipsoclock/" TargetMode="External" Id="rId466" /><Relationship Type="http://schemas.openxmlformats.org/officeDocument/2006/relationships/hyperlink" Target="https://www.google.com/maps/search/?api=1&amp;query=Sips+O%27clock+75+Grey+Street+South+Brisbane" TargetMode="External" Id="rId467" /><Relationship Type="http://schemas.openxmlformats.org/officeDocument/2006/relationships/hyperlink" Target="https://www.facebook.com/snagandbrownannerley/" TargetMode="External" Id="rId468" /><Relationship Type="http://schemas.openxmlformats.org/officeDocument/2006/relationships/hyperlink" Target="https://www.google.com/maps/search/?api=1&amp;query=Snag+%26+Brown+97+Ekibin+Road+Annerley" TargetMode="External" Id="rId469" /><Relationship Type="http://schemas.openxmlformats.org/officeDocument/2006/relationships/hyperlink" Target="https://www.instagram.com/snug.bne" TargetMode="External" Id="rId470" /><Relationship Type="http://schemas.openxmlformats.org/officeDocument/2006/relationships/hyperlink" Target="https://www.google.com/maps/search/?api=1&amp;query=Snug+Cafe+321+Chatsworth+Road" TargetMode="External" Id="rId471" /><Relationship Type="http://schemas.openxmlformats.org/officeDocument/2006/relationships/hyperlink" Target="https://www.facebook.com/p/Studio-Solo-Co-100063505363434/" TargetMode="External" Id="rId472" /><Relationship Type="http://schemas.openxmlformats.org/officeDocument/2006/relationships/hyperlink" Target="https://www.google.com/maps/search/?api=1&amp;query=Studio+Solo+and+Co+20+Nellie+Street+Nundah" TargetMode="External" Id="rId473" /><Relationship Type="http://schemas.openxmlformats.org/officeDocument/2006/relationships/hyperlink" Target="https://www.facebook.com/TheBaristorian/" TargetMode="External" Id="rId474" /><Relationship Type="http://schemas.openxmlformats.org/officeDocument/2006/relationships/hyperlink" Target="https://www.google.com/maps/search/?api=1&amp;query=The+Baristorian+165+Main+Avenue" TargetMode="External" Id="rId475" /><Relationship Type="http://schemas.openxmlformats.org/officeDocument/2006/relationships/hyperlink" Target="https://www.instagram.com/upbeat.cafe_/" TargetMode="External" Id="rId476" /><Relationship Type="http://schemas.openxmlformats.org/officeDocument/2006/relationships/hyperlink" Target="https://www.facebook.com/people/Upbeat-Cafe/61578887307099/" TargetMode="External" Id="rId477" /><Relationship Type="http://schemas.openxmlformats.org/officeDocument/2006/relationships/hyperlink" Target="https://www.google.com/maps/search/?api=1&amp;query=Upbeat" TargetMode="External" Id="rId478" /><Relationship Type="http://schemas.openxmlformats.org/officeDocument/2006/relationships/hyperlink" Target="https://www.facebook.com/vitosascot/" TargetMode="External" Id="rId479" /><Relationship Type="http://schemas.openxmlformats.org/officeDocument/2006/relationships/hyperlink" Target="https://www.google.com/maps/search/?api=1&amp;query=Vito%27s+Cucina+%26+Bar+Ascot+188+Nudgee+Road+Ascot" TargetMode="External" Id="rId480" /><Relationship Type="http://schemas.openxmlformats.org/officeDocument/2006/relationships/hyperlink" Target="https://www.facebook.com/yorkstreetespressobar/" TargetMode="External" Id="rId481" /><Relationship Type="http://schemas.openxmlformats.org/officeDocument/2006/relationships/hyperlink" Target="https://www.google.com/maps/search/?api=1&amp;query=York+St+Espresso+Bar+83+York+Street+Nundah" TargetMode="External" Id="rId482" /><Relationship Type="http://schemas.openxmlformats.org/officeDocument/2006/relationships/hyperlink" Target="https://www.instagram.com/zmirk.bne" TargetMode="External" Id="rId483" /><Relationship Type="http://schemas.openxmlformats.org/officeDocument/2006/relationships/hyperlink" Target="https://www.google.com/maps/search/?api=1&amp;query=Zmirk+Co.+220+Annerley+Road" TargetMode="External" Id="rId484" /><Relationship Type="http://schemas.openxmlformats.org/officeDocument/2006/relationships/hyperlink" Target="https://www.facebook.com/TurnstyleBikeShed/" TargetMode="External" Id="rId485" /><Relationship Type="http://schemas.openxmlformats.org/officeDocument/2006/relationships/hyperlink" Target="https://www.google.com/maps/search/?api=1&amp;query=Turnstyle+Community+Bike+Shed" TargetMode="External" Id="rId486" /><Relationship Type="http://schemas.openxmlformats.org/officeDocument/2006/relationships/hyperlink" Target="https://www.facebook.com/meadowbrookelc/" TargetMode="External" Id="rId487" /><Relationship Type="http://schemas.openxmlformats.org/officeDocument/2006/relationships/hyperlink" Target="https://www.google.com/maps/search/?api=1&amp;query=Meadowbrook+Early+Learning+Centre" TargetMode="External" Id="rId488" /><Relationship Type="http://schemas.openxmlformats.org/officeDocument/2006/relationships/hyperlink" Target="https://www.facebook.com/Banyo-meat-service-328382267317004/" TargetMode="External" Id="rId489" /><Relationship Type="http://schemas.openxmlformats.org/officeDocument/2006/relationships/hyperlink" Target="https://www.google.com/maps/search/?api=1&amp;query=Banyo+Meat+Service" TargetMode="External" Id="rId490" /><Relationship Type="http://schemas.openxmlformats.org/officeDocument/2006/relationships/hyperlink" Target="https://facebook.com/pages/Bellas-Fruit-Market/316006148423409" TargetMode="External" Id="rId491" /><Relationship Type="http://schemas.openxmlformats.org/officeDocument/2006/relationships/hyperlink" Target="https://www.google.com/maps/search/?api=1&amp;query=Bellas+Fruit+Market+218+Padstow+Road" TargetMode="External" Id="rId492" /><Relationship Type="http://schemas.openxmlformats.org/officeDocument/2006/relationships/hyperlink" Target="https://www.facebook.com/pages/Microlot-Coffee-House/532108803616296" TargetMode="External" Id="rId493" /><Relationship Type="http://schemas.openxmlformats.org/officeDocument/2006/relationships/hyperlink" Target="https://www.google.com/maps/search/?api=1&amp;query=Microlot+Coffee+House+135+Riding+Road+Hawthorne" TargetMode="External" Id="rId494" /><Relationship Type="http://schemas.openxmlformats.org/officeDocument/2006/relationships/hyperlink" Target="https://www.facebook.com/p/Nundah-Fruit-Market-61564367108912/" TargetMode="External" Id="rId495" /><Relationship Type="http://schemas.openxmlformats.org/officeDocument/2006/relationships/hyperlink" Target="https://www.google.com/maps/search/?api=1&amp;query=Nundah+Fruit+Market+1558+Sandgate+Road+Nundah" TargetMode="External" Id="rId496" /><Relationship Type="http://schemas.openxmlformats.org/officeDocument/2006/relationships/hyperlink" Target="https://www.facebook.com/wavellgourmetmeats" TargetMode="External" Id="rId497" /><Relationship Type="http://schemas.openxmlformats.org/officeDocument/2006/relationships/hyperlink" Target="https://www.google.com/maps/search/?api=1&amp;query=Wavell+Heights+Gourmet+Meats+216+Shaw+Road+Wavell+Heights" TargetMode="External" Id="rId498" /><Relationship Type="http://schemas.openxmlformats.org/officeDocument/2006/relationships/hyperlink" Target="https://www.facebook.com/Flowers-by-Louise-Inspired-by-you-113504464161306/" TargetMode="External" Id="rId499" /><Relationship Type="http://schemas.openxmlformats.org/officeDocument/2006/relationships/hyperlink" Target="https://www.google.com/maps/search/?api=1&amp;query=Flowers+by+Louise+5+Stanley+Street+Acacia+Ridge" TargetMode="External" Id="rId500" /><Relationship Type="http://schemas.openxmlformats.org/officeDocument/2006/relationships/hyperlink" Target="https://www.facebook.com/profile.php?id=100066631573794" TargetMode="External" Id="rId501" /><Relationship Type="http://schemas.openxmlformats.org/officeDocument/2006/relationships/hyperlink" Target="https://www.google.com/maps/search/?api=1&amp;query=Wedding+N+Florist+58+Boundary+Road+Thornlands" TargetMode="External" Id="rId502" /><Relationship Type="http://schemas.openxmlformats.org/officeDocument/2006/relationships/hyperlink" Target="https://www.facebook.com/people/Delight-For-Gifts/100065206801946/" TargetMode="External" Id="rId503" /><Relationship Type="http://schemas.openxmlformats.org/officeDocument/2006/relationships/hyperlink" Target="https://www.google.com/maps/search/?api=1&amp;query=Delight+for+Gifts" TargetMode="External" Id="rId504" /><Relationship Type="http://schemas.openxmlformats.org/officeDocument/2006/relationships/hyperlink" Target="https://www.facebook.com/oursunroom/" TargetMode="External" Id="rId505" /><Relationship Type="http://schemas.openxmlformats.org/officeDocument/2006/relationships/hyperlink" Target="https://www.google.com/maps/search/?api=1&amp;query=Our+Sun+Room+498+Waterworks+Road+Ashgrove" TargetMode="External" Id="rId506" /><Relationship Type="http://schemas.openxmlformats.org/officeDocument/2006/relationships/hyperlink" Target="https://www.instagram.com/visgiftshop/?hl=en" TargetMode="External" Id="rId507" /><Relationship Type="http://schemas.openxmlformats.org/officeDocument/2006/relationships/hyperlink" Target="https://www.google.com/maps/search/?api=1&amp;query=VIS" TargetMode="External" Id="rId508" /><Relationship Type="http://schemas.openxmlformats.org/officeDocument/2006/relationships/hyperlink" Target="https://www.facebook.com/MassagehealthcentreHamilton/?_rdr" TargetMode="External" Id="rId509" /><Relationship Type="http://schemas.openxmlformats.org/officeDocument/2006/relationships/hyperlink" Target="https://www.google.com/maps/search/?api=1&amp;query=Massage+Health+Centre+33+Racecourse+Road+Hamilton" TargetMode="External" Id="rId510" /><Relationship Type="http://schemas.openxmlformats.org/officeDocument/2006/relationships/hyperlink" Target="https://www.facebook.com/profile.php?id=100086356354712" TargetMode="External" Id="rId511" /><Relationship Type="http://schemas.openxmlformats.org/officeDocument/2006/relationships/hyperlink" Target="https://www.google.com/maps/search/?api=1&amp;query=Soul+Thai+Massage+329+Gardner+Road+Rochedale" TargetMode="External" Id="rId512" /><Relationship Type="http://schemas.openxmlformats.org/officeDocument/2006/relationships/hyperlink" Target="https://www.facebook.com/T-Massage-100679675602823/" TargetMode="External" Id="rId513" /><Relationship Type="http://schemas.openxmlformats.org/officeDocument/2006/relationships/hyperlink" Target="https://www.google.com/maps/search/?api=1&amp;query=T+Massage" TargetMode="External" Id="rId514" /><Relationship Type="http://schemas.openxmlformats.org/officeDocument/2006/relationships/hyperlink" Target="https://facebook.com/kjsafetycertificates/" TargetMode="External" Id="rId515" /><Relationship Type="http://schemas.openxmlformats.org/officeDocument/2006/relationships/hyperlink" Target="https://www.google.com/maps/search/?api=1&amp;query=KJ+Safety+Certificates%2FRoadworthy+Certificates+1+Possum+Court" TargetMode="External" Id="rId516" /><Relationship Type="http://schemas.openxmlformats.org/officeDocument/2006/relationships/hyperlink" Target="https://www.facebook.com/people/Monster-Tyres/100095017035749/" TargetMode="External" Id="rId517" /><Relationship Type="http://schemas.openxmlformats.org/officeDocument/2006/relationships/hyperlink" Target="https://www.google.com/maps/search/?api=1&amp;query=Monster+Tyres+26+Mining+Street+Bundamba" TargetMode="External" Id="rId518" /><Relationship Type="http://schemas.openxmlformats.org/officeDocument/2006/relationships/hyperlink" Target="https://www.facebook.com/p/Sam-Auto-Care-100075669889000/" TargetMode="External" Id="rId519" /><Relationship Type="http://schemas.openxmlformats.org/officeDocument/2006/relationships/hyperlink" Target="https://www.google.com/maps/search/?api=1&amp;query=Sam+Auto+Care" TargetMode="External" Id="rId520" /><Relationship Type="http://schemas.openxmlformats.org/officeDocument/2006/relationships/hyperlink" Target="https://m.facebook.com/alohahound/" TargetMode="External" Id="rId521" /><Relationship Type="http://schemas.openxmlformats.org/officeDocument/2006/relationships/hyperlink" Target="https://www.google.com/maps/search/?api=1&amp;query=Aloha+Hound" TargetMode="External" Id="rId522" /><Relationship Type="http://schemas.openxmlformats.org/officeDocument/2006/relationships/hyperlink" Target="https://www.facebook.com/RedlandsProduce/" TargetMode="External" Id="rId523" /><Relationship Type="http://schemas.openxmlformats.org/officeDocument/2006/relationships/hyperlink" Target="https://www.google.com/maps/search/?api=1&amp;query=Redlands+Produce+87+Boundary+Road+Thornlands" TargetMode="External" Id="rId524" /><Relationship Type="http://schemas.openxmlformats.org/officeDocument/2006/relationships/hyperlink" Target="https://www.facebook.com/profile.php?id=100044607326097" TargetMode="External" Id="rId525" /><Relationship Type="http://schemas.openxmlformats.org/officeDocument/2006/relationships/hyperlink" Target="https://www.google.com/maps/search/?api=1&amp;query=Tiny+Tots+Physiotherapy+-+Kathryn+Shutt+33+Woodlands+Drive+Thornlands" TargetMode="External" Id="rId526" /><Relationship Type="http://schemas.openxmlformats.org/officeDocument/2006/relationships/hyperlink" Target="https://www.facebook.com/people/Asia-Canteen/100063772110992/" TargetMode="External" Id="rId527" /><Relationship Type="http://schemas.openxmlformats.org/officeDocument/2006/relationships/hyperlink" Target="https://www.google.com/maps/search/?api=1&amp;query=Asia+Canteen+1+Patricks+Road+Arana+Hills" TargetMode="External" Id="rId528" /><Relationship Type="http://schemas.openxmlformats.org/officeDocument/2006/relationships/hyperlink" Target="https://www.facebook.com/bensburgers" TargetMode="External" Id="rId529" /><Relationship Type="http://schemas.openxmlformats.org/officeDocument/2006/relationships/hyperlink" Target="https://www.google.com/maps/search/?api=1&amp;query=Ben%27s+Burgers+5+Winn+Street+Fortitude+Valley" TargetMode="External" Id="rId530" /><Relationship Type="http://schemas.openxmlformats.org/officeDocument/2006/relationships/hyperlink" Target="https://m.facebook.com/BunchaBunchaQLD/" TargetMode="External" Id="rId531" /><Relationship Type="http://schemas.openxmlformats.org/officeDocument/2006/relationships/hyperlink" Target="https://www.google.com/maps/search/?api=1&amp;query=Buncha+Buncha+405+Logan+Road+Stones+Corner" TargetMode="External" Id="rId532" /><Relationship Type="http://schemas.openxmlformats.org/officeDocument/2006/relationships/hyperlink" Target="https://www.facebook.com/p/Ho-Choi-Licensed-Restaurant-100040303334335/" TargetMode="External" Id="rId533" /><Relationship Type="http://schemas.openxmlformats.org/officeDocument/2006/relationships/hyperlink" Target="https://www.google.com/maps/search/?api=1&amp;query=Ho+Choi+204+Beaudesert+Road+Moorooka" TargetMode="External" Id="rId534" /><Relationship Type="http://schemas.openxmlformats.org/officeDocument/2006/relationships/hyperlink" Target="https://www.facebook.com/LATIN.MANNA" TargetMode="External" Id="rId535" /><Relationship Type="http://schemas.openxmlformats.org/officeDocument/2006/relationships/hyperlink" Target="https://www.google.com/maps/search/?api=1&amp;query=Latin+Manna" TargetMode="External" Id="rId536" /><Relationship Type="http://schemas.openxmlformats.org/officeDocument/2006/relationships/hyperlink" Target="https://www.instagram.com/nekoland.westend" TargetMode="External" Id="rId537" /><Relationship Type="http://schemas.openxmlformats.org/officeDocument/2006/relationships/hyperlink" Target="https://www.google.com/maps/search/?api=1&amp;query=Nekoland+Ramen+%26+Bar+120+Boundary+Street" TargetMode="External" Id="rId538" /><Relationship Type="http://schemas.openxmlformats.org/officeDocument/2006/relationships/hyperlink" Target="https://www.facebook.com/passionsushi.com.au" TargetMode="External" Id="rId539" /><Relationship Type="http://schemas.openxmlformats.org/officeDocument/2006/relationships/hyperlink" Target="https://www.google.com/maps/search/?api=1&amp;query=Passion+Sushi+329+Gardner+Road+Rochedale" TargetMode="External" Id="rId540" /><Relationship Type="http://schemas.openxmlformats.org/officeDocument/2006/relationships/hyperlink" Target="https://www.instagram.com/Stickybeakwinebar" TargetMode="External" Id="rId541" /><Relationship Type="http://schemas.openxmlformats.org/officeDocument/2006/relationships/hyperlink" Target="https://www.google.com/maps/search/?api=1&amp;query=Stickybeak" TargetMode="External" Id="rId542" /><Relationship Type="http://schemas.openxmlformats.org/officeDocument/2006/relationships/hyperlink" Target="https://www.facebook.com/The Whitehouse Waterford" TargetMode="External" Id="rId543" /><Relationship Type="http://schemas.openxmlformats.org/officeDocument/2006/relationships/hyperlink" Target="https://www.google.com/maps/search/?api=1&amp;query=The+White+House+Waterford+9-11+Nerang+Street+Waterford" TargetMode="External" Id="rId544" /><Relationship Type="http://schemas.openxmlformats.org/officeDocument/2006/relationships/hyperlink" Target="https://www.facebook.com/warawarabrisbane" TargetMode="External" Id="rId545" /><Relationship Type="http://schemas.openxmlformats.org/officeDocument/2006/relationships/hyperlink" Target="https://www.google.com/maps/search/?api=1&amp;query=Wara+Wara+153+Elizabeth+Street" TargetMode="External" Id="rId546" /><Relationship Type="http://schemas.openxmlformats.org/officeDocument/2006/relationships/hyperlink" Target="https://www.facebook.com/bigjims1/" TargetMode="External" Id="rId547" /><Relationship Type="http://schemas.openxmlformats.org/officeDocument/2006/relationships/hyperlink" Target="https://www.google.com/maps/search/?api=1&amp;query=Big+Jim%27s+Takeaway+121+Holland+Road" TargetMode="External" Id="rId548" /><Relationship Type="http://schemas.openxmlformats.org/officeDocument/2006/relationships/hyperlink" Target="https://facebook.com/pages/category/Restaurant/CLOVE-WEST-END-107877521487899/" TargetMode="External" Id="rId549" /><Relationship Type="http://schemas.openxmlformats.org/officeDocument/2006/relationships/hyperlink" Target="https://www.google.com/maps/search/?api=1&amp;query=Clove" TargetMode="External" Id="rId550" /><Relationship Type="http://schemas.openxmlformats.org/officeDocument/2006/relationships/hyperlink" Target="https://www.facebook.com/kingofthewingsbrisbane/" TargetMode="External" Id="rId551" /><Relationship Type="http://schemas.openxmlformats.org/officeDocument/2006/relationships/hyperlink" Target="https://www.google.com/maps/search/?api=1&amp;query=King+of+the+Wings+240+Stafford+Road+Stafford" TargetMode="External" Id="rId552" /><Relationship Type="http://schemas.openxmlformats.org/officeDocument/2006/relationships/hyperlink" Target="https://www.facebook.com/people/LilyLalas-Kebab/61568934639796/" TargetMode="External" Id="rId553" /><Relationship Type="http://schemas.openxmlformats.org/officeDocument/2006/relationships/hyperlink" Target="https://www.google.com/maps/search/?api=1&amp;query=Lily+%26+Lala+Kebab" TargetMode="External" Id="rId554" /><Relationship Type="http://schemas.openxmlformats.org/officeDocument/2006/relationships/hyperlink" Target="https://www.facebook.com/mountcottonseafood" TargetMode="External" Id="rId555" /><Relationship Type="http://schemas.openxmlformats.org/officeDocument/2006/relationships/hyperlink" Target="https://www.google.com/maps/search/?api=1&amp;query=Mount+Cotton+Seafood+101+Valley+Way+Mount+Cotton" TargetMode="External" Id="rId556" /><Relationship Type="http://schemas.openxmlformats.org/officeDocument/2006/relationships/hyperlink" Target="http://www.facebook.com/nessiesfishbite" TargetMode="External" Id="rId557" /><Relationship Type="http://schemas.openxmlformats.org/officeDocument/2006/relationships/hyperlink" Target="https://www.google.com/maps/search/?api=1&amp;query=Nessie%27s+Fish+Bite+14-18+Discovery+Drive" TargetMode="External" Id="rId558" /><Relationship Type="http://schemas.openxmlformats.org/officeDocument/2006/relationships/hyperlink" Target="https://www.facebook.com/RedHillSeafood" TargetMode="External" Id="rId559" /><Relationship Type="http://schemas.openxmlformats.org/officeDocument/2006/relationships/hyperlink" Target="https://www.google.com/maps/search/?api=1&amp;query=Red+Hill+Seafoods+22+Enoggera+Terrace+Red+Hill" TargetMode="External" Id="rId560" /><Relationship Type="http://schemas.openxmlformats.org/officeDocument/2006/relationships/hyperlink" Target="https://www.facebook.com/RockleaKebabandpizza/" TargetMode="External" Id="rId561" /><Relationship Type="http://schemas.openxmlformats.org/officeDocument/2006/relationships/hyperlink" Target="https://www.google.com/maps/search/?api=1&amp;query=Rocklea+Kebab+and+Pizza" TargetMode="External" Id="rId562" /><Relationship Type="http://schemas.openxmlformats.org/officeDocument/2006/relationships/hyperlink" Target="https://www.facebook.com/thedecktakeawayfood/" TargetMode="External" Id="rId563" /><Relationship Type="http://schemas.openxmlformats.org/officeDocument/2006/relationships/hyperlink" Target="https://www.google.com/maps/search/?api=1&amp;query=The+Deck+3+Currumbin+Court+Capalaba" TargetMode="External" Id="rId564" /><Relationship Type="http://schemas.openxmlformats.org/officeDocument/2006/relationships/hyperlink" Target="https://facebook.com/inksanetattooqld/" TargetMode="External" Id="rId565" /><Relationship Type="http://schemas.openxmlformats.org/officeDocument/2006/relationships/hyperlink" Target="https://www.google.com/maps/search/?api=1&amp;query=Inksane+199+Progress+Road" TargetMode="External" Id="rId566" /><Relationship Type="http://schemas.openxmlformats.org/officeDocument/2006/relationships/hyperlink" Target="https://www.facebook.com/savepointtattoo" TargetMode="External" Id="rId567" /><Relationship Type="http://schemas.openxmlformats.org/officeDocument/2006/relationships/hyperlink" Target="https://www.google.com/maps/search/?api=1&amp;query=Save+Point+Tattoo+645+Wynnum+Road+Morningside" TargetMode="External" Id="rId568" /><Relationship Type="http://schemas.openxmlformats.org/officeDocument/2006/relationships/hyperlink" Target="https://www.facebook.com/st.tattoos/" TargetMode="External" Id="rId569" /><Relationship Type="http://schemas.openxmlformats.org/officeDocument/2006/relationships/hyperlink" Target="https://www.google.com/maps/search/?api=1&amp;query=Stafford+Tattoo+259+Stafford+Road+Stafford" TargetMode="External" Id="rId570" /><Relationship Type="http://schemas.openxmlformats.org/officeDocument/2006/relationships/hyperlink" Target="https://www.facebook.com/Voodoo-Tattoo-193688920647994/" TargetMode="External" Id="rId571" /><Relationship Type="http://schemas.openxmlformats.org/officeDocument/2006/relationships/hyperlink" Target="https://www.google.com/maps/search/?api=1&amp;query=Voodoo+Tattoo" TargetMode="External" Id="rId572" /><Relationship Type="http://schemas.openxmlformats.org/officeDocument/2006/relationships/hyperlink" Target="https://www.facebook.com/allowayfarm/" TargetMode="External" Id="rId573" /><Relationship Type="http://schemas.openxmlformats.org/officeDocument/2006/relationships/hyperlink" Target="https://www.google.com/maps/search/?api=1&amp;query=Alloway+Farm+Market+1+Alloway+Siding+Road" TargetMode="External" Id="rId574" /><Relationship Type="http://schemas.openxmlformats.org/officeDocument/2006/relationships/hyperlink" Target="https://www.facebook.com/jelecelectricalcontractors/" TargetMode="External" Id="rId575" /><Relationship Type="http://schemas.openxmlformats.org/officeDocument/2006/relationships/hyperlink" Target="https://www.google.com/maps/search/?api=1&amp;query=J-Elec+Electrical+Contractors+24+Burrum+Street" TargetMode="External" Id="rId576" /><Relationship Type="http://schemas.openxmlformats.org/officeDocument/2006/relationships/hyperlink" Target="https://www.facebook.com/teddyespresso.com.au/" TargetMode="External" Id="rId577" /><Relationship Type="http://schemas.openxmlformats.org/officeDocument/2006/relationships/hyperlink" Target="https://www.google.com/maps/search/?api=1&amp;query=Teddy+Espresso" TargetMode="External" Id="rId578" /><Relationship Type="http://schemas.openxmlformats.org/officeDocument/2006/relationships/hyperlink" Target="https://www.facebook.com/ironstrengthpp/" TargetMode="External" Id="rId579" /><Relationship Type="http://schemas.openxmlformats.org/officeDocument/2006/relationships/hyperlink" Target="https://www.google.com/maps/search/?api=1&amp;query=Iron+strength+power+and+performance+268+Spence+Street" TargetMode="External" Id="rId580" /><Relationship Type="http://schemas.openxmlformats.org/officeDocument/2006/relationships/hyperlink" Target="https://facebook.com/tastyroad" TargetMode="External" Id="rId581" /><Relationship Type="http://schemas.openxmlformats.org/officeDocument/2006/relationships/hyperlink" Target="https://www.google.com/maps/search/?api=1&amp;query=Tasty+Road" TargetMode="External" Id="rId582" /><Relationship Type="http://schemas.openxmlformats.org/officeDocument/2006/relationships/hyperlink" Target="https://www.facebook.com/DolphinsHarbourisdeHotel/" TargetMode="External" Id="rId583" /><Relationship Type="http://schemas.openxmlformats.org/officeDocument/2006/relationships/hyperlink" Target="https://www.google.com/maps/search/?api=1&amp;query=Dolphins+Harbourside+Hotel+17-21+Wharf+Street" TargetMode="External" Id="rId584" /><Relationship Type="http://schemas.openxmlformats.org/officeDocument/2006/relationships/hyperlink" Target="https://www.facebook.com/p/Boulangerie-Vietnam-100086495847018/" TargetMode="External" Id="rId585" /><Relationship Type="http://schemas.openxmlformats.org/officeDocument/2006/relationships/hyperlink" Target="https://www.google.com/maps/search/?api=1&amp;query=Boulangerie+Vietnam" TargetMode="External" Id="rId586" /><Relationship Type="http://schemas.openxmlformats.org/officeDocument/2006/relationships/hyperlink" Target="https://facebook.com/ladedabakery/" TargetMode="External" Id="rId587" /><Relationship Type="http://schemas.openxmlformats.org/officeDocument/2006/relationships/hyperlink" Target="https://www.google.com/maps/search/?api=1&amp;query=La+De+Da+99+Kennedy+Drive+Tweed+Heads" TargetMode="External" Id="rId588" /><Relationship Type="http://schemas.openxmlformats.org/officeDocument/2006/relationships/hyperlink" Target="https://www.facebook.com/lakesidebakerypalmbeach" TargetMode="External" Id="rId589" /><Relationship Type="http://schemas.openxmlformats.org/officeDocument/2006/relationships/hyperlink" Target="https://www.google.com/maps/search/?api=1&amp;query=Lakeside+Bakery+16+Philippine+Parade" TargetMode="External" Id="rId590" /><Relationship Type="http://schemas.openxmlformats.org/officeDocument/2006/relationships/hyperlink" Target="https://www.facebook.com/hellomrbake/" TargetMode="External" Id="rId591" /><Relationship Type="http://schemas.openxmlformats.org/officeDocument/2006/relationships/hyperlink" Target="https://www.google.com/maps/search/?api=1&amp;query=MR+Bake" TargetMode="External" Id="rId592" /><Relationship Type="http://schemas.openxmlformats.org/officeDocument/2006/relationships/hyperlink" Target="https://www.facebook.com/TheOrientalBakery/" TargetMode="External" Id="rId593" /><Relationship Type="http://schemas.openxmlformats.org/officeDocument/2006/relationships/hyperlink" Target="https://www.google.com/maps/search/?api=1&amp;query=Oriental+Bakery" TargetMode="External" Id="rId594" /><Relationship Type="http://schemas.openxmlformats.org/officeDocument/2006/relationships/hyperlink" Target="https://www.facebook.com/people/Pan-200-Daily-Bakery/100077636797482/" TargetMode="External" Id="rId595" /><Relationship Type="http://schemas.openxmlformats.org/officeDocument/2006/relationships/hyperlink" Target="https://www.google.com/maps/search/?api=1&amp;query=Pan+200+Daily+Bakery+48A+Nerang+Street" TargetMode="External" Id="rId596" /><Relationship Type="http://schemas.openxmlformats.org/officeDocument/2006/relationships/hyperlink" Target="https://www.facebook.com/madockebeer/" TargetMode="External" Id="rId597" /><Relationship Type="http://schemas.openxmlformats.org/officeDocument/2006/relationships/hyperlink" Target="https://www.google.com/maps/search/?api=1&amp;query=Madocke+Beer+Brewing+Co+286+Southport+Nerang+Road" TargetMode="External" Id="rId598" /><Relationship Type="http://schemas.openxmlformats.org/officeDocument/2006/relationships/hyperlink" Target="https://www.facebook.com/people/5th-Avenue-Hair-Palm-Beach/100090549709595/" TargetMode="External" Id="rId599" /><Relationship Type="http://schemas.openxmlformats.org/officeDocument/2006/relationships/hyperlink" Target="https://www.google.com/maps/search/?api=1&amp;query=5th+Avenue+Hair" TargetMode="External" Id="rId600" /><Relationship Type="http://schemas.openxmlformats.org/officeDocument/2006/relationships/hyperlink" Target="https://facebook.com/barberandcapelli" TargetMode="External" Id="rId601" /><Relationship Type="http://schemas.openxmlformats.org/officeDocument/2006/relationships/hyperlink" Target="https://www.google.com/maps/search/?api=1&amp;query=Barber+%26+Capelli+Co+2098+Gold+Coast+Highway+Miami" TargetMode="External" Id="rId602" /><Relationship Type="http://schemas.openxmlformats.org/officeDocument/2006/relationships/hyperlink" Target="https://www.instagram.com/bimbos.gc/" TargetMode="External" Id="rId603" /><Relationship Type="http://schemas.openxmlformats.org/officeDocument/2006/relationships/hyperlink" Target="https://www.facebook.com/p/Blondie-hair-co-100078309943317/" TargetMode="External" Id="rId604" /><Relationship Type="http://schemas.openxmlformats.org/officeDocument/2006/relationships/hyperlink" Target="https://www.google.com/maps/search/?api=1&amp;query=Bimbos+Hair+15+Palm+Beach+Avenue" TargetMode="External" Id="rId605" /><Relationship Type="http://schemas.openxmlformats.org/officeDocument/2006/relationships/hyperlink" Target="https://www.facebook.com/brazabarbergc/about/" TargetMode="External" Id="rId606" /><Relationship Type="http://schemas.openxmlformats.org/officeDocument/2006/relationships/hyperlink" Target="https://www.google.com/maps/search/?api=1&amp;query=Brazabarber" TargetMode="External" Id="rId607" /><Relationship Type="http://schemas.openxmlformats.org/officeDocument/2006/relationships/hyperlink" Target="https://www.facebook.com/colournationpalmbeach/" TargetMode="External" Id="rId608" /><Relationship Type="http://schemas.openxmlformats.org/officeDocument/2006/relationships/hyperlink" Target="https://www.google.com/maps/search/?api=1&amp;query=Colour+Nation+24+Philippine+Parade" TargetMode="External" Id="rId609" /><Relationship Type="http://schemas.openxmlformats.org/officeDocument/2006/relationships/hyperlink" Target="https://www.facebook.com/getsmarthairbodysoul/" TargetMode="External" Id="rId610" /><Relationship Type="http://schemas.openxmlformats.org/officeDocument/2006/relationships/hyperlink" Target="https://www.google.com/maps/search/?api=1&amp;query=Get+Smart+Hair+Body+%26+Soul" TargetMode="External" Id="rId611" /><Relationship Type="http://schemas.openxmlformats.org/officeDocument/2006/relationships/hyperlink" Target="https://www.facebook.com/HairAffairBurleigh/" TargetMode="External" Id="rId612" /><Relationship Type="http://schemas.openxmlformats.org/officeDocument/2006/relationships/hyperlink" Target="https://www.google.com/maps/search/?api=1&amp;query=Hair+Affair" TargetMode="External" Id="rId613" /><Relationship Type="http://schemas.openxmlformats.org/officeDocument/2006/relationships/hyperlink" Target="https://www.facebook.com/hairbyserena.goldcoast/" TargetMode="External" Id="rId614" /><Relationship Type="http://schemas.openxmlformats.org/officeDocument/2006/relationships/hyperlink" Target="https://www.google.com/maps/search/?api=1&amp;query=Hair+by+Serena" TargetMode="External" Id="rId615" /><Relationship Type="http://schemas.openxmlformats.org/officeDocument/2006/relationships/hyperlink" Target="https://www.facebook.com/Intro-Hair-Burleigh-1626887570895425/" TargetMode="External" Id="rId616" /><Relationship Type="http://schemas.openxmlformats.org/officeDocument/2006/relationships/hyperlink" Target="https://www.google.com/maps/search/?api=1&amp;query=Intro+Hairdressing" TargetMode="External" Id="rId617" /><Relationship Type="http://schemas.openxmlformats.org/officeDocument/2006/relationships/hyperlink" Target="https://www.facebook.com/jeanniesbarbershop/" TargetMode="External" Id="rId618" /><Relationship Type="http://schemas.openxmlformats.org/officeDocument/2006/relationships/hyperlink" Target="https://www.google.com/maps/search/?api=1&amp;query=Jeannie%27s+Barber+Shop" TargetMode="External" Id="rId619" /><Relationship Type="http://schemas.openxmlformats.org/officeDocument/2006/relationships/hyperlink" Target="https://www.facebook.com/KelisKutz/" TargetMode="External" Id="rId620" /><Relationship Type="http://schemas.openxmlformats.org/officeDocument/2006/relationships/hyperlink" Target="https://www.google.com/maps/search/?api=1&amp;query=Keli%27s+Kuts" TargetMode="External" Id="rId621" /><Relationship Type="http://schemas.openxmlformats.org/officeDocument/2006/relationships/hyperlink" Target="https://www.facebook.com/loveisinthehairhairsalon/" TargetMode="External" Id="rId622" /><Relationship Type="http://schemas.openxmlformats.org/officeDocument/2006/relationships/hyperlink" Target="https://www.google.com/maps/search/?api=1&amp;query=Love+is+in+the+hair" TargetMode="External" Id="rId623" /><Relationship Type="http://schemas.openxmlformats.org/officeDocument/2006/relationships/hyperlink" Target="https://www.facebook.com/NewlengthsNobbyBeach/" TargetMode="External" Id="rId624" /><Relationship Type="http://schemas.openxmlformats.org/officeDocument/2006/relationships/hyperlink" Target="https://www.google.com/maps/search/?api=1&amp;query=Newlengths+Hairdressing" TargetMode="External" Id="rId625" /><Relationship Type="http://schemas.openxmlformats.org/officeDocument/2006/relationships/hyperlink" Target="https://www.facebook.com/p/Old-Wileys-Barbershop-100063607865296/" TargetMode="External" Id="rId626" /><Relationship Type="http://schemas.openxmlformats.org/officeDocument/2006/relationships/hyperlink" Target="https://www.google.com/maps/search/?api=1&amp;query=Old+Wiley%27s+Barbershop" TargetMode="External" Id="rId627" /><Relationship Type="http://schemas.openxmlformats.org/officeDocument/2006/relationships/hyperlink" Target="https://www.facebook.com/profile.php?id=100063804390042" TargetMode="External" Id="rId628" /><Relationship Type="http://schemas.openxmlformats.org/officeDocument/2006/relationships/hyperlink" Target="https://www.google.com/maps/search/?api=1&amp;query=Rachael%27s+Hair+Studio" TargetMode="External" Id="rId629" /><Relationship Type="http://schemas.openxmlformats.org/officeDocument/2006/relationships/hyperlink" Target="https://www.facebook.com/people/Salty-dogs-barber-shop/100050556597140/" TargetMode="External" Id="rId630" /><Relationship Type="http://schemas.openxmlformats.org/officeDocument/2006/relationships/hyperlink" Target="https://www.google.com/maps/search/?api=1&amp;query=Saltydogs+Barber+Shop+10+Fifth+Avenue" TargetMode="External" Id="rId631" /><Relationship Type="http://schemas.openxmlformats.org/officeDocument/2006/relationships/hyperlink" Target="https://www.instagram.com/styleaddict_hairmastery/?hl=en" TargetMode="External" Id="rId632" /><Relationship Type="http://schemas.openxmlformats.org/officeDocument/2006/relationships/hyperlink" Target="https://www.google.com/maps/search/?api=1&amp;query=Style+Addict" TargetMode="External" Id="rId633" /><Relationship Type="http://schemas.openxmlformats.org/officeDocument/2006/relationships/hyperlink" Target="https://instagram.com/this.studioandco" TargetMode="External" Id="rId634" /><Relationship Type="http://schemas.openxmlformats.org/officeDocument/2006/relationships/hyperlink" Target="https://facebook.com/this.studioandco" TargetMode="External" Id="rId635" /><Relationship Type="http://schemas.openxmlformats.org/officeDocument/2006/relationships/hyperlink" Target="https://thisstudioandco.com.au" TargetMode="External" Id="rId636" /><Relationship Type="http://schemas.openxmlformats.org/officeDocument/2006/relationships/hyperlink" Target="https://www.google.com/maps/search/?api=1&amp;query=This+studio%26co" TargetMode="External" Id="rId637" /><Relationship Type="http://schemas.openxmlformats.org/officeDocument/2006/relationships/hyperlink" Target="https://www.facebook.com/zinahairstudio/" TargetMode="External" Id="rId638" /><Relationship Type="http://schemas.openxmlformats.org/officeDocument/2006/relationships/hyperlink" Target="https://www.google.com/maps/search/?api=1&amp;query=Zina+Hair+Studio" TargetMode="External" Id="rId639" /><Relationship Type="http://schemas.openxmlformats.org/officeDocument/2006/relationships/hyperlink" Target="https://www.facebook.com/frontyardsgc/" TargetMode="External" Id="rId640" /><Relationship Type="http://schemas.openxmlformats.org/officeDocument/2006/relationships/hyperlink" Target="https://www.google.com/maps/search/?api=1&amp;query=The+Courtyard+Co+36+Seabeach+Avenue" TargetMode="External" Id="rId641" /><Relationship Type="http://schemas.openxmlformats.org/officeDocument/2006/relationships/hyperlink" Target="https://facebook.com/people/Desire-on-James/100057670328902" TargetMode="External" Id="rId642" /><Relationship Type="http://schemas.openxmlformats.org/officeDocument/2006/relationships/hyperlink" Target="https://www.google.com/maps/search/?api=1&amp;query=Desire+50+James+Street" TargetMode="External" Id="rId643" /><Relationship Type="http://schemas.openxmlformats.org/officeDocument/2006/relationships/hyperlink" Target="https://www.facebook.com/Bjsnacksburleighheads/" TargetMode="External" Id="rId644" /><Relationship Type="http://schemas.openxmlformats.org/officeDocument/2006/relationships/hyperlink" Target="https://www.google.com/maps/search/?api=1&amp;query=BJ+Snacks" TargetMode="External" Id="rId645" /><Relationship Type="http://schemas.openxmlformats.org/officeDocument/2006/relationships/hyperlink" Target="https://www.facebook.com/Cafe-Biaggi-110229862373489/" TargetMode="External" Id="rId646" /><Relationship Type="http://schemas.openxmlformats.org/officeDocument/2006/relationships/hyperlink" Target="https://www.google.com/maps/search/?api=1&amp;query=Caf%C3%A9+Biaggi" TargetMode="External" Id="rId647" /><Relationship Type="http://schemas.openxmlformats.org/officeDocument/2006/relationships/hyperlink" Target="https://www.facebook.com/Commune-188007077908552/" TargetMode="External" Id="rId648" /><Relationship Type="http://schemas.openxmlformats.org/officeDocument/2006/relationships/hyperlink" Target="https://www.google.com/maps/search/?api=1&amp;query=Commune+1844+Gold+Coast+Highway" TargetMode="External" Id="rId649" /><Relationship Type="http://schemas.openxmlformats.org/officeDocument/2006/relationships/hyperlink" Target="https://www.facebook.com/dailygrindburleigh/" TargetMode="External" Id="rId650" /><Relationship Type="http://schemas.openxmlformats.org/officeDocument/2006/relationships/hyperlink" Target="https://www.google.com/maps/search/?api=1&amp;query=Daily+Grind" TargetMode="External" Id="rId651" /><Relationship Type="http://schemas.openxmlformats.org/officeDocument/2006/relationships/hyperlink" Target="https://www.facebook.com/FreshCoffeeBarVarsity/" TargetMode="External" Id="rId652" /><Relationship Type="http://schemas.openxmlformats.org/officeDocument/2006/relationships/hyperlink" Target="https://www.google.com/maps/search/?api=1&amp;query=Fresh+Coffee+Bar" TargetMode="External" Id="rId653" /><Relationship Type="http://schemas.openxmlformats.org/officeDocument/2006/relationships/hyperlink" Target="https://www.facebook.com/hidenseekespresso13/" TargetMode="External" Id="rId654" /><Relationship Type="http://schemas.openxmlformats.org/officeDocument/2006/relationships/hyperlink" Target="https://www.google.com/maps/search/?api=1&amp;query=Hide+N+Seek+Espresso" TargetMode="External" Id="rId655" /><Relationship Type="http://schemas.openxmlformats.org/officeDocument/2006/relationships/hyperlink" Target="https://www.instagram.com/littlebanditscoffee/" TargetMode="External" Id="rId656" /><Relationship Type="http://schemas.openxmlformats.org/officeDocument/2006/relationships/hyperlink" Target="https://www.google.com/maps/search/?api=1&amp;query=Little+Bandits+Coffee+%26+More" TargetMode="External" Id="rId657" /><Relationship Type="http://schemas.openxmlformats.org/officeDocument/2006/relationships/hyperlink" Target="https://www.facebook.com/morecoffeepleasecafe/" TargetMode="External" Id="rId658" /><Relationship Type="http://schemas.openxmlformats.org/officeDocument/2006/relationships/hyperlink" Target="https://www.google.com/maps/search/?api=1&amp;query=More+Coffee+Please" TargetMode="External" Id="rId659" /><Relationship Type="http://schemas.openxmlformats.org/officeDocument/2006/relationships/hyperlink" Target="https://instagram.com/nicheandco" TargetMode="External" Id="rId660" /><Relationship Type="http://schemas.openxmlformats.org/officeDocument/2006/relationships/hyperlink" Target="https://facebook.com/nicheandco" TargetMode="External" Id="rId661" /><Relationship Type="http://schemas.openxmlformats.org/officeDocument/2006/relationships/hyperlink" Target="https://nicheandco.com.au" TargetMode="External" Id="rId662" /><Relationship Type="http://schemas.openxmlformats.org/officeDocument/2006/relationships/hyperlink" Target="https://www.google.com/maps/search/?api=1&amp;query=Niche+%26+Co+449+Golden+Four+Drive" TargetMode="External" Id="rId663" /><Relationship Type="http://schemas.openxmlformats.org/officeDocument/2006/relationships/hyperlink" Target="https://www.instagram.com/profile_coffee_colab/" TargetMode="External" Id="rId664" /><Relationship Type="http://schemas.openxmlformats.org/officeDocument/2006/relationships/hyperlink" Target="https://www.google.com/maps/search/?api=1&amp;query=Profile+Coffee+Co-Lab" TargetMode="External" Id="rId665" /><Relationship Type="http://schemas.openxmlformats.org/officeDocument/2006/relationships/hyperlink" Target="https://instagram.com/quadeandco" TargetMode="External" Id="rId666" /><Relationship Type="http://schemas.openxmlformats.org/officeDocument/2006/relationships/hyperlink" Target="https://facebook.com/quadeandco" TargetMode="External" Id="rId667" /><Relationship Type="http://schemas.openxmlformats.org/officeDocument/2006/relationships/hyperlink" Target="https://www.google.com/maps/search/?api=1&amp;query=Quade+%26+Co+2098+Gold+Coast+Highway+Miami" TargetMode="External" Id="rId668" /><Relationship Type="http://schemas.openxmlformats.org/officeDocument/2006/relationships/hyperlink" Target="https://www.facebook.com/marieanitas/" TargetMode="External" Id="rId669" /><Relationship Type="http://schemas.openxmlformats.org/officeDocument/2006/relationships/hyperlink" Target="https://www.google.com/maps/search/?api=1&amp;query=See+Y%C3%B6+Cafe+%26+Bakery" TargetMode="External" Id="rId670" /><Relationship Type="http://schemas.openxmlformats.org/officeDocument/2006/relationships/hyperlink" Target="https://www.facebook.com/StreetCornerEspresso/" TargetMode="External" Id="rId671" /><Relationship Type="http://schemas.openxmlformats.org/officeDocument/2006/relationships/hyperlink" Target="https://www.google.com/maps/search/?api=1&amp;query=Street+Corner+Espresso" TargetMode="External" Id="rId672" /><Relationship Type="http://schemas.openxmlformats.org/officeDocument/2006/relationships/hyperlink" Target="https://www.facebook.com/thekumarapatch/" TargetMode="External" Id="rId673" /><Relationship Type="http://schemas.openxmlformats.org/officeDocument/2006/relationships/hyperlink" Target="https://www.google.com/maps/search/?api=1&amp;query=The+Kumara+Patch" TargetMode="External" Id="rId674" /><Relationship Type="http://schemas.openxmlformats.org/officeDocument/2006/relationships/hyperlink" Target="https://www.facebook.com/thepresscafecoomera/" TargetMode="External" Id="rId675" /><Relationship Type="http://schemas.openxmlformats.org/officeDocument/2006/relationships/hyperlink" Target="https://www.google.com/maps/search/?api=1&amp;query=The+Press+Cafe+25+Harbour+Village+Parade+Coomera" TargetMode="External" Id="rId676" /><Relationship Type="http://schemas.openxmlformats.org/officeDocument/2006/relationships/hyperlink" Target="https://www.facebook.com/treehouseonthehill/" TargetMode="External" Id="rId677" /><Relationship Type="http://schemas.openxmlformats.org/officeDocument/2006/relationships/hyperlink" Target="https://www.google.com/maps/search/?api=1&amp;query=The+Treehouse+161+Long+Road+Tamborine+Mountain" TargetMode="External" Id="rId678" /><Relationship Type="http://schemas.openxmlformats.org/officeDocument/2006/relationships/hyperlink" Target="https://www.facebook.com/Broccoli.Brothers.Treetops.Plaza/" TargetMode="External" Id="rId679" /><Relationship Type="http://schemas.openxmlformats.org/officeDocument/2006/relationships/hyperlink" Target="https://www.google.com/maps/search/?api=1&amp;query=Broccoli+Brothers" TargetMode="External" Id="rId680" /><Relationship Type="http://schemas.openxmlformats.org/officeDocument/2006/relationships/hyperlink" Target="https://www.facebook.com/p/Gold-Coast-Growers-Market-100063543881581/" TargetMode="External" Id="rId681" /><Relationship Type="http://schemas.openxmlformats.org/officeDocument/2006/relationships/hyperlink" Target="https://www.google.com/maps/search/?api=1&amp;query=Gold+Coast+Growers+Market" TargetMode="External" Id="rId682" /><Relationship Type="http://schemas.openxmlformats.org/officeDocument/2006/relationships/hyperlink" Target="https://www.facebook.com/Kingswoodparkbutchery/" TargetMode="External" Id="rId683" /><Relationship Type="http://schemas.openxmlformats.org/officeDocument/2006/relationships/hyperlink" Target="https://www.google.com/maps/search/?api=1&amp;query=Kingswood+Park+Butchery+15+Palm+Beach+Avenue" TargetMode="External" Id="rId684" /><Relationship Type="http://schemas.openxmlformats.org/officeDocument/2006/relationships/hyperlink" Target="https://www.instagram.com/lakeside_quality_meats" TargetMode="External" Id="rId685" /><Relationship Type="http://schemas.openxmlformats.org/officeDocument/2006/relationships/hyperlink" Target="https://www.facebook.com/lakesidequalitymeatspalmbeach/" TargetMode="External" Id="rId686" /><Relationship Type="http://schemas.openxmlformats.org/officeDocument/2006/relationships/hyperlink" Target="https://www.google.com/maps/search/?api=1&amp;query=Lakeside+Quality+Meats+17+Philippine+Parade" TargetMode="External" Id="rId687" /><Relationship Type="http://schemas.openxmlformats.org/officeDocument/2006/relationships/hyperlink" Target="https://www.facebook.com/lovedaysqualitymeats/" TargetMode="External" Id="rId688" /><Relationship Type="http://schemas.openxmlformats.org/officeDocument/2006/relationships/hyperlink" Target="https://www.google.com/maps/search/?api=1&amp;query=Loveday%E2%80%99s+Quality+Meats" TargetMode="External" Id="rId689" /><Relationship Type="http://schemas.openxmlformats.org/officeDocument/2006/relationships/hyperlink" Target="https://www.instagram.com/saltandsmoke_meatco/" TargetMode="External" Id="rId690" /><Relationship Type="http://schemas.openxmlformats.org/officeDocument/2006/relationships/hyperlink" Target="https://www.facebook.com/saltandsmokemeatco/" TargetMode="External" Id="rId691" /><Relationship Type="http://schemas.openxmlformats.org/officeDocument/2006/relationships/hyperlink" Target="https://www.google.com/maps/search/?api=1&amp;query=Salt+%26+Smoke+Meat+Co+10+Fifth+Avenue" TargetMode="External" Id="rId692" /><Relationship Type="http://schemas.openxmlformats.org/officeDocument/2006/relationships/hyperlink" Target="https://facebook.com/thebutcherstablenerang" TargetMode="External" Id="rId693" /><Relationship Type="http://schemas.openxmlformats.org/officeDocument/2006/relationships/hyperlink" Target="https://www.google.com/maps/search/?api=1&amp;query=The+Butcher%27s+Table" TargetMode="External" Id="rId694" /><Relationship Type="http://schemas.openxmlformats.org/officeDocument/2006/relationships/hyperlink" Target="https://instagram.com/vishnusfreshfruitsanvegetables" TargetMode="External" Id="rId695" /><Relationship Type="http://schemas.openxmlformats.org/officeDocument/2006/relationships/hyperlink" Target="https://facebook.com/people/Vish-Fruit-veg/100063856403485" TargetMode="External" Id="rId696" /><Relationship Type="http://schemas.openxmlformats.org/officeDocument/2006/relationships/hyperlink" Target="https://www.google.com/maps/search/?api=1&amp;query=Vish+Fruit+%26+Veg" TargetMode="External" Id="rId697" /><Relationship Type="http://schemas.openxmlformats.org/officeDocument/2006/relationships/hyperlink" Target="https://www.facebook.com/ImpactFurnitureFinishers/" TargetMode="External" Id="rId698" /><Relationship Type="http://schemas.openxmlformats.org/officeDocument/2006/relationships/hyperlink" Target="https://www.google.com/maps/search/?api=1&amp;query=Impact+Furniture+Finishers" TargetMode="External" Id="rId699" /><Relationship Type="http://schemas.openxmlformats.org/officeDocument/2006/relationships/hyperlink" Target="https://www.facebook.com/2251GCHWY/" TargetMode="External" Id="rId700" /><Relationship Type="http://schemas.openxmlformats.org/officeDocument/2006/relationships/hyperlink" Target="https://www.google.com/maps/search/?api=1&amp;query=The+Best+Things+Jewellery" TargetMode="External" Id="rId701" /><Relationship Type="http://schemas.openxmlformats.org/officeDocument/2006/relationships/hyperlink" Target="https://www.instagram.com/palmbeachcellars/" TargetMode="External" Id="rId702" /><Relationship Type="http://schemas.openxmlformats.org/officeDocument/2006/relationships/hyperlink" Target="https://www.google.com/maps/search/?api=1&amp;query=Palm+Beach+Cellars+4-10+Philippine+Parade" TargetMode="External" Id="rId703" /><Relationship Type="http://schemas.openxmlformats.org/officeDocument/2006/relationships/hyperlink" Target="https://www.facebook.com/BundallSmash/" TargetMode="External" Id="rId704" /><Relationship Type="http://schemas.openxmlformats.org/officeDocument/2006/relationships/hyperlink" Target="https://www.google.com/maps/search/?api=1&amp;query=Bundall+Smash+Repairs" TargetMode="External" Id="rId705" /><Relationship Type="http://schemas.openxmlformats.org/officeDocument/2006/relationships/hyperlink" Target="https://www.facebook.com/Craigs-Detailing-118049508275423/" TargetMode="External" Id="rId706" /><Relationship Type="http://schemas.openxmlformats.org/officeDocument/2006/relationships/hyperlink" Target="https://www.google.com/maps/search/?api=1&amp;query=Craig%27s+Detailing" TargetMode="External" Id="rId707" /><Relationship Type="http://schemas.openxmlformats.org/officeDocument/2006/relationships/hyperlink" Target="https://www.facebook.com/pages/category/Automotive-Repair-Shop/George-Gray-Motors-1800438436943462/" TargetMode="External" Id="rId708" /><Relationship Type="http://schemas.openxmlformats.org/officeDocument/2006/relationships/hyperlink" Target="https://www.google.com/maps/search/?api=1&amp;query=George+Gray+Motors" TargetMode="External" Id="rId709" /><Relationship Type="http://schemas.openxmlformats.org/officeDocument/2006/relationships/hyperlink" Target="https://www.facebook.com/pages/Guys-Bodyworks-Southport/190128311365007" TargetMode="External" Id="rId710" /><Relationship Type="http://schemas.openxmlformats.org/officeDocument/2006/relationships/hyperlink" Target="https://www.google.com/maps/search/?api=1&amp;query=Guys+Bodyworks" TargetMode="External" Id="rId711" /><Relationship Type="http://schemas.openxmlformats.org/officeDocument/2006/relationships/hyperlink" Target="https://www.facebook.com/p/Toyotechniks-100063546062838/" TargetMode="External" Id="rId712" /><Relationship Type="http://schemas.openxmlformats.org/officeDocument/2006/relationships/hyperlink" Target="https://www.google.com/maps/search/?api=1&amp;query=ToyoTechniks" TargetMode="External" Id="rId713" /><Relationship Type="http://schemas.openxmlformats.org/officeDocument/2006/relationships/hyperlink" Target="https://www.facebook.com/p/Woodys-Auto-Electrics-100054551465189/" TargetMode="External" Id="rId714" /><Relationship Type="http://schemas.openxmlformats.org/officeDocument/2006/relationships/hyperlink" Target="https://www.google.com/maps/search/?api=1&amp;query=Woodys+Auto+Electrics" TargetMode="External" Id="rId715" /><Relationship Type="http://schemas.openxmlformats.org/officeDocument/2006/relationships/hyperlink" Target="https://www.facebook.com/pg/Burleigh-Pet-Stockfeed-Supplies-893075937451992/about/" TargetMode="External" Id="rId716" /><Relationship Type="http://schemas.openxmlformats.org/officeDocument/2006/relationships/hyperlink" Target="https://www.google.com/maps/search/?api=1&amp;query=Burleigh+Pet+%26+Stockfeed+Supplies" TargetMode="External" Id="rId717" /><Relationship Type="http://schemas.openxmlformats.org/officeDocument/2006/relationships/hyperlink" Target="https://www.facebook.com/people/Fat-Chicken-West-Burleigh/100063635289144/" TargetMode="External" Id="rId718" /><Relationship Type="http://schemas.openxmlformats.org/officeDocument/2006/relationships/hyperlink" Target="https://www.google.com/maps/search/?api=1&amp;query=Fat+Chicken+5+Tallebudgera+Creek+Road" TargetMode="External" Id="rId719" /><Relationship Type="http://schemas.openxmlformats.org/officeDocument/2006/relationships/hyperlink" Target="https://www.facebook.com/MOFOSTWEEDHEADS/" TargetMode="External" Id="rId720" /><Relationship Type="http://schemas.openxmlformats.org/officeDocument/2006/relationships/hyperlink" Target="https://www.google.com/maps/search/?api=1&amp;query=MOFOS+Tweed+Heads+67A+Minjungbal+Drive" TargetMode="External" Id="rId721" /><Relationship Type="http://schemas.openxmlformats.org/officeDocument/2006/relationships/hyperlink" Target="https://www.facebook.com/notoriouseat/" TargetMode="External" Id="rId722" /><Relationship Type="http://schemas.openxmlformats.org/officeDocument/2006/relationships/hyperlink" Target="https://www.google.com/maps/search/?api=1&amp;query=Notorious+E.A.T+Food+Truck" TargetMode="External" Id="rId723" /><Relationship Type="http://schemas.openxmlformats.org/officeDocument/2006/relationships/hyperlink" Target="https://www.facebook.com/hareetattoostudio/" TargetMode="External" Id="rId724" /><Relationship Type="http://schemas.openxmlformats.org/officeDocument/2006/relationships/hyperlink" Target="https://www.google.com/maps/search/?api=1&amp;query=Haree+Tattoo+Studio" TargetMode="External" Id="rId725" /><Relationship Type="http://schemas.openxmlformats.org/officeDocument/2006/relationships/hyperlink" Target="https://instagram.com/inkhanced" TargetMode="External" Id="rId726" /><Relationship Type="http://schemas.openxmlformats.org/officeDocument/2006/relationships/hyperlink" Target="https://facebook.com/Inkhanced" TargetMode="External" Id="rId727" /><Relationship Type="http://schemas.openxmlformats.org/officeDocument/2006/relationships/hyperlink" Target="https://www.google.com/maps/search/?api=1&amp;query=Inkhanced+Cosmetic+Tattoo" TargetMode="External" Id="rId728" /><Relationship Type="http://schemas.openxmlformats.org/officeDocument/2006/relationships/hyperlink" Target="https://www.instagram.com/lafemmetattoohouse/" TargetMode="External" Id="rId729" /><Relationship Type="http://schemas.openxmlformats.org/officeDocument/2006/relationships/hyperlink" Target="https://www.google.com/maps/search/?api=1&amp;query=La+Femme+Tattoo+House" TargetMode="External" Id="rId730" /><Relationship Type="http://schemas.openxmlformats.org/officeDocument/2006/relationships/hyperlink" Target="https://instagram.com/visiontattoomiami" TargetMode="External" Id="rId731" /><Relationship Type="http://schemas.openxmlformats.org/officeDocument/2006/relationships/hyperlink" Target="https://facebook.com/visiontattoomiami" TargetMode="External" Id="rId732" /><Relationship Type="http://schemas.openxmlformats.org/officeDocument/2006/relationships/hyperlink" Target="https://www.google.com/maps/search/?api=1&amp;query=Vision+Tattoo+Studio" TargetMode="External" Id="rId733" /><Relationship Type="http://schemas.openxmlformats.org/officeDocument/2006/relationships/hyperlink" Target="https://www.facebook.com/Mt-Pleasant-Hotel-Gympie-Qld-102265668185990/" TargetMode="External" Id="rId734" /><Relationship Type="http://schemas.openxmlformats.org/officeDocument/2006/relationships/hyperlink" Target="https://www.google.com/maps/search/?api=1&amp;query=Mt+Pleasant+Hotel+69+Mount+Pleasant+Road+Gympie" TargetMode="External" Id="rId735" /><Relationship Type="http://schemas.openxmlformats.org/officeDocument/2006/relationships/hyperlink" Target="https://www.instagram.com/southside_takeaways" TargetMode="External" Id="rId736" /><Relationship Type="http://schemas.openxmlformats.org/officeDocument/2006/relationships/hyperlink" Target="https://www.google.com/maps/search/?api=1&amp;query=Southside+Takeaways+31+Exhibition+Road" TargetMode="External" Id="rId737" /><Relationship Type="http://schemas.openxmlformats.org/officeDocument/2006/relationships/hyperlink" Target="https://www.facebook.com/FederalHotelIpswich/" TargetMode="External" Id="rId738" /><Relationship Type="http://schemas.openxmlformats.org/officeDocument/2006/relationships/hyperlink" Target="https://www.google.com/maps/search/?api=1&amp;query=Federal+Hotel+214+Brisbane+Street+Ipswich" TargetMode="External" Id="rId739" /><Relationship Type="http://schemas.openxmlformats.org/officeDocument/2006/relationships/hyperlink" Target="https://www.facebook.com/HeavyW8Barbers/" TargetMode="External" Id="rId740" /><Relationship Type="http://schemas.openxmlformats.org/officeDocument/2006/relationships/hyperlink" Target="https://www.google.com/maps/search/?api=1&amp;query=HeavyW8+Barbers+57A+Pine+Mountain+Road+North+Ipswich" TargetMode="External" Id="rId741" /><Relationship Type="http://schemas.openxmlformats.org/officeDocument/2006/relationships/hyperlink" Target="https://www.facebook.com/Ellenandrod/" TargetMode="External" Id="rId742" /><Relationship Type="http://schemas.openxmlformats.org/officeDocument/2006/relationships/hyperlink" Target="https://www.google.com/maps/search/?api=1&amp;query=Ellen+%26+Rod+Cafe+55+Ellenborough+Street+Ipswich" TargetMode="External" Id="rId743" /><Relationship Type="http://schemas.openxmlformats.org/officeDocument/2006/relationships/hyperlink" Target="https://www.facebook.com/thechamberscafe" TargetMode="External" Id="rId744" /><Relationship Type="http://schemas.openxmlformats.org/officeDocument/2006/relationships/hyperlink" Target="https://www.google.com/maps/search/?api=1&amp;query=The+Chambers+Cafe+43+Ellenborough+Street+Ipswich" TargetMode="External" Id="rId745" /><Relationship Type="http://schemas.openxmlformats.org/officeDocument/2006/relationships/hyperlink" Target="https://www.facebook.com/towercentralcafeipswich/" TargetMode="External" Id="rId746" /><Relationship Type="http://schemas.openxmlformats.org/officeDocument/2006/relationships/hyperlink" Target="https://www.google.com/maps/search/?api=1&amp;query=Tower+Central+Cafe+114+Brisbane+Street+Ipswich" TargetMode="External" Id="rId747" /><Relationship Type="http://schemas.openxmlformats.org/officeDocument/2006/relationships/hyperlink" Target="https://www.facebook.com/brettsmithandco/" TargetMode="External" Id="rId748" /><Relationship Type="http://schemas.openxmlformats.org/officeDocument/2006/relationships/hyperlink" Target="https://www.google.com/maps/search/?api=1&amp;query=Brett+Smith+%26+Co.+Solicitors+Churchill+Street+Ipswich" TargetMode="External" Id="rId749" /><Relationship Type="http://schemas.openxmlformats.org/officeDocument/2006/relationships/hyperlink" Target="https://www.facebook.com/HoeInnFoodBar/" TargetMode="External" Id="rId750" /><Relationship Type="http://schemas.openxmlformats.org/officeDocument/2006/relationships/hyperlink" Target="https://www.google.com/maps/search/?api=1&amp;query=Hoe+Inn+Food+Bar+57+Limestone+Street+Ipswich" TargetMode="External" Id="rId751" /><Relationship Type="http://schemas.openxmlformats.org/officeDocument/2006/relationships/hyperlink" Target="https://facebook.com/hotpropertymackay" TargetMode="External" Id="rId752" /><Relationship Type="http://schemas.openxmlformats.org/officeDocument/2006/relationships/hyperlink" Target="https://www.google.com/maps/search/?api=1&amp;query=Hot+Property+Realty+118+Sams+Road" TargetMode="External" Id="rId753" /><Relationship Type="http://schemas.openxmlformats.org/officeDocument/2006/relationships/hyperlink" Target="https://www.facebook.com/happydaysdinermaryborough/" TargetMode="External" Id="rId754" /><Relationship Type="http://schemas.openxmlformats.org/officeDocument/2006/relationships/hyperlink" Target="https://www.google.com/maps/search/?api=1&amp;query=Happy+Days+Diner" TargetMode="External" Id="rId755" /><Relationship Type="http://schemas.openxmlformats.org/officeDocument/2006/relationships/hyperlink" Target="https://www.facebook.com/p/Naturally-Noodle-Maryborough-100063178812068/" TargetMode="External" Id="rId756" /><Relationship Type="http://schemas.openxmlformats.org/officeDocument/2006/relationships/hyperlink" Target="https://www.google.com/maps/search/?api=1&amp;query=Naturally+Noodle" TargetMode="External" Id="rId757" /><Relationship Type="http://schemas.openxmlformats.org/officeDocument/2006/relationships/hyperlink" Target="https://www.facebook.com/sgcafe.com.au/" TargetMode="External" Id="rId758" /><Relationship Type="http://schemas.openxmlformats.org/officeDocument/2006/relationships/hyperlink" Target="https://www.google.com/maps/search/?api=1&amp;query=SG+Cafe+1+Ardrossan+Road" TargetMode="External" Id="rId759" /><Relationship Type="http://schemas.openxmlformats.org/officeDocument/2006/relationships/hyperlink" Target="https://www.facebook.com/profile.php/?id=100054399854687" TargetMode="External" Id="rId760" /><Relationship Type="http://schemas.openxmlformats.org/officeDocument/2006/relationships/hyperlink" Target="https://www.google.com/maps/search/?api=1&amp;query=Cuts+on+Cresthaven+40+Cresthaven+Drive" TargetMode="External" Id="rId761" /><Relationship Type="http://schemas.openxmlformats.org/officeDocument/2006/relationships/hyperlink" Target="https://www.facebook.com/haironarcher/" TargetMode="External" Id="rId762" /><Relationship Type="http://schemas.openxmlformats.org/officeDocument/2006/relationships/hyperlink" Target="https://www.google.com/maps/search/?api=1&amp;query=Hair+on+Archer" TargetMode="External" Id="rId763" /><Relationship Type="http://schemas.openxmlformats.org/officeDocument/2006/relationships/hyperlink" Target="https://www.facebook.com/SwayonBribie" TargetMode="External" Id="rId764" /><Relationship Type="http://schemas.openxmlformats.org/officeDocument/2006/relationships/hyperlink" Target="https://www.google.com/maps/search/?api=1&amp;query=Sway+on+Bribie+17+First+Avenue" TargetMode="External" Id="rId765" /><Relationship Type="http://schemas.openxmlformats.org/officeDocument/2006/relationships/hyperlink" Target="https://www.facebook.com/JezAutomotive/" TargetMode="External" Id="rId766" /><Relationship Type="http://schemas.openxmlformats.org/officeDocument/2006/relationships/hyperlink" Target="https://www.google.com/maps/search/?api=1&amp;query=JEZ+Automotive+2+Machinery+Parade+Caboolture" TargetMode="External" Id="rId767" /><Relationship Type="http://schemas.openxmlformats.org/officeDocument/2006/relationships/hyperlink" Target="https://www.facebook.com/profile.php/?id=100057076285153" TargetMode="External" Id="rId768" /><Relationship Type="http://schemas.openxmlformats.org/officeDocument/2006/relationships/hyperlink" Target="https://www.google.com/maps/search/?api=1&amp;query=Bongaree+Pet+Food+75+Cotterill+Avenue" TargetMode="External" Id="rId769" /><Relationship Type="http://schemas.openxmlformats.org/officeDocument/2006/relationships/hyperlink" Target="https://www.facebook.com/p/Council-Corner-Cafe-61560625214132/" TargetMode="External" Id="rId770" /><Relationship Type="http://schemas.openxmlformats.org/officeDocument/2006/relationships/hyperlink" Target="https://www.google.com/maps/search/?api=1&amp;query=Council+Corner+Cafe+2+Machinery+Parade" TargetMode="External" Id="rId771" /><Relationship Type="http://schemas.openxmlformats.org/officeDocument/2006/relationships/hyperlink" Target="https://www.facebook.com/fishermansdaughterdeceptionbay/" TargetMode="External" Id="rId772" /><Relationship Type="http://schemas.openxmlformats.org/officeDocument/2006/relationships/hyperlink" Target="https://www.google.com/maps/search/?api=1&amp;query=Fishermans+Daughter" TargetMode="External" Id="rId773" /><Relationship Type="http://schemas.openxmlformats.org/officeDocument/2006/relationships/hyperlink" Target="https://www.facebook.com/johnnyspizzaplace" TargetMode="External" Id="rId774" /><Relationship Type="http://schemas.openxmlformats.org/officeDocument/2006/relationships/hyperlink" Target="https://www.google.com/maps/search/?api=1&amp;query=Johnny%27s+Pizza+Place+13+Williams+Street" TargetMode="External" Id="rId775" /><Relationship Type="http://schemas.openxmlformats.org/officeDocument/2006/relationships/hyperlink" Target="https://www.facebook.com/emjaybeautyspa/" TargetMode="External" Id="rId776" /><Relationship Type="http://schemas.openxmlformats.org/officeDocument/2006/relationships/hyperlink" Target="https://www.google.com/maps/search/?api=1&amp;query=Emjay+Spa+%26+Beauty" TargetMode="External" Id="rId777" /><Relationship Type="http://schemas.openxmlformats.org/officeDocument/2006/relationships/hyperlink" Target="https://www.facebook.com/curlewcoochie" TargetMode="External" Id="rId778" /><Relationship Type="http://schemas.openxmlformats.org/officeDocument/2006/relationships/hyperlink" Target="https://www.google.com/maps/search/?api=1&amp;query=Curlew+Cafe+22+Victoria+Parade+South+Coochiemudlo+Island" TargetMode="External" Id="rId779" /><Relationship Type="http://schemas.openxmlformats.org/officeDocument/2006/relationships/hyperlink" Target="https://www.facebook.com/PelicanCafe293/" TargetMode="External" Id="rId780" /><Relationship Type="http://schemas.openxmlformats.org/officeDocument/2006/relationships/hyperlink" Target="https://www.google.com/maps/search/?api=1&amp;query=Pelican+Cafe+293+Esplanade+Redland+Bay" TargetMode="External" Id="rId781" /><Relationship Type="http://schemas.openxmlformats.org/officeDocument/2006/relationships/hyperlink" Target="https://www.facebook.com/103601592445707" TargetMode="External" Id="rId782" /><Relationship Type="http://schemas.openxmlformats.org/officeDocument/2006/relationships/hyperlink" Target="https://www.google.com/maps/search/?api=1&amp;query=The+Big+Mushroom+Fruit+Barn+88+Shore+Street+West+Ormiston" TargetMode="External" Id="rId783" /><Relationship Type="http://schemas.openxmlformats.org/officeDocument/2006/relationships/hyperlink" Target="https://www.facebook.com/p/Top-Gun-Restoration-100063707569188" TargetMode="External" Id="rId784" /><Relationship Type="http://schemas.openxmlformats.org/officeDocument/2006/relationships/hyperlink" Target="https://www.google.com/maps/search/?api=1&amp;query=Top+Gun+Restorations+65+Jardine+Drive+Redland+Bay" TargetMode="External" Id="rId785" /><Relationship Type="http://schemas.openxmlformats.org/officeDocument/2006/relationships/hyperlink" Target="https://www.facebook.com/KoalaParkVeterinarySurgery?mibextid=ZbWKwL" TargetMode="External" Id="rId786" /><Relationship Type="http://schemas.openxmlformats.org/officeDocument/2006/relationships/hyperlink" Target="https://www.google.com/maps/search/?api=1&amp;query=Koala+Park+Veterinary+Surgery+535+Cleveland+Redland+Bay+Road+Victoria+Point" TargetMode="External" Id="rId787" /><Relationship Type="http://schemas.openxmlformats.org/officeDocument/2006/relationships/hyperlink" Target="https://www.facebook.com/coochiemudloislandbeachbar" TargetMode="External" Id="rId788" /><Relationship Type="http://schemas.openxmlformats.org/officeDocument/2006/relationships/hyperlink" Target="https://www.google.com/maps/search/?api=1&amp;query=Coochiemudlo+Island+Beach+Bar+and+Grill+38+Victoria+Parade+South+Coochiemudlo+Island" TargetMode="External" Id="rId789" /><Relationship Type="http://schemas.openxmlformats.org/officeDocument/2006/relationships/hyperlink" Target="https://www.facebook.com/TheJettyStore/" TargetMode="External" Id="rId790" /><Relationship Type="http://schemas.openxmlformats.org/officeDocument/2006/relationships/hyperlink" Target="https://www.google.com/maps/search/?api=1&amp;query=Jetty+Store+II+47+Banana+Street+Redland+Bay" TargetMode="External" Id="rId791" /><Relationship Type="http://schemas.openxmlformats.org/officeDocument/2006/relationships/hyperlink" Target="https://www.facebook.com/ninjasushiallenstown" TargetMode="External" Id="rId792" /><Relationship Type="http://schemas.openxmlformats.org/officeDocument/2006/relationships/hyperlink" Target="https://www.google.com/maps/search/?api=1&amp;query=Ninja+Sushi+Burito+Allenstown+139-145+Derby+Street" TargetMode="External" Id="rId793" /><Relationship Type="http://schemas.openxmlformats.org/officeDocument/2006/relationships/hyperlink" Target="https://www.instagram.com/thebakerspantrynoosa" TargetMode="External" Id="rId794" /><Relationship Type="http://schemas.openxmlformats.org/officeDocument/2006/relationships/hyperlink" Target="https://www.facebook.com/thebakerspantrynoosa" TargetMode="External" Id="rId795" /><Relationship Type="http://schemas.openxmlformats.org/officeDocument/2006/relationships/hyperlink" Target="https://www.google.com/maps/search/?api=1&amp;query=The+Bakers+Pantry+205+Weyba+Road+Noosaville" TargetMode="External" Id="rId796" /><Relationship Type="http://schemas.openxmlformats.org/officeDocument/2006/relationships/hyperlink" Target="https://www.facebook.com/homegrownpalmwoods/" TargetMode="External" Id="rId797" /><Relationship Type="http://schemas.openxmlformats.org/officeDocument/2006/relationships/hyperlink" Target="https://www.google.com/maps/search/?api=1&amp;query=Homegrown+Cafe+8+Main+Street" TargetMode="External" Id="rId798" /><Relationship Type="http://schemas.openxmlformats.org/officeDocument/2006/relationships/hyperlink" Target="https://www.facebook.com/namboursocial" TargetMode="External" Id="rId799" /><Relationship Type="http://schemas.openxmlformats.org/officeDocument/2006/relationships/hyperlink" Target="https://www.google.com/maps/search/?api=1&amp;query=Nambour+Social+59+Currie+Street+Nambour" TargetMode="External" Id="rId800" /><Relationship Type="http://schemas.openxmlformats.org/officeDocument/2006/relationships/hyperlink" Target="https://www.facebook.com/profile.php?id=100054504337824" TargetMode="External" Id="rId801" /><Relationship Type="http://schemas.openxmlformats.org/officeDocument/2006/relationships/hyperlink" Target="https://www.google.com/maps/search/?api=1&amp;query=Press+at+Noosa+3+Lanyana+Way+Noosa+Heads" TargetMode="External" Id="rId802" /><Relationship Type="http://schemas.openxmlformats.org/officeDocument/2006/relationships/hyperlink" Target="https://www.facebook.com/brownsugarespressonambour/" TargetMode="External" Id="rId803" /><Relationship Type="http://schemas.openxmlformats.org/officeDocument/2006/relationships/hyperlink" Target="https://www.google.com/maps/search/?api=1&amp;query=Brown+Sugar+Espresso" TargetMode="External" Id="rId804" /><Relationship Type="http://schemas.openxmlformats.org/officeDocument/2006/relationships/hyperlink" Target="https://www.facebook.com/smallchangeespresso/" TargetMode="External" Id="rId805" /><Relationship Type="http://schemas.openxmlformats.org/officeDocument/2006/relationships/hyperlink" Target="https://www.google.com/maps/search/?api=1&amp;query=Small+Change+Expresso" TargetMode="External" Id="rId806" /><Relationship Type="http://schemas.openxmlformats.org/officeDocument/2006/relationships/hyperlink" Target="https://www.facebook.com/yandinamarketgarden/" TargetMode="External" Id="rId807" /><Relationship Type="http://schemas.openxmlformats.org/officeDocument/2006/relationships/hyperlink" Target="https://www.google.com/maps/search/?api=1&amp;query=Yandina+Market+Garden+14+Farrell+Street" TargetMode="External" Id="rId808" /><Relationship Type="http://schemas.openxmlformats.org/officeDocument/2006/relationships/hyperlink" Target="https://www.facebook.com/SuncoastMechanical/" TargetMode="External" Id="rId809" /><Relationship Type="http://schemas.openxmlformats.org/officeDocument/2006/relationships/hyperlink" Target="https://www.google.com/maps/search/?api=1&amp;query=Suncoast+Mechanical" TargetMode="External" Id="rId810" /><Relationship Type="http://schemas.openxmlformats.org/officeDocument/2006/relationships/hyperlink" Target="https://www.facebook.com/jjsushichicken/" TargetMode="External" Id="rId811" /><Relationship Type="http://schemas.openxmlformats.org/officeDocument/2006/relationships/hyperlink" Target="https://www.google.com/maps/search/?api=1&amp;query=J+J+Sushi+35+Mill+Lane" TargetMode="External" Id="rId812" /><Relationship Type="http://schemas.openxmlformats.org/officeDocument/2006/relationships/hyperlink" Target="https://www.instagram.com/mmandcoffeebaking" TargetMode="External" Id="rId813" /><Relationship Type="http://schemas.openxmlformats.org/officeDocument/2006/relationships/hyperlink" Target="https://www.facebook.com/mmandcoffeebaking/" TargetMode="External" Id="rId814" /><Relationship Type="http://schemas.openxmlformats.org/officeDocument/2006/relationships/hyperlink" Target="https://www.google.com/maps/search/?api=1&amp;query=MM%26+26-28+Mitchell+Street+North+Ward" TargetMode="External" Id="rId815" /><Relationship Type="http://schemas.openxmlformats.org/officeDocument/2006/relationships/hyperlink" Target="https://www.facebook.com/hotelallentownsville" TargetMode="External" Id="rId816" /><Relationship Type="http://schemas.openxmlformats.org/officeDocument/2006/relationships/hyperlink" Target="https://www.google.com/maps/search/?api=1&amp;query=Hotel+Allen" TargetMode="External" Id="rId817" /><Relationship Type="http://schemas.openxmlformats.org/officeDocument/2006/relationships/hyperlink" Target="https://www.facebook.com/p/Lads-n-Ladies-Barber-Shop-100069962165987/" TargetMode="External" Id="rId818" /><Relationship Type="http://schemas.openxmlformats.org/officeDocument/2006/relationships/hyperlink" Target="https://www.google.com/maps/search/?api=1&amp;query=Lads+%27n%27+Ladies+Barber+Shop" TargetMode="External" Id="rId819" /><Relationship Type="http://schemas.openxmlformats.org/officeDocument/2006/relationships/hyperlink" Target="https://www.instagram.com/artside.studio" TargetMode="External" Id="rId820" /><Relationship Type="http://schemas.openxmlformats.org/officeDocument/2006/relationships/hyperlink" Target="https://www.google.com/maps/search/?api=1&amp;query=Artside" TargetMode="External" Id="rId821" /><Relationship Type="http://schemas.openxmlformats.org/officeDocument/2006/relationships/hyperlink" Target="https://www.facebook.com/QueensNailsNBeauty" TargetMode="External" Id="rId822" /><Relationship Type="http://schemas.openxmlformats.org/officeDocument/2006/relationships/hyperlink" Target="https://www.google.com/maps/search/?api=1&amp;query=Leena%27s+Nail+and+Beauty" TargetMode="External" Id="rId823" /><Relationship Type="http://schemas.openxmlformats.org/officeDocument/2006/relationships/hyperlink" Target="https://www.instagram.com/axellroseboutique" TargetMode="External" Id="rId824" /><Relationship Type="http://schemas.openxmlformats.org/officeDocument/2006/relationships/hyperlink" Target="https://www.facebook.com/Axell-Rose-Boutique-102241341219356/" TargetMode="External" Id="rId825" /><Relationship Type="http://schemas.openxmlformats.org/officeDocument/2006/relationships/hyperlink" Target="https://www.google.com/maps/search/?api=1&amp;query=Axell+Rose" TargetMode="External" Id="rId826" /><Relationship Type="http://schemas.openxmlformats.org/officeDocument/2006/relationships/hyperlink" Target="https://www.instagram.com/summerland_aus" TargetMode="External" Id="rId827" /><Relationship Type="http://schemas.openxmlformats.org/officeDocument/2006/relationships/hyperlink" Target="https://www.google.com/maps/search/?api=1&amp;query=Summer+Land" TargetMode="External" Id="rId828" /><Relationship Type="http://schemas.openxmlformats.org/officeDocument/2006/relationships/hyperlink" Target="https://www.facebook.com/northwardtownsville" TargetMode="External" Id="rId829" /><Relationship Type="http://schemas.openxmlformats.org/officeDocument/2006/relationships/hyperlink" Target="https://www.google.com/maps/search/?api=1&amp;query=Urban+Loft+Lifestyle" TargetMode="External" Id="rId830" /><Relationship Type="http://schemas.openxmlformats.org/officeDocument/2006/relationships/hyperlink" Target="https://www.instagram.com/balabite" TargetMode="External" Id="rId831" /><Relationship Type="http://schemas.openxmlformats.org/officeDocument/2006/relationships/hyperlink" Target="https://www.facebook.com/balabite/" TargetMode="External" Id="rId832" /><Relationship Type="http://schemas.openxmlformats.org/officeDocument/2006/relationships/hyperlink" Target="https://www.google.com/maps/search/?api=1&amp;query=Balabite" TargetMode="External" Id="rId833" /><Relationship Type="http://schemas.openxmlformats.org/officeDocument/2006/relationships/hyperlink" Target="https://www.facebook.com/thebubbleshackbubbletea" TargetMode="External" Id="rId834" /><Relationship Type="http://schemas.openxmlformats.org/officeDocument/2006/relationships/hyperlink" Target="https://www.google.com/maps/search/?api=1&amp;query=Bubble+Shack" TargetMode="External" Id="rId835" /><Relationship Type="http://schemas.openxmlformats.org/officeDocument/2006/relationships/hyperlink" Target="https://m.facebook.com/people/Sunvale-Meats/100063491471034/" TargetMode="External" Id="rId836" /><Relationship Type="http://schemas.openxmlformats.org/officeDocument/2006/relationships/hyperlink" Target="https://www.google.com/maps/search/?api=1&amp;query=Sunvale+Meats" TargetMode="External" Id="rId837" /><Relationship Type="http://schemas.openxmlformats.org/officeDocument/2006/relationships/hyperlink" Target="https://www.facebook.com/Aussie-Thai-Fusion-413149449023841" TargetMode="External" Id="rId838" /><Relationship Type="http://schemas.openxmlformats.org/officeDocument/2006/relationships/hyperlink" Target="https://www.google.com/maps/search/?api=1&amp;query=Aussie+Thai+Fusion" TargetMode="External" Id="rId839" /><Relationship Type="http://schemas.openxmlformats.org/officeDocument/2006/relationships/hyperlink" Target="https://www.facebook.com/bountifulthai" TargetMode="External" Id="rId840" /><Relationship Type="http://schemas.openxmlformats.org/officeDocument/2006/relationships/hyperlink" Target="https://www.google.com/maps/search/?api=1&amp;query=Bountiful+Thai" TargetMode="External" Id="rId841" /><Relationship Type="http://schemas.openxmlformats.org/officeDocument/2006/relationships/hyperlink" Target="https://www.facebook.com/chicoriotsv" TargetMode="External" Id="rId842" /><Relationship Type="http://schemas.openxmlformats.org/officeDocument/2006/relationships/hyperlink" Target="https://www.google.com/maps/search/?api=1&amp;query=Chico+Rio" TargetMode="External" Id="rId843" /><Relationship Type="http://schemas.openxmlformats.org/officeDocument/2006/relationships/hyperlink" Target="https://www.facebook.com/WildRiceLaoThai" TargetMode="External" Id="rId844" /><Relationship Type="http://schemas.openxmlformats.org/officeDocument/2006/relationships/hyperlink" Target="https://www.google.com/maps/search/?api=1&amp;query=Wild+Rice" TargetMode="External" Id="rId845" /><Relationship Type="http://schemas.openxmlformats.org/officeDocument/2006/relationships/hyperlink" Target="https://facebook.com/FISHnCHIPDelights" TargetMode="External" Id="rId846" /><Relationship Type="http://schemas.openxmlformats.org/officeDocument/2006/relationships/hyperlink" Target="https://www.google.com/maps/search/?api=1&amp;query=Fish+N+Chip+Delights" TargetMode="External" Id="rId847" /><Relationship Type="http://schemas.openxmlformats.org/officeDocument/2006/relationships/hyperlink" Target="https://www.facebook.com/Squeezemetownsville" TargetMode="External" Id="rId848" /><Relationship Type="http://schemas.openxmlformats.org/officeDocument/2006/relationships/hyperlink" Target="https://www.squeezeme.com.au/" TargetMode="External" Id="rId849" /><Relationship Type="http://schemas.openxmlformats.org/officeDocument/2006/relationships/hyperlink" Target="https://www.google.com/maps/search/?api=1&amp;query=Squeeze+Me" TargetMode="External" Id="rId850" /><Relationship Type="http://schemas.openxmlformats.org/officeDocument/2006/relationships/hyperlink" Target="https://www.facebook.com/DarkArtsTattooTsv/" TargetMode="External" Id="rId851" /><Relationship Type="http://schemas.openxmlformats.org/officeDocument/2006/relationships/hyperlink" Target="https://www.google.com/maps/search/?api=1&amp;query=Dark+Arts+Tattoo" TargetMode="External" Id="rId852" /><Relationship Type="http://schemas.openxmlformats.org/officeDocument/2006/relationships/hyperlink" Target="https://www.facebook.com/browandbeauteco/" TargetMode="External" Id="rId853" /><Relationship Type="http://schemas.openxmlformats.org/officeDocument/2006/relationships/hyperlink" Target="https://www.google.com/maps/search/?api=1&amp;query=Brow+%26+Beaute+Co+125+Palmerin+Street+Warwick" TargetMode="External" Id="rId854" /><Relationship Type="http://schemas.openxmlformats.org/officeDocument/2006/relationships/hyperlink" Target="https://www.facebook.com/CafeJacquis" TargetMode="External" Id="rId855" /><Relationship Type="http://schemas.openxmlformats.org/officeDocument/2006/relationships/hyperlink" Target="https://www.google.com/maps/search/?api=1&amp;query=Cafe+Jacqui%27s" TargetMode="External" Id="rId856" /><Relationship Type="http://schemas.openxmlformats.org/officeDocument/2006/relationships/hyperlink" Target="https://www.facebook.com/SNJPrecisionAutomotive/" TargetMode="External" Id="rId857" /><Relationship Type="http://schemas.openxmlformats.org/officeDocument/2006/relationships/hyperlink" Target="https://www.google.com/maps/search/?api=1&amp;query=SNJ+Precision+Automotive+29+Percy+Street+Warwick" TargetMode="External" Id="rId858" /><Relationship Type="http://schemas.openxmlformats.org/officeDocument/2006/relationships/hyperlink" Target="https://www.facebook.com/p/Warwick-Fish-Depot-100087477517398/" TargetMode="External" Id="rId859" /><Relationship Type="http://schemas.openxmlformats.org/officeDocument/2006/relationships/hyperlink" Target="https://www.google.com/maps/search/?api=1&amp;query=Warwick+Fish+Depot+38+Palmerin+Street+Warwick" TargetMode="External" Id="rId860" /><Relationship Type="http://schemas.openxmlformats.org/officeDocument/2006/relationships/hyperlink" Target="https://www.instagram.com/sunlitwaters_studio_apartments" TargetMode="External" Id="rId861" /><Relationship Type="http://schemas.openxmlformats.org/officeDocument/2006/relationships/hyperlink" Target="https://www.facebook.com/Sunlit-Waters-Studio-Apartments-136160739790365" TargetMode="External" Id="rId862" /><Relationship Type="http://schemas.openxmlformats.org/officeDocument/2006/relationships/hyperlink" Target="https://www.sunlitwaters.com/" TargetMode="External" Id="rId863" /><Relationship Type="http://schemas.openxmlformats.org/officeDocument/2006/relationships/hyperlink" Target="https://www.google.com/maps/search/?api=1&amp;query=Sunlit+Waters" TargetMode="External" Id="rId864" /><Relationship Type="http://schemas.openxmlformats.org/officeDocument/2006/relationships/hyperlink" Target="https://www.facebook.com/243051125875413" TargetMode="External" Id="rId865" /><Relationship Type="http://schemas.openxmlformats.org/officeDocument/2006/relationships/hyperlink" Target="https://wisdom-cafe.com.au/" TargetMode="External" Id="rId866" /><Relationship Type="http://schemas.openxmlformats.org/officeDocument/2006/relationships/hyperlink" Target="https://www.google.com/maps/search/?api=1&amp;query=Wisdom+Cafe+273+Shute+Harbour+Road" TargetMode="External" Id="rId867" /><Relationship Type="http://schemas.openxmlformats.org/officeDocument/2006/relationships/hyperlink" Target="https://www.facebook.com/whitsundayfamilypractice" TargetMode="External" Id="rId868" /><Relationship Type="http://schemas.openxmlformats.org/officeDocument/2006/relationships/hyperlink" Target="https://www.whitsundayfamilypractice.com.au/" TargetMode="External" Id="rId869" /><Relationship Type="http://schemas.openxmlformats.org/officeDocument/2006/relationships/hyperlink" Target="https://www.google.com/maps/search/?api=1&amp;query=Whitsunday+Family+Practice" TargetMode="External" Id="rId870" /><Relationship Type="http://schemas.openxmlformats.org/officeDocument/2006/relationships/hyperlink" Target="https://www.facebook.com/pages/Beagles-Pizza/181013161936358" TargetMode="External" Id="rId871" /><Relationship Type="http://schemas.openxmlformats.org/officeDocument/2006/relationships/hyperlink" Target="https://www.beaglespizza.com.au/" TargetMode="External" Id="rId872" /><Relationship Type="http://schemas.openxmlformats.org/officeDocument/2006/relationships/hyperlink" Target="https://www.google.com/maps/search/?api=1&amp;query=Beagles+Pizza+293+Shute+Harbour+Road" TargetMode="External" Id="rId873" /><Relationship Type="http://schemas.openxmlformats.org/officeDocument/2006/relationships/hyperlink" Target="http://instagram.com/breezelodge" TargetMode="External" Id="rId874" /><Relationship Type="http://schemas.openxmlformats.org/officeDocument/2006/relationships/hyperlink" Target="http://www.facebook.com/breezelodge" TargetMode="External" Id="rId875" /><Relationship Type="http://schemas.openxmlformats.org/officeDocument/2006/relationships/hyperlink" Target="https://www.breezelodge.com.au/" TargetMode="External" Id="rId876" /><Relationship Type="http://schemas.openxmlformats.org/officeDocument/2006/relationships/hyperlink" Target="https://www.google.com/maps/search/?api=1&amp;query=Breeze+Lodge+635+Main+Street" TargetMode="External" Id="rId877" /><Relationship Type="http://schemas.openxmlformats.org/officeDocument/2006/relationships/hyperlink" Target="https://www.instagram.com/hanworthhouse" TargetMode="External" Id="rId878" /><Relationship Type="http://schemas.openxmlformats.org/officeDocument/2006/relationships/hyperlink" Target="https://www.facebook.com/HeartHanworthHouse" TargetMode="External" Id="rId879" /><Relationship Type="http://schemas.openxmlformats.org/officeDocument/2006/relationships/hyperlink" Target="https://www.hanworthhouse.com.au/" TargetMode="External" Id="rId880" /><Relationship Type="http://schemas.openxmlformats.org/officeDocument/2006/relationships/hyperlink" Target="https://www.google.com/maps/search/?api=1&amp;query=Hanworth+House+109+Lytton+Road+East+Brisbane" TargetMode="External" Id="rId881" /><Relationship Type="http://schemas.openxmlformats.org/officeDocument/2006/relationships/hyperlink" Target="https://www.instagram.com/lavidaonanzac" TargetMode="External" Id="rId882" /><Relationship Type="http://schemas.openxmlformats.org/officeDocument/2006/relationships/hyperlink" Target="https://www.facebook.com/LavidaOnAnzac" TargetMode="External" Id="rId883" /><Relationship Type="http://schemas.openxmlformats.org/officeDocument/2006/relationships/hyperlink" Target="https://www.lavidaonanzac.com.au/" TargetMode="External" Id="rId884" /><Relationship Type="http://schemas.openxmlformats.org/officeDocument/2006/relationships/hyperlink" Target="https://www.google.com/maps/search/?api=1&amp;query=La+Vida+on+Anzac+41+Anzac+Avenue+Redcliffe" TargetMode="External" Id="rId885" /><Relationship Type="http://schemas.openxmlformats.org/officeDocument/2006/relationships/hyperlink" Target="https://www.facebook.com/mcnevins.motels" TargetMode="External" Id="rId886" /><Relationship Type="http://schemas.openxmlformats.org/officeDocument/2006/relationships/hyperlink" Target="https://mcnevins.com.au/" TargetMode="External" Id="rId887" /><Relationship Type="http://schemas.openxmlformats.org/officeDocument/2006/relationships/hyperlink" Target="https://www.google.com/maps/search/?api=1&amp;query=McNevins+Motel+Logan+Park" TargetMode="External" Id="rId888" /><Relationship Type="http://schemas.openxmlformats.org/officeDocument/2006/relationships/hyperlink" Target="https://www.facebook.com/ToowongVillas" TargetMode="External" Id="rId889" /><Relationship Type="http://schemas.openxmlformats.org/officeDocument/2006/relationships/hyperlink" Target="https://toowongvillas.com.au/" TargetMode="External" Id="rId890" /><Relationship Type="http://schemas.openxmlformats.org/officeDocument/2006/relationships/hyperlink" Target="https://www.google.com/maps/search/?api=1&amp;query=Toowong+Villas+9-11+Ascog+Terrace+Toowong" TargetMode="External" Id="rId891" /><Relationship Type="http://schemas.openxmlformats.org/officeDocument/2006/relationships/hyperlink" Target="https://www.instagram.com/WestEndCentralApartments" TargetMode="External" Id="rId892" /><Relationship Type="http://schemas.openxmlformats.org/officeDocument/2006/relationships/hyperlink" Target="https://www.facebook.com/WestEndCentralApartments" TargetMode="External" Id="rId893" /><Relationship Type="http://schemas.openxmlformats.org/officeDocument/2006/relationships/hyperlink" Target="https://www.westendcentral.com.au/" TargetMode="External" Id="rId894" /><Relationship Type="http://schemas.openxmlformats.org/officeDocument/2006/relationships/hyperlink" Target="https://www.google.com/maps/search/?api=1&amp;query=West+End+Central+Apartments" TargetMode="External" Id="rId895" /><Relationship Type="http://schemas.openxmlformats.org/officeDocument/2006/relationships/hyperlink" Target="https://m.facebook.com/Being-You-Mental-Health-and-Disability-104090928382356" TargetMode="External" Id="rId896" /><Relationship Type="http://schemas.openxmlformats.org/officeDocument/2006/relationships/hyperlink" Target="https://www.beingyoumh.com.au/" TargetMode="External" Id="rId897" /><Relationship Type="http://schemas.openxmlformats.org/officeDocument/2006/relationships/hyperlink" Target="https://www.google.com/maps/search/?api=1&amp;query=Being+You+Mental+Health+%26+Disability" TargetMode="External" Id="rId898" /><Relationship Type="http://schemas.openxmlformats.org/officeDocument/2006/relationships/hyperlink" Target="https://www.facebook.com/CentreforHumanPotential.au" TargetMode="External" Id="rId899" /><Relationship Type="http://schemas.openxmlformats.org/officeDocument/2006/relationships/hyperlink" Target="https://cfhp.com.au" TargetMode="External" Id="rId900" /><Relationship Type="http://schemas.openxmlformats.org/officeDocument/2006/relationships/hyperlink" Target="https://www.google.com/maps/search/?api=1&amp;query=CFHP+Brisbane+City+288+Edward+Street" TargetMode="External" Id="rId901" /><Relationship Type="http://schemas.openxmlformats.org/officeDocument/2006/relationships/hyperlink" Target="https://www.instagram.com/dynamicpodiatry" TargetMode="External" Id="rId902" /><Relationship Type="http://schemas.openxmlformats.org/officeDocument/2006/relationships/hyperlink" Target="https://www.dynamicpodiatry.com.au/" TargetMode="External" Id="rId903" /><Relationship Type="http://schemas.openxmlformats.org/officeDocument/2006/relationships/hyperlink" Target="https://www.google.com/maps/search/?api=1&amp;query=Dynamic+Podiatry+135+Ferny+Way+Ferny+Hills" TargetMode="External" Id="rId904" /><Relationship Type="http://schemas.openxmlformats.org/officeDocument/2006/relationships/hyperlink" Target="https://www.instagram.com/fernychiropractic" TargetMode="External" Id="rId905" /><Relationship Type="http://schemas.openxmlformats.org/officeDocument/2006/relationships/hyperlink" Target="https://www.facebook.com/fernychiropractic" TargetMode="External" Id="rId906" /><Relationship Type="http://schemas.openxmlformats.org/officeDocument/2006/relationships/hyperlink" Target="https://www.fernychiropractic.com/" TargetMode="External" Id="rId907" /><Relationship Type="http://schemas.openxmlformats.org/officeDocument/2006/relationships/hyperlink" Target="https://www.google.com/maps/search/?api=1&amp;query=Ferny+Chiropractic+135+Ferny+Way+Ferny+Hills" TargetMode="External" Id="rId908" /><Relationship Type="http://schemas.openxmlformats.org/officeDocument/2006/relationships/hyperlink" Target="https://www.instagram.com/ginseng_acupuncture_brisbane" TargetMode="External" Id="rId909" /><Relationship Type="http://schemas.openxmlformats.org/officeDocument/2006/relationships/hyperlink" Target="https://www.facebook.com/John-Taylor-Ginseng-Acupuncture-Natural-Therapies-155217967863603" TargetMode="External" Id="rId910" /><Relationship Type="http://schemas.openxmlformats.org/officeDocument/2006/relationships/hyperlink" Target="https://www.ginsengacupuncture.com.au/" TargetMode="External" Id="rId911" /><Relationship Type="http://schemas.openxmlformats.org/officeDocument/2006/relationships/hyperlink" Target="https://www.google.com/maps/search/?api=1&amp;query=Ginseng+Acupuncture+%26+Natural+Therapies+259+Stafford+Road+Stafford" TargetMode="External" Id="rId912" /><Relationship Type="http://schemas.openxmlformats.org/officeDocument/2006/relationships/hyperlink" Target="https://www.facebook.com/LifeCare-141297856042295" TargetMode="External" Id="rId913" /><Relationship Type="http://schemas.openxmlformats.org/officeDocument/2006/relationships/hyperlink" Target="https://lifecareconsultancy.com/" TargetMode="External" Id="rId914" /><Relationship Type="http://schemas.openxmlformats.org/officeDocument/2006/relationships/hyperlink" Target="https://www.google.com/maps/search/?api=1&amp;query=LifeCare+27+Stoneham+Street" TargetMode="External" Id="rId915" /><Relationship Type="http://schemas.openxmlformats.org/officeDocument/2006/relationships/hyperlink" Target="https://www.facebook.com/northbrisbanepsychologist" TargetMode="External" Id="rId916" /><Relationship Type="http://schemas.openxmlformats.org/officeDocument/2006/relationships/hyperlink" Target="https://northbrisbanepsychologists.com.au/" TargetMode="External" Id="rId917" /><Relationship Type="http://schemas.openxmlformats.org/officeDocument/2006/relationships/hyperlink" Target="https://www.google.com/maps/search/?api=1&amp;query=North+Brisbane+Psychologist+12+Norman+Avenue+Lutwyche" TargetMode="External" Id="rId918" /><Relationship Type="http://schemas.openxmlformats.org/officeDocument/2006/relationships/hyperlink" Target="https://www.facebook.com/lindsay.trims" TargetMode="External" Id="rId919" /><Relationship Type="http://schemas.openxmlformats.org/officeDocument/2006/relationships/hyperlink" Target="http://proactivecoaching.net/" TargetMode="External" Id="rId920" /><Relationship Type="http://schemas.openxmlformats.org/officeDocument/2006/relationships/hyperlink" Target="https://www.google.com/maps/search/?api=1&amp;query=Proactive+Coaching+288+Dawson+Parade+Arana+Hills" TargetMode="External" Id="rId921" /><Relationship Type="http://schemas.openxmlformats.org/officeDocument/2006/relationships/hyperlink" Target="https://www.facebook.com/stillpointosteopathy" TargetMode="External" Id="rId922" /><Relationship Type="http://schemas.openxmlformats.org/officeDocument/2006/relationships/hyperlink" Target="https://stillpointosteopathy.rehab/contact-us/" TargetMode="External" Id="rId923" /><Relationship Type="http://schemas.openxmlformats.org/officeDocument/2006/relationships/hyperlink" Target="https://www.google.com/maps/search/?api=1&amp;query=Still+Point+Osteopathy+338+Waterworks+Road+Ashgrove" TargetMode="External" Id="rId924" /><Relationship Type="http://schemas.openxmlformats.org/officeDocument/2006/relationships/hyperlink" Target="https://www.instagram.com/vibenaturalhealth" TargetMode="External" Id="rId925" /><Relationship Type="http://schemas.openxmlformats.org/officeDocument/2006/relationships/hyperlink" Target="https://www.facebook.com/vibenaturalhealth" TargetMode="External" Id="rId926" /><Relationship Type="http://schemas.openxmlformats.org/officeDocument/2006/relationships/hyperlink" Target="https://www.vibenaturalhealth.com.au" TargetMode="External" Id="rId927" /><Relationship Type="http://schemas.openxmlformats.org/officeDocument/2006/relationships/hyperlink" Target="https://www.google.com/maps/search/?api=1&amp;query=Vibe+Natural+Health+210+Days+Road+Grange" TargetMode="External" Id="rId928" /><Relationship Type="http://schemas.openxmlformats.org/officeDocument/2006/relationships/hyperlink" Target="https://www.instagram.com/flourisharchitecture" TargetMode="External" Id="rId929" /><Relationship Type="http://schemas.openxmlformats.org/officeDocument/2006/relationships/hyperlink" Target="https://www.facebook.com/FlourishArchitecture" TargetMode="External" Id="rId930" /><Relationship Type="http://schemas.openxmlformats.org/officeDocument/2006/relationships/hyperlink" Target="https://www.flourisharchitecture.com.au/" TargetMode="External" Id="rId931" /><Relationship Type="http://schemas.openxmlformats.org/officeDocument/2006/relationships/hyperlink" Target="https://www.google.com/maps/search/?api=1&amp;query=Flourish+Architecture+191+Wardell+Street+Enoggera" TargetMode="External" Id="rId932" /><Relationship Type="http://schemas.openxmlformats.org/officeDocument/2006/relationships/hyperlink" Target="https://www.instagram.com/natural_lifestyle_homes" TargetMode="External" Id="rId933" /><Relationship Type="http://schemas.openxmlformats.org/officeDocument/2006/relationships/hyperlink" Target="https://www.facebook.com/naturallifestylehomes" TargetMode="External" Id="rId934" /><Relationship Type="http://schemas.openxmlformats.org/officeDocument/2006/relationships/hyperlink" Target="https://nlhomes.com.au/" TargetMode="External" Id="rId935" /><Relationship Type="http://schemas.openxmlformats.org/officeDocument/2006/relationships/hyperlink" Target="https://www.google.com/maps/search/?api=1&amp;query=Natural+Lifestyle+Homes+9+Morgan+Terrace+Bardon" TargetMode="External" Id="rId936" /><Relationship Type="http://schemas.openxmlformats.org/officeDocument/2006/relationships/hyperlink" Target="https://www.instagram.com/christianjacquesbakery" TargetMode="External" Id="rId937" /><Relationship Type="http://schemas.openxmlformats.org/officeDocument/2006/relationships/hyperlink" Target="https://www.facebook.com/christianjacquesbakery" TargetMode="External" Id="rId938" /><Relationship Type="http://schemas.openxmlformats.org/officeDocument/2006/relationships/hyperlink" Target="https://christianjacquespastries.com" TargetMode="External" Id="rId939" /><Relationship Type="http://schemas.openxmlformats.org/officeDocument/2006/relationships/hyperlink" Target="https://www.google.com/maps/search/?api=1&amp;query=Christian+Jacques+Bakery+8+Baildon+Street" TargetMode="External" Id="rId940" /><Relationship Type="http://schemas.openxmlformats.org/officeDocument/2006/relationships/hyperlink" Target="http://instagram.com/flourandchocolate" TargetMode="External" Id="rId941" /><Relationship Type="http://schemas.openxmlformats.org/officeDocument/2006/relationships/hyperlink" Target="https://www.facebook.com/FlourAndChocolate" TargetMode="External" Id="rId942" /><Relationship Type="http://schemas.openxmlformats.org/officeDocument/2006/relationships/hyperlink" Target="flourandchocolate.com.au" TargetMode="External" Id="rId943" /><Relationship Type="http://schemas.openxmlformats.org/officeDocument/2006/relationships/hyperlink" Target="https://www.google.com/maps/search/?api=1&amp;query=Flour+%26+Chocolate+Patisserie+621+Wynnum+Road+Morningside" TargetMode="External" Id="rId944" /><Relationship Type="http://schemas.openxmlformats.org/officeDocument/2006/relationships/hyperlink" Target="https://www.instagram.com/gerbinos" TargetMode="External" Id="rId945" /><Relationship Type="http://schemas.openxmlformats.org/officeDocument/2006/relationships/hyperlink" Target="https://www.facebook.com/gerbinos" TargetMode="External" Id="rId946" /><Relationship Type="http://schemas.openxmlformats.org/officeDocument/2006/relationships/hyperlink" Target="https://gerbinos.com.au/" TargetMode="External" Id="rId947" /><Relationship Type="http://schemas.openxmlformats.org/officeDocument/2006/relationships/hyperlink" Target="https://www.google.com/maps/search/?api=1&amp;query=Gerbino%27s+166+Ashgrove+Avenue+Ashgrove" TargetMode="External" Id="rId948" /><Relationship Type="http://schemas.openxmlformats.org/officeDocument/2006/relationships/hyperlink" Target="https://www.instagram.com/thebrissypieman" TargetMode="External" Id="rId949" /><Relationship Type="http://schemas.openxmlformats.org/officeDocument/2006/relationships/hyperlink" Target="https://www.facebook.com/thebrissypieman" TargetMode="External" Id="rId950" /><Relationship Type="http://schemas.openxmlformats.org/officeDocument/2006/relationships/hyperlink" Target="https://www.gislers.com.au/" TargetMode="External" Id="rId951" /><Relationship Type="http://schemas.openxmlformats.org/officeDocument/2006/relationships/hyperlink" Target="https://www.google.com/maps/search/?api=1&amp;query=Gisler%27s+Pies+123-125+Boundary+Road+Thornlands" TargetMode="External" Id="rId952" /><Relationship Type="http://schemas.openxmlformats.org/officeDocument/2006/relationships/hyperlink" Target="https://www.instagram.com/thebagelboysqld" TargetMode="External" Id="rId953" /><Relationship Type="http://schemas.openxmlformats.org/officeDocument/2006/relationships/hyperlink" Target="https://www.facebook.com/thebagelboysqld" TargetMode="External" Id="rId954" /><Relationship Type="http://schemas.openxmlformats.org/officeDocument/2006/relationships/hyperlink" Target="https://thebagelboys.com.au" TargetMode="External" Id="rId955" /><Relationship Type="http://schemas.openxmlformats.org/officeDocument/2006/relationships/hyperlink" Target="https://www.google.com/maps/search/?api=1&amp;query=The+Bagel+Boys" TargetMode="External" Id="rId956" /><Relationship Type="http://schemas.openxmlformats.org/officeDocument/2006/relationships/hyperlink" Target="https://www.instagram.com/anfe_italian_club" TargetMode="External" Id="rId957" /><Relationship Type="http://schemas.openxmlformats.org/officeDocument/2006/relationships/hyperlink" Target="https://www.facebook.com/anfebrisbane" TargetMode="External" Id="rId958" /><Relationship Type="http://schemas.openxmlformats.org/officeDocument/2006/relationships/hyperlink" Target="https://anfe.com.au" TargetMode="External" Id="rId959" /><Relationship Type="http://schemas.openxmlformats.org/officeDocument/2006/relationships/hyperlink" Target="https://www.google.com/maps/search/?api=1&amp;query=ANFE+Italian+Club+429+Stafford+Road+Stafford" TargetMode="External" Id="rId960" /><Relationship Type="http://schemas.openxmlformats.org/officeDocument/2006/relationships/hyperlink" Target="https://www.instagram.com/barpacino" TargetMode="External" Id="rId961" /><Relationship Type="http://schemas.openxmlformats.org/officeDocument/2006/relationships/hyperlink" Target="https://www.facebook.com/barpacino" TargetMode="External" Id="rId962" /><Relationship Type="http://schemas.openxmlformats.org/officeDocument/2006/relationships/hyperlink" Target="http://barpacino.com.au/" TargetMode="External" Id="rId963" /><Relationship Type="http://schemas.openxmlformats.org/officeDocument/2006/relationships/hyperlink" Target="https://www.google.com/maps/search/?api=1&amp;query=Bar+Pacino+175+Eagle+Street" TargetMode="External" Id="rId964" /><Relationship Type="http://schemas.openxmlformats.org/officeDocument/2006/relationships/hyperlink" Target="https://www.instagram.com/bscc_4070" TargetMode="External" Id="rId965" /><Relationship Type="http://schemas.openxmlformats.org/officeDocument/2006/relationships/hyperlink" Target="https://www.facebook.com/bellbowriesportsandrec/" TargetMode="External" Id="rId966" /><Relationship Type="http://schemas.openxmlformats.org/officeDocument/2006/relationships/hyperlink" Target="https://bellsports.com.au" TargetMode="External" Id="rId967" /><Relationship Type="http://schemas.openxmlformats.org/officeDocument/2006/relationships/hyperlink" Target="https://www.google.com/maps/search/?api=1&amp;query=Bellbowrie+Sports+and+Recreation+Club+Inc" TargetMode="External" Id="rId968" /><Relationship Type="http://schemas.openxmlformats.org/officeDocument/2006/relationships/hyperlink" Target="https://www.instagram.com/brendalebrewingco" TargetMode="External" Id="rId969" /><Relationship Type="http://schemas.openxmlformats.org/officeDocument/2006/relationships/hyperlink" Target="https://www.facebook.com/BrendaleBrewingCo" TargetMode="External" Id="rId970" /><Relationship Type="http://schemas.openxmlformats.org/officeDocument/2006/relationships/hyperlink" Target="https://www.brendalebrewingco.com.au/" TargetMode="External" Id="rId971" /><Relationship Type="http://schemas.openxmlformats.org/officeDocument/2006/relationships/hyperlink" Target="https://www.google.com/maps/search/?api=1&amp;query=Brendale+Brewing+Co+62+Kremzow+Road+Brendale" TargetMode="External" Id="rId972" /><Relationship Type="http://schemas.openxmlformats.org/officeDocument/2006/relationships/hyperlink" Target="https://www.instagram.com/crubar" TargetMode="External" Id="rId973" /><Relationship Type="http://schemas.openxmlformats.org/officeDocument/2006/relationships/hyperlink" Target="https://facebook.com/crubar" TargetMode="External" Id="rId974" /><Relationship Type="http://schemas.openxmlformats.org/officeDocument/2006/relationships/hyperlink" Target="https://crubar.com/" TargetMode="External" Id="rId975" /><Relationship Type="http://schemas.openxmlformats.org/officeDocument/2006/relationships/hyperlink" Target="https://www.google.com/maps/search/?api=1&amp;query=Cru+Bar+22+James+Street" TargetMode="External" Id="rId976" /><Relationship Type="http://schemas.openxmlformats.org/officeDocument/2006/relationships/hyperlink" Target="https://www.instagram.com/dalgety2.0" TargetMode="External" Id="rId977" /><Relationship Type="http://schemas.openxmlformats.org/officeDocument/2006/relationships/hyperlink" Target="https://www.facebook.com/dalgety2.0" TargetMode="External" Id="rId978" /><Relationship Type="http://schemas.openxmlformats.org/officeDocument/2006/relationships/hyperlink" Target="https://dalgetypublichouse.com.au/" TargetMode="External" Id="rId979" /><Relationship Type="http://schemas.openxmlformats.org/officeDocument/2006/relationships/hyperlink" Target="https://www.google.com/maps/search/?api=1&amp;query=Dalgety+2.0+Public+House+110+Macquarie+Street+Teneriffe" TargetMode="External" Id="rId980" /><Relationship Type="http://schemas.openxmlformats.org/officeDocument/2006/relationships/hyperlink" Target="https://www.facebook.com/gaythournebowls.club" TargetMode="External" Id="rId981" /><Relationship Type="http://schemas.openxmlformats.org/officeDocument/2006/relationships/hyperlink" Target="https://gaythornebowls.club/" TargetMode="External" Id="rId982" /><Relationship Type="http://schemas.openxmlformats.org/officeDocument/2006/relationships/hyperlink" Target="https://www.google.com/maps/search/?api=1&amp;query=Gaythorne+Bowls+Club+18+Prospect+Road" TargetMode="External" Id="rId983" /><Relationship Type="http://schemas.openxmlformats.org/officeDocument/2006/relationships/hyperlink" Target="https://www.instagram.com/grandcentralhotelbne" TargetMode="External" Id="rId984" /><Relationship Type="http://schemas.openxmlformats.org/officeDocument/2006/relationships/hyperlink" Target="https://www.facebook.com/GrandCentralHotel" TargetMode="External" Id="rId985" /><Relationship Type="http://schemas.openxmlformats.org/officeDocument/2006/relationships/hyperlink" Target="https://grandcentralhotel.com.au/" TargetMode="External" Id="rId986" /><Relationship Type="http://schemas.openxmlformats.org/officeDocument/2006/relationships/hyperlink" Target="https://www.google.com/maps/search/?api=1&amp;query=Grand+Central+Hotel+270+Ann+Street+Brisbane+City" TargetMode="External" Id="rId987" /><Relationship Type="http://schemas.openxmlformats.org/officeDocument/2006/relationships/hyperlink" Target="https://www.instagram.com/happyvalleybrewco" TargetMode="External" Id="rId988" /><Relationship Type="http://schemas.openxmlformats.org/officeDocument/2006/relationships/hyperlink" Target="https://www.facebook.com/happyvalleybrewco" TargetMode="External" Id="rId989" /><Relationship Type="http://schemas.openxmlformats.org/officeDocument/2006/relationships/hyperlink" Target="https://www.happyvalleybrewingco.com.au/" TargetMode="External" Id="rId990" /><Relationship Type="http://schemas.openxmlformats.org/officeDocument/2006/relationships/hyperlink" Target="https://www.google.com/maps/search/?api=1&amp;query=Happy+Valley+Brewing+Co.+34+Wolverhampton+Street" TargetMode="External" Id="rId991" /><Relationship Type="http://schemas.openxmlformats.org/officeDocument/2006/relationships/hyperlink" Target="https://www.facebook.com/hitchingpostbrisbane/" TargetMode="External" Id="rId992" /><Relationship Type="http://schemas.openxmlformats.org/officeDocument/2006/relationships/hyperlink" Target="https://hitchingpostbargrill.com.au/" TargetMode="External" Id="rId993" /><Relationship Type="http://schemas.openxmlformats.org/officeDocument/2006/relationships/hyperlink" Target="https://www.google.com/maps/search/?api=1&amp;query=Hitching+Post+Bar+%2B+Grill" TargetMode="External" Id="rId994" /><Relationship Type="http://schemas.openxmlformats.org/officeDocument/2006/relationships/hyperlink" Target="https://www.instagram.com/southside_restaurant/" TargetMode="External" Id="rId995" /><Relationship Type="http://schemas.openxmlformats.org/officeDocument/2006/relationships/hyperlink" Target="https://www.facebook.com/friendsoffriendsgroup" TargetMode="External" Id="rId996" /><Relationship Type="http://schemas.openxmlformats.org/officeDocument/2006/relationships/hyperlink" Target="https://www.southside-restaurant.com.au/" TargetMode="External" Id="rId997" /><Relationship Type="http://schemas.openxmlformats.org/officeDocument/2006/relationships/hyperlink" Target="https://www.google.com/maps/search/?api=1&amp;query=Kiki+Kiosk+63+Melbourne+Street+South+Brisbane" TargetMode="External" Id="rId998" /><Relationship Type="http://schemas.openxmlformats.org/officeDocument/2006/relationships/hyperlink" Target="https://www.instagram.com/themanlyhotel" TargetMode="External" Id="rId999" /><Relationship Type="http://schemas.openxmlformats.org/officeDocument/2006/relationships/hyperlink" Target="https://www.facebook.com/themanlyhotel" TargetMode="External" Id="rId1000" /><Relationship Type="http://schemas.openxmlformats.org/officeDocument/2006/relationships/hyperlink" Target="https://www.manlyhotel.com/" TargetMode="External" Id="rId1001" /><Relationship Type="http://schemas.openxmlformats.org/officeDocument/2006/relationships/hyperlink" Target="https://www.google.com/maps/search/?api=1&amp;query=Manly+Hotel" TargetMode="External" Id="rId1002" /><Relationship Type="http://schemas.openxmlformats.org/officeDocument/2006/relationships/hyperlink" Target="https://www.instagram.com/netherworldarcade" TargetMode="External" Id="rId1003" /><Relationship Type="http://schemas.openxmlformats.org/officeDocument/2006/relationships/hyperlink" Target="https://www.facebook.com/netherworldarcade" TargetMode="External" Id="rId1004" /><Relationship Type="http://schemas.openxmlformats.org/officeDocument/2006/relationships/hyperlink" Target="https://www.netherworldarcade.com" TargetMode="External" Id="rId1005" /><Relationship Type="http://schemas.openxmlformats.org/officeDocument/2006/relationships/hyperlink" Target="https://www.google.com/maps/search/?api=1&amp;query=Netherworld+186+Brunswick+Street+Fortitude+Valley" TargetMode="External" Id="rId1006" /><Relationship Type="http://schemas.openxmlformats.org/officeDocument/2006/relationships/hyperlink" Target="https://www.instagram.com/thenormanbyhotel" TargetMode="External" Id="rId1007" /><Relationship Type="http://schemas.openxmlformats.org/officeDocument/2006/relationships/hyperlink" Target="https://www.facebook.com/thenormanby" TargetMode="External" Id="rId1008" /><Relationship Type="http://schemas.openxmlformats.org/officeDocument/2006/relationships/hyperlink" Target="https://thenormanby.com.au/" TargetMode="External" Id="rId1009" /><Relationship Type="http://schemas.openxmlformats.org/officeDocument/2006/relationships/hyperlink" Target="https://www.google.com/maps/search/?api=1&amp;query=Normanby+Hotel+1+Musgrave+Road" TargetMode="External" Id="rId1010" /><Relationship Type="http://schemas.openxmlformats.org/officeDocument/2006/relationships/hyperlink" Target="https://www.instagram.com/theruncorn" TargetMode="External" Id="rId1011" /><Relationship Type="http://schemas.openxmlformats.org/officeDocument/2006/relationships/hyperlink" Target="https://www.facebook.com/theruncorn" TargetMode="External" Id="rId1012" /><Relationship Type="http://schemas.openxmlformats.org/officeDocument/2006/relationships/hyperlink" Target="https://runcorntavern.com.au/" TargetMode="External" Id="rId1013" /><Relationship Type="http://schemas.openxmlformats.org/officeDocument/2006/relationships/hyperlink" Target="https://www.google.com/maps/search/?api=1&amp;query=Runcorn+Tavern+124+Gowan+Road" TargetMode="External" Id="rId1014" /><Relationship Type="http://schemas.openxmlformats.org/officeDocument/2006/relationships/hyperlink" Target="https://www.instagram.com/storybridgehotel" TargetMode="External" Id="rId1015" /><Relationship Type="http://schemas.openxmlformats.org/officeDocument/2006/relationships/hyperlink" Target="https://www.facebook.com/StoryBridgeHotel" TargetMode="External" Id="rId1016" /><Relationship Type="http://schemas.openxmlformats.org/officeDocument/2006/relationships/hyperlink" Target="https://www.storybridgehotel.com.au/" TargetMode="External" Id="rId1017" /><Relationship Type="http://schemas.openxmlformats.org/officeDocument/2006/relationships/hyperlink" Target="https://www.google.com/maps/search/?api=1&amp;query=Story+Bridge+Hotel+200+Main+Street+Kangaroo+Point" TargetMode="External" Id="rId1018" /><Relationship Type="http://schemas.openxmlformats.org/officeDocument/2006/relationships/hyperlink" Target="https://www.instagram.com/thegibsonsportsclub" TargetMode="External" Id="rId1019" /><Relationship Type="http://schemas.openxmlformats.org/officeDocument/2006/relationships/hyperlink" Target="https://www.facebook.com/profile.php" TargetMode="External" Id="rId1020" /><Relationship Type="http://schemas.openxmlformats.org/officeDocument/2006/relationships/hyperlink" Target="https://thegibson.com.au/" TargetMode="External" Id="rId1021" /><Relationship Type="http://schemas.openxmlformats.org/officeDocument/2006/relationships/hyperlink" Target="https://www.google.com/maps/search/?api=1&amp;query=The+Gibson+Sports+Club+352+Stafford+Road+Stafford" TargetMode="External" Id="rId1022" /><Relationship Type="http://schemas.openxmlformats.org/officeDocument/2006/relationships/hyperlink" Target="https://www.instagram.com/thejunction_annerley/" TargetMode="External" Id="rId1023" /><Relationship Type="http://schemas.openxmlformats.org/officeDocument/2006/relationships/hyperlink" Target="https://www.facebook.com/junctionannerley/" TargetMode="External" Id="rId1024" /><Relationship Type="http://schemas.openxmlformats.org/officeDocument/2006/relationships/hyperlink" Target="https://thejunctionannerley.com.au/" TargetMode="External" Id="rId1025" /><Relationship Type="http://schemas.openxmlformats.org/officeDocument/2006/relationships/hyperlink" Target="https://www.google.com/maps/search/?api=1&amp;query=The+Junction" TargetMode="External" Id="rId1026" /><Relationship Type="http://schemas.openxmlformats.org/officeDocument/2006/relationships/hyperlink" Target="https://www.instagram.com/tingalpahotel" TargetMode="External" Id="rId1027" /><Relationship Type="http://schemas.openxmlformats.org/officeDocument/2006/relationships/hyperlink" Target="https://www.facebook.com/TingalpaHotel" TargetMode="External" Id="rId1028" /><Relationship Type="http://schemas.openxmlformats.org/officeDocument/2006/relationships/hyperlink" Target="https://www.tingalpahotel.com.au/" TargetMode="External" Id="rId1029" /><Relationship Type="http://schemas.openxmlformats.org/officeDocument/2006/relationships/hyperlink" Target="https://www.google.com/maps/search/?api=1&amp;query=Tingalpa+Hotel+1563+Wynnum+Road" TargetMode="External" Id="rId1030" /><Relationship Type="http://schemas.openxmlformats.org/officeDocument/2006/relationships/hyperlink" Target="http://instagram.com/warnertavern" TargetMode="External" Id="rId1031" /><Relationship Type="http://schemas.openxmlformats.org/officeDocument/2006/relationships/hyperlink" Target="http://www.facebook.com/WarnerTavern" TargetMode="External" Id="rId1032" /><Relationship Type="http://schemas.openxmlformats.org/officeDocument/2006/relationships/hyperlink" Target="https://www.warnertavern.com.au" TargetMode="External" Id="rId1033" /><Relationship Type="http://schemas.openxmlformats.org/officeDocument/2006/relationships/hyperlink" Target="https://www.google.com/maps/search/?api=1&amp;query=Warner+Tavern+2+Everest+Street+Warner" TargetMode="External" Id="rId1034" /><Relationship Type="http://schemas.openxmlformats.org/officeDocument/2006/relationships/hyperlink" Target="https://www.instagram.com/westsidehq_" TargetMode="External" Id="rId1035" /><Relationship Type="http://schemas.openxmlformats.org/officeDocument/2006/relationships/hyperlink" Target="https://www.facebook.com/WestsideHQ" TargetMode="External" Id="rId1036" /><Relationship Type="http://schemas.openxmlformats.org/officeDocument/2006/relationships/hyperlink" Target="https://www.westsidehq.org.au/" TargetMode="External" Id="rId1037" /><Relationship Type="http://schemas.openxmlformats.org/officeDocument/2006/relationships/hyperlink" Target="https://www.google.com/maps/search/?api=1&amp;query=WestsideHQ+3+Clewley+Street+Corinda" TargetMode="External" Id="rId1038" /><Relationship Type="http://schemas.openxmlformats.org/officeDocument/2006/relationships/hyperlink" Target="https://www.instagram.com/anavrinhair_" TargetMode="External" Id="rId1039" /><Relationship Type="http://schemas.openxmlformats.org/officeDocument/2006/relationships/hyperlink" Target="https://www.facebook.com/NicandCo.Salon" TargetMode="External" Id="rId1040" /><Relationship Type="http://schemas.openxmlformats.org/officeDocument/2006/relationships/hyperlink" Target="https://www.anavrinhair.com.au/" TargetMode="External" Id="rId1041" /><Relationship Type="http://schemas.openxmlformats.org/officeDocument/2006/relationships/hyperlink" Target="https://www.google.com/maps/search/?api=1&amp;query=Anavrin+Hair+890+Brunswick+Street" TargetMode="External" Id="rId1042" /><Relationship Type="http://schemas.openxmlformats.org/officeDocument/2006/relationships/hyperlink" Target="https://www.facebook.com/Contrastshairstudio" TargetMode="External" Id="rId1043" /><Relationship Type="http://schemas.openxmlformats.org/officeDocument/2006/relationships/hyperlink" Target="https://contrasts.com.au/" TargetMode="External" Id="rId1044" /><Relationship Type="http://schemas.openxmlformats.org/officeDocument/2006/relationships/hyperlink" Target="https://www.google.com/maps/search/?api=1&amp;query=Contrasts+Hair+Studio+82+Days+Road+Grange" TargetMode="External" Id="rId1045" /><Relationship Type="http://schemas.openxmlformats.org/officeDocument/2006/relationships/hyperlink" Target="https://www.instagram.com/deathbymullet_barbershop" TargetMode="External" Id="rId1046" /><Relationship Type="http://schemas.openxmlformats.org/officeDocument/2006/relationships/hyperlink" Target="https://www.facebook.com/deathbymullet" TargetMode="External" Id="rId1047" /><Relationship Type="http://schemas.openxmlformats.org/officeDocument/2006/relationships/hyperlink" Target="https://www.deathbymulletbarbershop.au/" TargetMode="External" Id="rId1048" /><Relationship Type="http://schemas.openxmlformats.org/officeDocument/2006/relationships/hyperlink" Target="https://www.google.com/maps/search/?api=1&amp;query=Death+By+Mullet+7+Toombul+Road" TargetMode="External" Id="rId1049" /><Relationship Type="http://schemas.openxmlformats.org/officeDocument/2006/relationships/hyperlink" Target="https://www.instagram.com/freshhair__" TargetMode="External" Id="rId1050" /><Relationship Type="http://schemas.openxmlformats.org/officeDocument/2006/relationships/hyperlink" Target="https://www.facebook.com/freshhairyeronga" TargetMode="External" Id="rId1051" /><Relationship Type="http://schemas.openxmlformats.org/officeDocument/2006/relationships/hyperlink" Target="https://www.freshhair.com.au/" TargetMode="External" Id="rId1052" /><Relationship Type="http://schemas.openxmlformats.org/officeDocument/2006/relationships/hyperlink" Target="https://www.google.com/maps/search/?api=1&amp;query=Fresh+Hair" TargetMode="External" Id="rId1053" /><Relationship Type="http://schemas.openxmlformats.org/officeDocument/2006/relationships/hyperlink" Target="https://www.facebook.com/glowthesalon" TargetMode="External" Id="rId1054" /><Relationship Type="http://schemas.openxmlformats.org/officeDocument/2006/relationships/hyperlink" Target="https://glowthesalon.com.au/" TargetMode="External" Id="rId1055" /><Relationship Type="http://schemas.openxmlformats.org/officeDocument/2006/relationships/hyperlink" Target="https://www.google.com/maps/search/?api=1&amp;query=Glow%2C+The+Salon+404+Samford+Road+Gaythorne" TargetMode="External" Id="rId1056" /><Relationship Type="http://schemas.openxmlformats.org/officeDocument/2006/relationships/hyperlink" Target="https://www.facebook.com/pages/Ingeborg-Hair/174250142617375" TargetMode="External" Id="rId1057" /><Relationship Type="http://schemas.openxmlformats.org/officeDocument/2006/relationships/hyperlink" Target="https://www.ingeborghair.com.au/" TargetMode="External" Id="rId1058" /><Relationship Type="http://schemas.openxmlformats.org/officeDocument/2006/relationships/hyperlink" Target="https://www.google.com/maps/search/?api=1&amp;query=Ingeborg+Hair" TargetMode="External" Id="rId1059" /><Relationship Type="http://schemas.openxmlformats.org/officeDocument/2006/relationships/hyperlink" Target="https://www.instagram.com/iris_and_ivy_kenmore" TargetMode="External" Id="rId1060" /><Relationship Type="http://schemas.openxmlformats.org/officeDocument/2006/relationships/hyperlink" Target="https://www.facebook.com/irisandivy2016" TargetMode="External" Id="rId1061" /><Relationship Type="http://schemas.openxmlformats.org/officeDocument/2006/relationships/hyperlink" Target="https://irisivyhair.com" TargetMode="External" Id="rId1062" /><Relationship Type="http://schemas.openxmlformats.org/officeDocument/2006/relationships/hyperlink" Target="https://www.google.com/maps/search/?api=1&amp;query=Iris+%26+Ivy" TargetMode="External" Id="rId1063" /><Relationship Type="http://schemas.openxmlformats.org/officeDocument/2006/relationships/hyperlink" Target="https://www.instagram.com/salon2brisbane" TargetMode="External" Id="rId1064" /><Relationship Type="http://schemas.openxmlformats.org/officeDocument/2006/relationships/hyperlink" Target="https://www.facebook.com/salon2.com.au?mibextid=wwXIfr&amp;rdid=CnTpoi6ZSxSGPJYe&amp;share_url=https%3A%2F%2Fwww.facebook.com%2Fshare%2F14z2mwVecAU%2F%3Fmibextid%3DwwXIfr#" TargetMode="External" Id="rId1065" /><Relationship Type="http://schemas.openxmlformats.org/officeDocument/2006/relationships/hyperlink" Target="https://www.salon2.com.au/" TargetMode="External" Id="rId1066" /><Relationship Type="http://schemas.openxmlformats.org/officeDocument/2006/relationships/hyperlink" Target="https://www.google.com/maps/search/?api=1&amp;query=Mac+%2B+Lulu+Studio+196+Newmarket+Road+Wilston" TargetMode="External" Id="rId1067" /><Relationship Type="http://schemas.openxmlformats.org/officeDocument/2006/relationships/hyperlink" Target="https://www.instagram.com/palomaroan_" TargetMode="External" Id="rId1068" /><Relationship Type="http://schemas.openxmlformats.org/officeDocument/2006/relationships/hyperlink" Target="https://www.facebook.com/groups/1269818730340575" TargetMode="External" Id="rId1069" /><Relationship Type="http://schemas.openxmlformats.org/officeDocument/2006/relationships/hyperlink" Target="https://www.palomaroan.com/" TargetMode="External" Id="rId1070" /><Relationship Type="http://schemas.openxmlformats.org/officeDocument/2006/relationships/hyperlink" Target="https://www.google.com/maps/search/?api=1&amp;query=Paloma+Roan+349+Montague+Road+West+End" TargetMode="External" Id="rId1071" /><Relationship Type="http://schemas.openxmlformats.org/officeDocument/2006/relationships/hyperlink" Target="https://www.instagram.com/purelycurls" TargetMode="External" Id="rId1072" /><Relationship Type="http://schemas.openxmlformats.org/officeDocument/2006/relationships/hyperlink" Target="https://www.facebook.com/purelycurls" TargetMode="External" Id="rId1073" /><Relationship Type="http://schemas.openxmlformats.org/officeDocument/2006/relationships/hyperlink" Target="https://purelycurlssalon.com/" TargetMode="External" Id="rId1074" /><Relationship Type="http://schemas.openxmlformats.org/officeDocument/2006/relationships/hyperlink" Target="https://www.google.com/maps/search/?api=1&amp;query=Purely+Curls+198+Newmarket+Road+Wilston" TargetMode="External" Id="rId1075" /><Relationship Type="http://schemas.openxmlformats.org/officeDocument/2006/relationships/hyperlink" Target="https://www.facebook.com/ShortandSweetBarbershop" TargetMode="External" Id="rId1076" /><Relationship Type="http://schemas.openxmlformats.org/officeDocument/2006/relationships/hyperlink" Target="https://www.shortandsweetbarbershop.com/" TargetMode="External" Id="rId1077" /><Relationship Type="http://schemas.openxmlformats.org/officeDocument/2006/relationships/hyperlink" Target="https://www.google.com/maps/search/?api=1&amp;query=Short+and+Sweet+Barbershop+338+Waterworks+Road+Ashgrove" TargetMode="External" Id="rId1078" /><Relationship Type="http://schemas.openxmlformats.org/officeDocument/2006/relationships/hyperlink" Target="https://www.facebook.com/Twisted-Scissors-Hair-Design-101156245096921" TargetMode="External" Id="rId1079" /><Relationship Type="http://schemas.openxmlformats.org/officeDocument/2006/relationships/hyperlink" Target="https://www.twistedscissors.com.au" TargetMode="External" Id="rId1080" /><Relationship Type="http://schemas.openxmlformats.org/officeDocument/2006/relationships/hyperlink" Target="https://www.google.com/maps/search/?api=1&amp;query=Twisted+Scissors+Hair+Design+17+Blackwood+Street+Mitchelton" TargetMode="External" Id="rId1081" /><Relationship Type="http://schemas.openxmlformats.org/officeDocument/2006/relationships/hyperlink" Target="https://www.instagram.com/urbanhairloft" TargetMode="External" Id="rId1082" /><Relationship Type="http://schemas.openxmlformats.org/officeDocument/2006/relationships/hyperlink" Target="https://www.urbanhairloft.com.au/" TargetMode="External" Id="rId1083" /><Relationship Type="http://schemas.openxmlformats.org/officeDocument/2006/relationships/hyperlink" Target="https://www.google.com/maps/search/?api=1&amp;query=Urban+Hair+Loft+40+Charlotte+Street" TargetMode="External" Id="rId1084" /><Relationship Type="http://schemas.openxmlformats.org/officeDocument/2006/relationships/hyperlink" Target="https://www.instagram.com/edit_laser" TargetMode="External" Id="rId1085" /><Relationship Type="http://schemas.openxmlformats.org/officeDocument/2006/relationships/hyperlink" Target="https://www.facebook.com/tattooremovalbrisbane" TargetMode="External" Id="rId1086" /><Relationship Type="http://schemas.openxmlformats.org/officeDocument/2006/relationships/hyperlink" Target="https://editlaser.com.au/" TargetMode="External" Id="rId1087" /><Relationship Type="http://schemas.openxmlformats.org/officeDocument/2006/relationships/hyperlink" Target="https://www.google.com/maps/search/?api=1&amp;query=EDIT+Laser+253+Anzac+Avenue" TargetMode="External" Id="rId1088" /><Relationship Type="http://schemas.openxmlformats.org/officeDocument/2006/relationships/hyperlink" Target="https://instagram.com/hypoxiaus" TargetMode="External" Id="rId1089" /><Relationship Type="http://schemas.openxmlformats.org/officeDocument/2006/relationships/hyperlink" Target="https://www.facebook.com/HYPOXIAustralia" TargetMode="External" Id="rId1090" /><Relationship Type="http://schemas.openxmlformats.org/officeDocument/2006/relationships/hyperlink" Target="https://www.hypoxi.com.au/studio/qld-bulimba/" TargetMode="External" Id="rId1091" /><Relationship Type="http://schemas.openxmlformats.org/officeDocument/2006/relationships/hyperlink" Target="https://www.google.com/maps/search/?api=1&amp;query=Hypoxi+Body+Boutique+Bulimba+Pty+Ltd+104+Barwon+Street+Morningside" TargetMode="External" Id="rId1092" /><Relationship Type="http://schemas.openxmlformats.org/officeDocument/2006/relationships/hyperlink" Target="https://instagram.com/majesticskin_room" TargetMode="External" Id="rId1093" /><Relationship Type="http://schemas.openxmlformats.org/officeDocument/2006/relationships/hyperlink" Target="https://www.facebook.com/majesticskinroom/" TargetMode="External" Id="rId1094" /><Relationship Type="http://schemas.openxmlformats.org/officeDocument/2006/relationships/hyperlink" Target="https://majesticskinroom.com.au/" TargetMode="External" Id="rId1095" /><Relationship Type="http://schemas.openxmlformats.org/officeDocument/2006/relationships/hyperlink" Target="https://www.google.com/maps/search/?api=1&amp;query=Majestic+Skin+Room+4+Majestic+Crescent+Hemmant" TargetMode="External" Id="rId1096" /><Relationship Type="http://schemas.openxmlformats.org/officeDocument/2006/relationships/hyperlink" Target="https://www.instagram.com/biffi_australia" TargetMode="External" Id="rId1097" /><Relationship Type="http://schemas.openxmlformats.org/officeDocument/2006/relationships/hyperlink" Target="https://biffi.com.au/" TargetMode="External" Id="rId1098" /><Relationship Type="http://schemas.openxmlformats.org/officeDocument/2006/relationships/hyperlink" Target="https://www.google.com/maps/search/?api=1&amp;query=Biffi+shop+36+Ann+Street" TargetMode="External" Id="rId1099" /><Relationship Type="http://schemas.openxmlformats.org/officeDocument/2006/relationships/hyperlink" Target="https://www.instagram.com/embroideryqueenau" TargetMode="External" Id="rId1100" /><Relationship Type="http://schemas.openxmlformats.org/officeDocument/2006/relationships/hyperlink" Target="https://www.facebook.com/EmbroideryQueens" TargetMode="External" Id="rId1101" /><Relationship Type="http://schemas.openxmlformats.org/officeDocument/2006/relationships/hyperlink" Target="http://www.embroideryqueen.com.au/" TargetMode="External" Id="rId1102" /><Relationship Type="http://schemas.openxmlformats.org/officeDocument/2006/relationships/hyperlink" Target="https://www.google.com/maps/search/?api=1&amp;query=Embroidery+Queen" TargetMode="External" Id="rId1103" /><Relationship Type="http://schemas.openxmlformats.org/officeDocument/2006/relationships/hyperlink" Target="https://www.instagram.com/margkboutique_x" TargetMode="External" Id="rId1104" /><Relationship Type="http://schemas.openxmlformats.org/officeDocument/2006/relationships/hyperlink" Target="https://margkkenmore.com.au" TargetMode="External" Id="rId1105" /><Relationship Type="http://schemas.openxmlformats.org/officeDocument/2006/relationships/hyperlink" Target="https://www.google.com/maps/search/?api=1&amp;query=MargK+Boutique" TargetMode="External" Id="rId1106" /><Relationship Type="http://schemas.openxmlformats.org/officeDocument/2006/relationships/hyperlink" Target="https://www.facebook.com/WilliamsShoes/" TargetMode="External" Id="rId1107" /><Relationship Type="http://schemas.openxmlformats.org/officeDocument/2006/relationships/hyperlink" Target="https://www.williamsshoes.com.au/" TargetMode="External" Id="rId1108" /><Relationship Type="http://schemas.openxmlformats.org/officeDocument/2006/relationships/hyperlink" Target="https://www.google.com/maps/search/?api=1&amp;query=Williams+400+Stafford+Road+Stafford" TargetMode="External" Id="rId1109" /><Relationship Type="http://schemas.openxmlformats.org/officeDocument/2006/relationships/hyperlink" Target="https://www.facebook.com/fortywestsouthripley/" TargetMode="External" Id="rId1110" /><Relationship Type="http://schemas.openxmlformats.org/officeDocument/2006/relationships/hyperlink" Target="https://www.fortywestcafe.com.au/" TargetMode="External" Id="rId1111" /><Relationship Type="http://schemas.openxmlformats.org/officeDocument/2006/relationships/hyperlink" Target="https://www.google.com/maps/search/?api=1&amp;query=40+West+Cafe+6+Amity+Way+South+Ripley" TargetMode="External" Id="rId1112" /><Relationship Type="http://schemas.openxmlformats.org/officeDocument/2006/relationships/hyperlink" Target="https://www.facebook.com/4brothersexpressocafe/" TargetMode="External" Id="rId1113" /><Relationship Type="http://schemas.openxmlformats.org/officeDocument/2006/relationships/hyperlink" Target="https://jqpdvuuc.dreamwp.com/" TargetMode="External" Id="rId1114" /><Relationship Type="http://schemas.openxmlformats.org/officeDocument/2006/relationships/hyperlink" Target="https://www.google.com/maps/search/?api=1&amp;query=4Brothers+Expresso+Cafe" TargetMode="External" Id="rId1115" /><Relationship Type="http://schemas.openxmlformats.org/officeDocument/2006/relationships/hyperlink" Target="http://instagram.com/ashandmonties" TargetMode="External" Id="rId1116" /><Relationship Type="http://schemas.openxmlformats.org/officeDocument/2006/relationships/hyperlink" Target="https://www.facebook.com/pages/ashmonties/1020691324611843" TargetMode="External" Id="rId1117" /><Relationship Type="http://schemas.openxmlformats.org/officeDocument/2006/relationships/hyperlink" Target="https://www.ashandmonties.com.au/" TargetMode="External" Id="rId1118" /><Relationship Type="http://schemas.openxmlformats.org/officeDocument/2006/relationships/hyperlink" Target="https://www.google.com/maps/search/?api=1&amp;query=Ash%2BMonties+Espresso+Bar+304+Montague+Road" TargetMode="External" Id="rId1119" /><Relationship Type="http://schemas.openxmlformats.org/officeDocument/2006/relationships/hyperlink" Target="https://www.instagram.com/baladitrailer" TargetMode="External" Id="rId1120" /><Relationship Type="http://schemas.openxmlformats.org/officeDocument/2006/relationships/hyperlink" Target="https://www.baladi.com.au" TargetMode="External" Id="rId1121" /><Relationship Type="http://schemas.openxmlformats.org/officeDocument/2006/relationships/hyperlink" Target="https://www.google.com/maps/search/?api=1&amp;query=Baladi+237+Brisbane+Corso+Yeronga" TargetMode="External" Id="rId1122" /><Relationship Type="http://schemas.openxmlformats.org/officeDocument/2006/relationships/hyperlink" Target="https://www.instagram.com/beyondthebrewfitzgibbon" TargetMode="External" Id="rId1123" /><Relationship Type="http://schemas.openxmlformats.org/officeDocument/2006/relationships/hyperlink" Target="https://www.facebook.com/BeanNLoaf" TargetMode="External" Id="rId1124" /><Relationship Type="http://schemas.openxmlformats.org/officeDocument/2006/relationships/hyperlink" Target="https://beyondthebrew.com.au/" TargetMode="External" Id="rId1125" /><Relationship Type="http://schemas.openxmlformats.org/officeDocument/2006/relationships/hyperlink" Target="https://www.google.com/maps/search/?api=1&amp;query=Beyond+the+Brew+530+Roghan+Road+Fitzgibbon" TargetMode="External" Id="rId1126" /><Relationship Type="http://schemas.openxmlformats.org/officeDocument/2006/relationships/hyperlink" Target="https://www.instagram.com/blackmilkcoffee" TargetMode="External" Id="rId1127" /><Relationship Type="http://schemas.openxmlformats.org/officeDocument/2006/relationships/hyperlink" Target="https://www.facebook.com/blackmilkcoffee" TargetMode="External" Id="rId1128" /><Relationship Type="http://schemas.openxmlformats.org/officeDocument/2006/relationships/hyperlink" Target="https://www.blackmilkcoffee.com/our-locations" TargetMode="External" Id="rId1129" /><Relationship Type="http://schemas.openxmlformats.org/officeDocument/2006/relationships/hyperlink" Target="https://www.google.com/maps/search/?api=1&amp;query=Black+Milk+Coffee+167+Oxley+Station+Road" TargetMode="External" Id="rId1130" /><Relationship Type="http://schemas.openxmlformats.org/officeDocument/2006/relationships/hyperlink" Target="https://www.instagram.com/cocoblisscollective" TargetMode="External" Id="rId1131" /><Relationship Type="http://schemas.openxmlformats.org/officeDocument/2006/relationships/hyperlink" Target="https://www.facebook.com/cocoblisssuperfoodbar" TargetMode="External" Id="rId1132" /><Relationship Type="http://schemas.openxmlformats.org/officeDocument/2006/relationships/hyperlink" Target="https://www.cocobliss.com.au/" TargetMode="External" Id="rId1133" /><Relationship Type="http://schemas.openxmlformats.org/officeDocument/2006/relationships/hyperlink" Target="https://www.google.com/maps/search/?api=1&amp;query=Coco+Bliss" TargetMode="External" Id="rId1134" /><Relationship Type="http://schemas.openxmlformats.org/officeDocument/2006/relationships/hyperlink" Target="https://www.instagram.com/cryptocoffee.au/" TargetMode="External" Id="rId1135" /><Relationship Type="http://schemas.openxmlformats.org/officeDocument/2006/relationships/hyperlink" Target="https://www.cryptocoffee.com.au/" TargetMode="External" Id="rId1136" /><Relationship Type="http://schemas.openxmlformats.org/officeDocument/2006/relationships/hyperlink" Target="https://www.google.com/maps/search/?api=1&amp;query=Crypto+Coffee+572+Brunswick+Street+New+Farm" TargetMode="External" Id="rId1137" /><Relationship Type="http://schemas.openxmlformats.org/officeDocument/2006/relationships/hyperlink" Target="https://www.instagram.com/deganicapestone" TargetMode="External" Id="rId1138" /><Relationship Type="http://schemas.openxmlformats.org/officeDocument/2006/relationships/hyperlink" Target="https://www.facebook.com/Degani-Capestone-101395525643237" TargetMode="External" Id="rId1139" /><Relationship Type="http://schemas.openxmlformats.org/officeDocument/2006/relationships/hyperlink" Target="https://degani.com.au/locations/capestone/" TargetMode="External" Id="rId1140" /><Relationship Type="http://schemas.openxmlformats.org/officeDocument/2006/relationships/hyperlink" Target="https://www.google.com/maps/search/?api=1&amp;query=Degani+Capestone" TargetMode="External" Id="rId1141" /><Relationship Type="http://schemas.openxmlformats.org/officeDocument/2006/relationships/hyperlink" Target="https://www.instagram.com/dovetailsocial" TargetMode="External" Id="rId1142" /><Relationship Type="http://schemas.openxmlformats.org/officeDocument/2006/relationships/hyperlink" Target="https://www.facebook.com/DovetailOnOverend/" TargetMode="External" Id="rId1143" /><Relationship Type="http://schemas.openxmlformats.org/officeDocument/2006/relationships/hyperlink" Target="https://dovetailsocial.com.au/" TargetMode="External" Id="rId1144" /><Relationship Type="http://schemas.openxmlformats.org/officeDocument/2006/relationships/hyperlink" Target="https://www.google.com/maps/search/?api=1&amp;query=Dovetail+on+Overend+85+Overend+Street" TargetMode="External" Id="rId1145" /><Relationship Type="http://schemas.openxmlformats.org/officeDocument/2006/relationships/hyperlink" Target="https://www.instagram.com/fablesbrisbane" TargetMode="External" Id="rId1146" /><Relationship Type="http://schemas.openxmlformats.org/officeDocument/2006/relationships/hyperlink" Target="https://www.facebook.com/princesstheatrebrisbane" TargetMode="External" Id="rId1147" /><Relationship Type="http://schemas.openxmlformats.org/officeDocument/2006/relationships/hyperlink" Target="https://theprincesstheatre.com.au/fables" TargetMode="External" Id="rId1148" /><Relationship Type="http://schemas.openxmlformats.org/officeDocument/2006/relationships/hyperlink" Target="https://www.google.com/maps/search/?api=1&amp;query=Fables" TargetMode="External" Id="rId1149" /><Relationship Type="http://schemas.openxmlformats.org/officeDocument/2006/relationships/hyperlink" Target="https://www.facebook.com/foragesdelicafe" TargetMode="External" Id="rId1150" /><Relationship Type="http://schemas.openxmlformats.org/officeDocument/2006/relationships/hyperlink" Target="https://www.foragesdelicafe.com.au/" TargetMode="External" Id="rId1151" /><Relationship Type="http://schemas.openxmlformats.org/officeDocument/2006/relationships/hyperlink" Target="https://www.google.com/maps/search/?api=1&amp;query=Forages+144+Indooroopilly+Road" TargetMode="External" Id="rId1152" /><Relationship Type="http://schemas.openxmlformats.org/officeDocument/2006/relationships/hyperlink" Target="https://www.instagram.com/montague_markets" TargetMode="External" Id="rId1153" /><Relationship Type="http://schemas.openxmlformats.org/officeDocument/2006/relationships/hyperlink" Target="https://www.facebook.com/Montague-Markets-West-End-107585814114179" TargetMode="External" Id="rId1154" /><Relationship Type="http://schemas.openxmlformats.org/officeDocument/2006/relationships/hyperlink" Target="https://montaguemarketswestend.com.au/retailers/good-thing/" TargetMode="External" Id="rId1155" /><Relationship Type="http://schemas.openxmlformats.org/officeDocument/2006/relationships/hyperlink" Target="https://www.google.com/maps/search/?api=1&amp;query=Good+Thing+Montague+Road" TargetMode="External" Id="rId1156" /><Relationship Type="http://schemas.openxmlformats.org/officeDocument/2006/relationships/hyperlink" Target="https://www.facebook.com/profile.php?id=100063498791903" TargetMode="External" Id="rId1157" /><Relationship Type="http://schemas.openxmlformats.org/officeDocument/2006/relationships/hyperlink" Target="https://www.grubst.com.au/" TargetMode="External" Id="rId1158" /><Relationship Type="http://schemas.openxmlformats.org/officeDocument/2006/relationships/hyperlink" Target="https://www.google.com/maps/search/?api=1&amp;query=Grub+Street+440+Samford+Road+Gaythorne" TargetMode="External" Id="rId1159" /><Relationship Type="http://schemas.openxmlformats.org/officeDocument/2006/relationships/hyperlink" Target="https://www.instagram.com/joandco.drewvale" TargetMode="External" Id="rId1160" /><Relationship Type="http://schemas.openxmlformats.org/officeDocument/2006/relationships/hyperlink" Target="https://www.facebook.com/joandco.drewvale" TargetMode="External" Id="rId1161" /><Relationship Type="http://schemas.openxmlformats.org/officeDocument/2006/relationships/hyperlink" Target="https://joandcocafe.com.au/" TargetMode="External" Id="rId1162" /><Relationship Type="http://schemas.openxmlformats.org/officeDocument/2006/relationships/hyperlink" Target="https://www.google.com/maps/search/?api=1&amp;query=Jo+%26+Co.+Cafe+27+Illaweena+Street" TargetMode="External" Id="rId1163" /><Relationship Type="http://schemas.openxmlformats.org/officeDocument/2006/relationships/hyperlink" Target="https://www.instagram.com/kafe.krave/?hl=en" TargetMode="External" Id="rId1164" /><Relationship Type="http://schemas.openxmlformats.org/officeDocument/2006/relationships/hyperlink" Target="https://www.facebook.com/KAFEKRAVE14/" TargetMode="External" Id="rId1165" /><Relationship Type="http://schemas.openxmlformats.org/officeDocument/2006/relationships/hyperlink" Target="https://www.kafekrave.com/" TargetMode="External" Id="rId1166" /><Relationship Type="http://schemas.openxmlformats.org/officeDocument/2006/relationships/hyperlink" Target="https://www.google.com/maps/search/?api=1&amp;query=Kafe+Krave+142+Newmarket+Road+Windsor" TargetMode="External" Id="rId1167" /><Relationship Type="http://schemas.openxmlformats.org/officeDocument/2006/relationships/hyperlink" Target="https://www.instagram.com/landingbakery" TargetMode="External" Id="rId1168" /><Relationship Type="http://schemas.openxmlformats.org/officeDocument/2006/relationships/hyperlink" Target="https://landingbakery.au/" TargetMode="External" Id="rId1169" /><Relationship Type="http://schemas.openxmlformats.org/officeDocument/2006/relationships/hyperlink" Target="https://www.google.com/maps/search/?api=1&amp;query=Landing+71+Landsborough+Avenue" TargetMode="External" Id="rId1170" /><Relationship Type="http://schemas.openxmlformats.org/officeDocument/2006/relationships/hyperlink" Target="https://www.instagram.com/lettuceeatwestend" TargetMode="External" Id="rId1171" /><Relationship Type="http://schemas.openxmlformats.org/officeDocument/2006/relationships/hyperlink" Target="https://www.facebook.com/LettuceEatCafe" TargetMode="External" Id="rId1172" /><Relationship Type="http://schemas.openxmlformats.org/officeDocument/2006/relationships/hyperlink" Target="https://www.lettuceeat.com.au/" TargetMode="External" Id="rId1173" /><Relationship Type="http://schemas.openxmlformats.org/officeDocument/2006/relationships/hyperlink" Target="https://www.google.com/maps/search/?api=1&amp;query=Lettuce+Eat+390+Montague+Road" TargetMode="External" Id="rId1174" /><Relationship Type="http://schemas.openxmlformats.org/officeDocument/2006/relationships/hyperlink" Target="https://www.instagram.com/lovewellcafe" TargetMode="External" Id="rId1175" /><Relationship Type="http://schemas.openxmlformats.org/officeDocument/2006/relationships/hyperlink" Target="https://www.facebook.com/lovewellcafe" TargetMode="External" Id="rId1176" /><Relationship Type="http://schemas.openxmlformats.org/officeDocument/2006/relationships/hyperlink" Target="https://lovewell.com.au" TargetMode="External" Id="rId1177" /><Relationship Type="http://schemas.openxmlformats.org/officeDocument/2006/relationships/hyperlink" Target="https://www.google.com/maps/search/?api=1&amp;query=Lovewell+Cafe+176+Mount+Gravatt+Outlook+Drive" TargetMode="External" Id="rId1178" /><Relationship Type="http://schemas.openxmlformats.org/officeDocument/2006/relationships/hyperlink" Target="https://www.instagram.com/marcopolo.kitchen" TargetMode="External" Id="rId1179" /><Relationship Type="http://schemas.openxmlformats.org/officeDocument/2006/relationships/hyperlink" Target="https://marcopolo.kitchen/" TargetMode="External" Id="rId1180" /><Relationship Type="http://schemas.openxmlformats.org/officeDocument/2006/relationships/hyperlink" Target="https://www.google.com/maps/search/?api=1&amp;query=Marco+140+Creek+Street" TargetMode="External" Id="rId1181" /><Relationship Type="http://schemas.openxmlformats.org/officeDocument/2006/relationships/hyperlink" Target="https://www.instagram.com/maxbrenneraus" TargetMode="External" Id="rId1182" /><Relationship Type="http://schemas.openxmlformats.org/officeDocument/2006/relationships/hyperlink" Target="https://www.facebook.com/MBAustralia" TargetMode="External" Id="rId1183" /><Relationship Type="http://schemas.openxmlformats.org/officeDocument/2006/relationships/hyperlink" Target="https://www.maxbrenner.com.au/" TargetMode="External" Id="rId1184" /><Relationship Type="http://schemas.openxmlformats.org/officeDocument/2006/relationships/hyperlink" Target="https://www.google.com/maps/search/?api=1&amp;query=Max+Brenner+Chocolate+Bar+2+Little+Stanley+Street" TargetMode="External" Id="rId1185" /><Relationship Type="http://schemas.openxmlformats.org/officeDocument/2006/relationships/hyperlink" Target="https://www.facebook.com/miabellascoffee" TargetMode="External" Id="rId1186" /><Relationship Type="http://schemas.openxmlformats.org/officeDocument/2006/relationships/hyperlink" Target="http://miabellascoffee.com/" TargetMode="External" Id="rId1187" /><Relationship Type="http://schemas.openxmlformats.org/officeDocument/2006/relationships/hyperlink" Target="https://www.google.com/maps/search/?api=1&amp;query=Mia+Bella%27s+Coffee+Drive+Thru+167+Gympie+Road+Strathpine" TargetMode="External" Id="rId1188" /><Relationship Type="http://schemas.openxmlformats.org/officeDocument/2006/relationships/hyperlink" Target="https://www.instagram.com/mitch.and.antle" TargetMode="External" Id="rId1189" /><Relationship Type="http://schemas.openxmlformats.org/officeDocument/2006/relationships/hyperlink" Target="https://www.facebook.com/mitch.and.antler" TargetMode="External" Id="rId1190" /><Relationship Type="http://schemas.openxmlformats.org/officeDocument/2006/relationships/hyperlink" Target="https://www.mitchandantler.com/" TargetMode="External" Id="rId1191" /><Relationship Type="http://schemas.openxmlformats.org/officeDocument/2006/relationships/hyperlink" Target="https://www.google.com/maps/search/?api=1&amp;query=Mitch+and+Antler" TargetMode="External" Id="rId1192" /><Relationship Type="http://schemas.openxmlformats.org/officeDocument/2006/relationships/hyperlink" Target="https://www.instagram.com/wix" TargetMode="External" Id="rId1193" /><Relationship Type="http://schemas.openxmlformats.org/officeDocument/2006/relationships/hyperlink" Target="https://www.facebook.com/wix" TargetMode="External" Id="rId1194" /><Relationship Type="http://schemas.openxmlformats.org/officeDocument/2006/relationships/hyperlink" Target="https://www.nanaanddas.com/" TargetMode="External" Id="rId1195" /><Relationship Type="http://schemas.openxmlformats.org/officeDocument/2006/relationships/hyperlink" Target="https://www.google.com/maps/search/?api=1&amp;query=Nana+and+Da%27s+12+Homebush+Road+Kedron" TargetMode="External" Id="rId1196" /><Relationship Type="http://schemas.openxmlformats.org/officeDocument/2006/relationships/hyperlink" Target="https://www.instagram.com/otti.cafe" TargetMode="External" Id="rId1197" /><Relationship Type="http://schemas.openxmlformats.org/officeDocument/2006/relationships/hyperlink" Target="https://www.facebook.com/otti.cafe" TargetMode="External" Id="rId1198" /><Relationship Type="http://schemas.openxmlformats.org/officeDocument/2006/relationships/hyperlink" Target="https://www.otticafe.com.au" TargetMode="External" Id="rId1199" /><Relationship Type="http://schemas.openxmlformats.org/officeDocument/2006/relationships/hyperlink" Target="https://www.google.com/maps/search/?api=1&amp;query=Otti+218+Vulture+Street+South+Brisbane" TargetMode="External" Id="rId1200" /><Relationship Type="http://schemas.openxmlformats.org/officeDocument/2006/relationships/hyperlink" Target="https://www.instagram.com/marcopolo.kitchen" TargetMode="External" Id="rId1201" /><Relationship Type="http://schemas.openxmlformats.org/officeDocument/2006/relationships/hyperlink" Target="https://marcopolo.kitchen/" TargetMode="External" Id="rId1202" /><Relationship Type="http://schemas.openxmlformats.org/officeDocument/2006/relationships/hyperlink" Target="https://www.google.com/maps/search/?api=1&amp;query=Polo" TargetMode="External" Id="rId1203" /><Relationship Type="http://schemas.openxmlformats.org/officeDocument/2006/relationships/hyperlink" Target="https://www.instagram.com/putzigcafe/" TargetMode="External" Id="rId1204" /><Relationship Type="http://schemas.openxmlformats.org/officeDocument/2006/relationships/hyperlink" Target="https://www.facebook.com/profile.php?id=61560960715280" TargetMode="External" Id="rId1205" /><Relationship Type="http://schemas.openxmlformats.org/officeDocument/2006/relationships/hyperlink" Target="https://putzigcafe.com/" TargetMode="External" Id="rId1206" /><Relationship Type="http://schemas.openxmlformats.org/officeDocument/2006/relationships/hyperlink" Target="https://www.google.com/maps/search/?api=1&amp;query=Putzig+Cafe+190+Newmarket+Road+Wilston" TargetMode="External" Id="rId1207" /><Relationship Type="http://schemas.openxmlformats.org/officeDocument/2006/relationships/hyperlink" Target="https://www.instagram.com/rivakitchenevents" TargetMode="External" Id="rId1208" /><Relationship Type="http://schemas.openxmlformats.org/officeDocument/2006/relationships/hyperlink" Target="https://rivakitchen.com.au" TargetMode="External" Id="rId1209" /><Relationship Type="http://schemas.openxmlformats.org/officeDocument/2006/relationships/hyperlink" Target="https://www.google.com/maps/search/?api=1&amp;query=Riva+Kitchen+and+Events+285+MacArthur+Avenue+Hamilton" TargetMode="External" Id="rId1210" /><Relationship Type="http://schemas.openxmlformats.org/officeDocument/2006/relationships/hyperlink" Target="https://www.instagram.com/salud.bne" TargetMode="External" Id="rId1211" /><Relationship Type="http://schemas.openxmlformats.org/officeDocument/2006/relationships/hyperlink" Target="https://www.facebook.com/profile.php" TargetMode="External" Id="rId1212" /><Relationship Type="http://schemas.openxmlformats.org/officeDocument/2006/relationships/hyperlink" Target="https://saludbne.com.au/" TargetMode="External" Id="rId1213" /><Relationship Type="http://schemas.openxmlformats.org/officeDocument/2006/relationships/hyperlink" Target="https://www.google.com/maps/search/?api=1&amp;query=Salud+Restaurant+109+Haig+Road" TargetMode="External" Id="rId1214" /><Relationship Type="http://schemas.openxmlformats.org/officeDocument/2006/relationships/hyperlink" Target="https://www.instagram.com/stcococafe" TargetMode="External" Id="rId1215" /><Relationship Type="http://schemas.openxmlformats.org/officeDocument/2006/relationships/hyperlink" Target="https://www.facebook.com/Stcococafe" TargetMode="External" Id="rId1216" /><Relationship Type="http://schemas.openxmlformats.org/officeDocument/2006/relationships/hyperlink" Target="https://www.stcococafe.com.au/" TargetMode="External" Id="rId1217" /><Relationship Type="http://schemas.openxmlformats.org/officeDocument/2006/relationships/hyperlink" Target="https://www.google.com/maps/search/?api=1&amp;query=St+Coco+Cafe+3-5+Cupania+Street" TargetMode="External" Id="rId1218" /><Relationship Type="http://schemas.openxmlformats.org/officeDocument/2006/relationships/hyperlink" Target="https://www.instagram.com/supernumerarycoffee" TargetMode="External" Id="rId1219" /><Relationship Type="http://schemas.openxmlformats.org/officeDocument/2006/relationships/hyperlink" Target="https://supernumerarycoffee.com" TargetMode="External" Id="rId1220" /><Relationship Type="http://schemas.openxmlformats.org/officeDocument/2006/relationships/hyperlink" Target="https://www.google.com/maps/search/?api=1&amp;query=Supernumerary+Coffee+655+Toohey+Road+Salisbury" TargetMode="External" Id="rId1221" /><Relationship Type="http://schemas.openxmlformats.org/officeDocument/2006/relationships/hyperlink" Target="https://www.instagram.com/thebakeologists" TargetMode="External" Id="rId1222" /><Relationship Type="http://schemas.openxmlformats.org/officeDocument/2006/relationships/hyperlink" Target="https://www.facebook.com/thebakeologists" TargetMode="External" Id="rId1223" /><Relationship Type="http://schemas.openxmlformats.org/officeDocument/2006/relationships/hyperlink" Target="https://thebakeologists.com.au/" TargetMode="External" Id="rId1224" /><Relationship Type="http://schemas.openxmlformats.org/officeDocument/2006/relationships/hyperlink" Target="https://www.google.com/maps/search/?api=1&amp;query=The+Bakeologists+81+Merthyr+Road+New+Farm" TargetMode="External" Id="rId1225" /><Relationship Type="http://schemas.openxmlformats.org/officeDocument/2006/relationships/hyperlink" Target="https://www.instagram.com/THEHIDEOUTAUS" TargetMode="External" Id="rId1226" /><Relationship Type="http://schemas.openxmlformats.org/officeDocument/2006/relationships/hyperlink" Target="https://www.facebook.com/TheHideoutAus" TargetMode="External" Id="rId1227" /><Relationship Type="http://schemas.openxmlformats.org/officeDocument/2006/relationships/hyperlink" Target="https://www.thehideoutaus.com/" TargetMode="External" Id="rId1228" /><Relationship Type="http://schemas.openxmlformats.org/officeDocument/2006/relationships/hyperlink" Target="https://www.google.com/maps/search/?api=1&amp;query=The+Hideout+Coffee+House+22+Main+Street+Narangba" TargetMode="External" Id="rId1229" /><Relationship Type="http://schemas.openxmlformats.org/officeDocument/2006/relationships/hyperlink" Target="https://www.facebook.com/jampantry" TargetMode="External" Id="rId1230" /><Relationship Type="http://schemas.openxmlformats.org/officeDocument/2006/relationships/hyperlink" Target="http://www.thejampantry.com.au" TargetMode="External" Id="rId1231" /><Relationship Type="http://schemas.openxmlformats.org/officeDocument/2006/relationships/hyperlink" Target="https://www.google.com/maps/search/?api=1&amp;query=The+Jam+Pantry+575+Logan+Road+Greenslopes" TargetMode="External" Id="rId1232" /><Relationship Type="http://schemas.openxmlformats.org/officeDocument/2006/relationships/hyperlink" Target="https://www.facebook.com/thelavendercottage152/" TargetMode="External" Id="rId1233" /><Relationship Type="http://schemas.openxmlformats.org/officeDocument/2006/relationships/hyperlink" Target="https://thelavendercottage.com.au/" TargetMode="External" Id="rId1234" /><Relationship Type="http://schemas.openxmlformats.org/officeDocument/2006/relationships/hyperlink" Target="https://www.google.com/maps/search/?api=1&amp;query=The+Lavender+Cottage+152+Thistle+Street+Gordon+Park" TargetMode="External" Id="rId1235" /><Relationship Type="http://schemas.openxmlformats.org/officeDocument/2006/relationships/hyperlink" Target="https://www.instagram.com/longyardlarder" TargetMode="External" Id="rId1236" /><Relationship Type="http://schemas.openxmlformats.org/officeDocument/2006/relationships/hyperlink" Target="https://longyardlarder.com.au/" TargetMode="External" Id="rId1237" /><Relationship Type="http://schemas.openxmlformats.org/officeDocument/2006/relationships/hyperlink" Target="https://www.google.com/maps/search/?api=1&amp;query=The+Long+Yard+Larder+37+Main+Street" TargetMode="External" Id="rId1238" /><Relationship Type="http://schemas.openxmlformats.org/officeDocument/2006/relationships/hyperlink" Target="https://www.instagram.com/wrapture_west_end" TargetMode="External" Id="rId1239" /><Relationship Type="http://schemas.openxmlformats.org/officeDocument/2006/relationships/hyperlink" Target="https://wrapture.bitebusiness.com/" TargetMode="External" Id="rId1240" /><Relationship Type="http://schemas.openxmlformats.org/officeDocument/2006/relationships/hyperlink" Target="https://www.google.com/maps/search/?api=1&amp;query=Wrapture+71+Russell+Street" TargetMode="External" Id="rId1241" /><Relationship Type="http://schemas.openxmlformats.org/officeDocument/2006/relationships/hyperlink" Target="https://www.instagram.com/thevkbros/" TargetMode="External" Id="rId1242" /><Relationship Type="http://schemas.openxmlformats.org/officeDocument/2006/relationships/hyperlink" Target="https://www.facebook.com/autobroswholesale" TargetMode="External" Id="rId1243" /><Relationship Type="http://schemas.openxmlformats.org/officeDocument/2006/relationships/hyperlink" Target="https://autobros.com.au/" TargetMode="External" Id="rId1244" /><Relationship Type="http://schemas.openxmlformats.org/officeDocument/2006/relationships/hyperlink" Target="https://www.google.com/maps/search/?api=1&amp;query=Autobros+Wholesale+62+Bishop+Street+Kelvin+Grove" TargetMode="External" Id="rId1245" /><Relationship Type="http://schemas.openxmlformats.org/officeDocument/2006/relationships/hyperlink" Target="https://www.facebook.com/crickshighway" TargetMode="External" Id="rId1246" /><Relationship Type="http://schemas.openxmlformats.org/officeDocument/2006/relationships/hyperlink" Target="https://crickshighway.com.au/" TargetMode="External" Id="rId1247" /><Relationship Type="http://schemas.openxmlformats.org/officeDocument/2006/relationships/hyperlink" Target="https://www.google.com/maps/search/?api=1&amp;query=Cricks+Highway+Used+Cars+3475+Pacific+Highway" TargetMode="External" Id="rId1248" /><Relationship Type="http://schemas.openxmlformats.org/officeDocument/2006/relationships/hyperlink" Target="https://www.instagram.com/epic_cycles" TargetMode="External" Id="rId1249" /><Relationship Type="http://schemas.openxmlformats.org/officeDocument/2006/relationships/hyperlink" Target="https://www.epiccycles.com.au/" TargetMode="External" Id="rId1250" /><Relationship Type="http://schemas.openxmlformats.org/officeDocument/2006/relationships/hyperlink" Target="https://www.google.com/maps/search/?api=1&amp;query=Epic+Cycles+81+Baroona+Road" TargetMode="External" Id="rId1251" /><Relationship Type="http://schemas.openxmlformats.org/officeDocument/2006/relationships/hyperlink" Target="https://www.instagram.com/lugandcarrie" TargetMode="External" Id="rId1252" /><Relationship Type="http://schemas.openxmlformats.org/officeDocument/2006/relationships/hyperlink" Target="https://www.facebook.com/groups/388887656648445" TargetMode="External" Id="rId1253" /><Relationship Type="http://schemas.openxmlformats.org/officeDocument/2006/relationships/hyperlink" Target="https://lug-carrie.com/contact" TargetMode="External" Id="rId1254" /><Relationship Type="http://schemas.openxmlformats.org/officeDocument/2006/relationships/hyperlink" Target="https://www.google.com/maps/search/?api=1&amp;query=Lug%2BCarrie+7+Trafalgar+Street" TargetMode="External" Id="rId1255" /><Relationship Type="http://schemas.openxmlformats.org/officeDocument/2006/relationships/hyperlink" Target="https://www.instagram.com/myebikeaustralia" TargetMode="External" Id="rId1256" /><Relationship Type="http://schemas.openxmlformats.org/officeDocument/2006/relationships/hyperlink" Target="https://www.myebike.com.au" TargetMode="External" Id="rId1257" /><Relationship Type="http://schemas.openxmlformats.org/officeDocument/2006/relationships/hyperlink" Target="https://www.google.com/maps/search/?api=1&amp;query=MyeBike+421+Brunswick+Street" TargetMode="External" Id="rId1258" /><Relationship Type="http://schemas.openxmlformats.org/officeDocument/2006/relationships/hyperlink" Target="https://www.instagram.com/rivercity_cycles" TargetMode="External" Id="rId1259" /><Relationship Type="http://schemas.openxmlformats.org/officeDocument/2006/relationships/hyperlink" Target="https://www.rivercitycycles.com.au/" TargetMode="External" Id="rId1260" /><Relationship Type="http://schemas.openxmlformats.org/officeDocument/2006/relationships/hyperlink" Target="https://www.google.com/maps/search/?api=1&amp;query=River+City+Cycles+483+Fairfield+Road" TargetMode="External" Id="rId1261" /><Relationship Type="http://schemas.openxmlformats.org/officeDocument/2006/relationships/hyperlink" Target="https://www.facebook.com/AlderleyKindy" TargetMode="External" Id="rId1262" /><Relationship Type="http://schemas.openxmlformats.org/officeDocument/2006/relationships/hyperlink" Target="https://alderleykindy.com.au" TargetMode="External" Id="rId1263" /><Relationship Type="http://schemas.openxmlformats.org/officeDocument/2006/relationships/hyperlink" Target="https://www.google.com/maps/search/?api=1&amp;query=Alderley+Kindergarten+76+South+Pine+Road+Alderley" TargetMode="External" Id="rId1264" /><Relationship Type="http://schemas.openxmlformats.org/officeDocument/2006/relationships/hyperlink" Target="https://www.instagram.com/amaze_early_education" TargetMode="External" Id="rId1265" /><Relationship Type="http://schemas.openxmlformats.org/officeDocument/2006/relationships/hyperlink" Target="https://www.facebook.com/AmazeEducation" TargetMode="External" Id="rId1266" /><Relationship Type="http://schemas.openxmlformats.org/officeDocument/2006/relationships/hyperlink" Target="https://www.amazeeducation.com.au/location/redbank-plains-child-care-centre/" TargetMode="External" Id="rId1267" /><Relationship Type="http://schemas.openxmlformats.org/officeDocument/2006/relationships/hyperlink" Target="https://www.google.com/maps/search/?api=1&amp;query=Amaze+Early+Education+and+Active+Centre+42+Tina+Street+Redbank+Plains" TargetMode="External" Id="rId1268" /><Relationship Type="http://schemas.openxmlformats.org/officeDocument/2006/relationships/hyperlink" Target="https://www.facebook.com/bardonkindy" TargetMode="External" Id="rId1269" /><Relationship Type="http://schemas.openxmlformats.org/officeDocument/2006/relationships/hyperlink" Target="https://bardonkindy.com.au/" TargetMode="External" Id="rId1270" /><Relationship Type="http://schemas.openxmlformats.org/officeDocument/2006/relationships/hyperlink" Target="https://www.google.com/maps/search/?api=1&amp;query=Bardon+Community+Kindy+247+Simpsons+Road+Bardon" TargetMode="External" Id="rId1271" /><Relationship Type="http://schemas.openxmlformats.org/officeDocument/2006/relationships/hyperlink" Target="https://www.instagram.com/brightbeginningsbris" TargetMode="External" Id="rId1272" /><Relationship Type="http://schemas.openxmlformats.org/officeDocument/2006/relationships/hyperlink" Target="https://www.facebook.com/BrightBeginningsBrisbane" TargetMode="External" Id="rId1273" /><Relationship Type="http://schemas.openxmlformats.org/officeDocument/2006/relationships/hyperlink" Target="https://bright-beginnings.com.au" TargetMode="External" Id="rId1274" /><Relationship Type="http://schemas.openxmlformats.org/officeDocument/2006/relationships/hyperlink" Target="https://www.google.com/maps/search/?api=1&amp;query=Bright+Beginnings+Child+Edu-Care+Centre+687+Hamilton+Road+Chermside+West" TargetMode="External" Id="rId1275" /><Relationship Type="http://schemas.openxmlformats.org/officeDocument/2006/relationships/hyperlink" Target="https://www.facebook.com/Brookfield-Early-Childhood-Centre-519420011485717" TargetMode="External" Id="rId1276" /><Relationship Type="http://schemas.openxmlformats.org/officeDocument/2006/relationships/hyperlink" Target="https://brookfieldecc.com.au/" TargetMode="External" Id="rId1277" /><Relationship Type="http://schemas.openxmlformats.org/officeDocument/2006/relationships/hyperlink" Target="https://www.google.com/maps/search/?api=1&amp;query=Brookfield+Early+Childhood+Centre" TargetMode="External" Id="rId1278" /><Relationship Type="http://schemas.openxmlformats.org/officeDocument/2006/relationships/hyperlink" Target="https://www.instagram.com/bulimbakindy" TargetMode="External" Id="rId1279" /><Relationship Type="http://schemas.openxmlformats.org/officeDocument/2006/relationships/hyperlink" Target="http://www.facebook.com/bulimbakindy" TargetMode="External" Id="rId1280" /><Relationship Type="http://schemas.openxmlformats.org/officeDocument/2006/relationships/hyperlink" Target="https://www.bulimbakindy.com.au/" TargetMode="External" Id="rId1281" /><Relationship Type="http://schemas.openxmlformats.org/officeDocument/2006/relationships/hyperlink" Target="https://www.google.com/maps/search/?api=1&amp;query=Bulimba+Community+Kindergarten+231+Oxford+Street+Bulimba" TargetMode="External" Id="rId1282" /><Relationship Type="http://schemas.openxmlformats.org/officeDocument/2006/relationships/hyperlink" Target="https://www.instagram.com/mott_park_kindy" TargetMode="External" Id="rId1283" /><Relationship Type="http://schemas.openxmlformats.org/officeDocument/2006/relationships/hyperlink" Target="https://www.facebook.com/mottparkkindy" TargetMode="External" Id="rId1284" /><Relationship Type="http://schemas.openxmlformats.org/officeDocument/2006/relationships/hyperlink" Target="https://www.mottparkkindy.com/" TargetMode="External" Id="rId1285" /><Relationship Type="http://schemas.openxmlformats.org/officeDocument/2006/relationships/hyperlink" Target="https://www.google.com/maps/search/?api=1&amp;query=C%26K+Mott+Park+Kindergarten" TargetMode="External" Id="rId1286" /><Relationship Type="http://schemas.openxmlformats.org/officeDocument/2006/relationships/hyperlink" Target="https://www.facebook.com/Carina-CK-Kindy-1535115213431205" TargetMode="External" Id="rId1287" /><Relationship Type="http://schemas.openxmlformats.org/officeDocument/2006/relationships/hyperlink" Target="https://www.carinakindy.org.au/" TargetMode="External" Id="rId1288" /><Relationship Type="http://schemas.openxmlformats.org/officeDocument/2006/relationships/hyperlink" Target="https://www.google.com/maps/search/?api=1&amp;query=Carina+Kindergarten" TargetMode="External" Id="rId1289" /><Relationship Type="http://schemas.openxmlformats.org/officeDocument/2006/relationships/hyperlink" Target="https://www.instagram.com/centenary_childcare" TargetMode="External" Id="rId1290" /><Relationship Type="http://schemas.openxmlformats.org/officeDocument/2006/relationships/hyperlink" Target="https://www.facebook.com/Centenarychildcareandearlyeducationcentre" TargetMode="External" Id="rId1291" /><Relationship Type="http://schemas.openxmlformats.org/officeDocument/2006/relationships/hyperlink" Target="https://www.centenarychildcare.com.au/" TargetMode="External" Id="rId1292" /><Relationship Type="http://schemas.openxmlformats.org/officeDocument/2006/relationships/hyperlink" Target="https://www.google.com/maps/search/?api=1&amp;query=Centenary+Childcare+%26+Early+Education+Centre+15+Loffs+Road+Mount+Ommaney" TargetMode="External" Id="rId1293" /><Relationship Type="http://schemas.openxmlformats.org/officeDocument/2006/relationships/hyperlink" Target="https://www.instagram.com/cottageacademy_earlylearning" TargetMode="External" Id="rId1294" /><Relationship Type="http://schemas.openxmlformats.org/officeDocument/2006/relationships/hyperlink" Target="https://www.facebook.com/cottageacademy" TargetMode="External" Id="rId1295" /><Relationship Type="http://schemas.openxmlformats.org/officeDocument/2006/relationships/hyperlink" Target="https://cottageacademy.com.au/" TargetMode="External" Id="rId1296" /><Relationship Type="http://schemas.openxmlformats.org/officeDocument/2006/relationships/hyperlink" Target="https://www.google.com/maps/search/?api=1&amp;query=Cottage+Academy+Early+Learning+%26+Childcare+Centre+33+Maine+Road+Clontarf" TargetMode="External" Id="rId1297" /><Relationship Type="http://schemas.openxmlformats.org/officeDocument/2006/relationships/hyperlink" Target="https://instagram.com/queenslandchildcareservices" TargetMode="External" Id="rId1298" /><Relationship Type="http://schemas.openxmlformats.org/officeDocument/2006/relationships/hyperlink" Target="https://www.facebook.com/QCCS.1" TargetMode="External" Id="rId1299" /><Relationship Type="http://schemas.openxmlformats.org/officeDocument/2006/relationships/hyperlink" Target="https://www.qccs.com.au/centre/crestmead/" TargetMode="External" Id="rId1300" /><Relationship Type="http://schemas.openxmlformats.org/officeDocument/2006/relationships/hyperlink" Target="https://www.google.com/maps/search/?api=1&amp;query=Crestmead+Early+Education+Centre" TargetMode="External" Id="rId1301" /><Relationship Type="http://schemas.openxmlformats.org/officeDocument/2006/relationships/hyperlink" Target="https://www.facebook.com/KAlDaisyHill" TargetMode="External" Id="rId1302" /><Relationship Type="http://schemas.openxmlformats.org/officeDocument/2006/relationships/hyperlink" Target="https://yourelc.com.au/daisy-hill/" TargetMode="External" Id="rId1303" /><Relationship Type="http://schemas.openxmlformats.org/officeDocument/2006/relationships/hyperlink" Target="https://www.google.com/maps/search/?api=1&amp;query=Daisy+Hill+Early+Learning+Centre+155+Chatswood+Road+Daisy+Hill" TargetMode="External" Id="rId1304" /><Relationship Type="http://schemas.openxmlformats.org/officeDocument/2006/relationships/hyperlink" Target="https://www.facebook.com/EvertonParkChildCare" TargetMode="External" Id="rId1305" /><Relationship Type="http://schemas.openxmlformats.org/officeDocument/2006/relationships/hyperlink" Target="https://www.evertonparkchildcare.com.au" TargetMode="External" Id="rId1306" /><Relationship Type="http://schemas.openxmlformats.org/officeDocument/2006/relationships/hyperlink" Target="https://www.google.com/maps/search/?api=1&amp;query=Everton+Park+Child+Care+%26+Development+Centre+25+Halle+Street+Everton+Park" TargetMode="External" Id="rId1307" /><Relationship Type="http://schemas.openxmlformats.org/officeDocument/2006/relationships/hyperlink" Target="https://www.instagram.com/flutterbys_edc" TargetMode="External" Id="rId1308" /><Relationship Type="http://schemas.openxmlformats.org/officeDocument/2006/relationships/hyperlink" Target="https://www.facebook.com/Flutterbyschild" TargetMode="External" Id="rId1309" /><Relationship Type="http://schemas.openxmlformats.org/officeDocument/2006/relationships/hyperlink" Target="https://www.flutterbyschildcare.com.au" TargetMode="External" Id="rId1310" /><Relationship Type="http://schemas.openxmlformats.org/officeDocument/2006/relationships/hyperlink" Target="https://www.google.com/maps/search/?api=1&amp;query=Flutterbys+Childcare" TargetMode="External" Id="rId1311" /><Relationship Type="http://schemas.openxmlformats.org/officeDocument/2006/relationships/hyperlink" Target="https://www.facebook.com/GreenEggsChildCare" TargetMode="External" Id="rId1312" /><Relationship Type="http://schemas.openxmlformats.org/officeDocument/2006/relationships/hyperlink" Target="https://greeneggschildcare.com.au/" TargetMode="External" Id="rId1313" /><Relationship Type="http://schemas.openxmlformats.org/officeDocument/2006/relationships/hyperlink" Target="https://www.google.com/maps/search/?api=1&amp;query=Green+Eggs+Early+Childhood+Centre+72+Ham+Road+Mansfield" TargetMode="External" Id="rId1314" /><Relationship Type="http://schemas.openxmlformats.org/officeDocument/2006/relationships/hyperlink" Target="https://www.instagram.com/guppysearlylearning" TargetMode="External" Id="rId1315" /><Relationship Type="http://schemas.openxmlformats.org/officeDocument/2006/relationships/hyperlink" Target="https://www.facebook.com/pages/Guppys-Early-Learning-Centre/964521513576728" TargetMode="External" Id="rId1316" /><Relationship Type="http://schemas.openxmlformats.org/officeDocument/2006/relationships/hyperlink" Target="https://guppys.com.au/centres/chermside-west/" TargetMode="External" Id="rId1317" /><Relationship Type="http://schemas.openxmlformats.org/officeDocument/2006/relationships/hyperlink" Target="https://www.google.com/maps/search/?api=1&amp;query=Guppy%27s+Early+Learning+Centre+5+Maundrell+Terrace+Chermside+West" TargetMode="External" Id="rId1318" /><Relationship Type="http://schemas.openxmlformats.org/officeDocument/2006/relationships/hyperlink" Target="https://www.instagram.com/guppysearlylearning" TargetMode="External" Id="rId1319" /><Relationship Type="http://schemas.openxmlformats.org/officeDocument/2006/relationships/hyperlink" Target="https://www.facebook.com/pages/Guppys-Early-Learning-Centre/964521513576728" TargetMode="External" Id="rId1320" /><Relationship Type="http://schemas.openxmlformats.org/officeDocument/2006/relationships/hyperlink" Target="https://guppys.com.au/centres/acacia-ridge/" TargetMode="External" Id="rId1321" /><Relationship Type="http://schemas.openxmlformats.org/officeDocument/2006/relationships/hyperlink" Target="https://www.google.com/maps/search/?api=1&amp;query=Guppy%27s+Early+Learning+Centre+-+Acacia+Ridge+7+Mannington+Road+Acacia+Ridge" TargetMode="External" Id="rId1322" /><Relationship Type="http://schemas.openxmlformats.org/officeDocument/2006/relationships/hyperlink" Target="https://www.instagram.com/harmony.griffin_" TargetMode="External" Id="rId1323" /><Relationship Type="http://schemas.openxmlformats.org/officeDocument/2006/relationships/hyperlink" Target="https://www.facebook.com/profile.php" TargetMode="External" Id="rId1324" /><Relationship Type="http://schemas.openxmlformats.org/officeDocument/2006/relationships/hyperlink" Target="https://harmonylearning.com.au/our-centres/griffin/" TargetMode="External" Id="rId1325" /><Relationship Type="http://schemas.openxmlformats.org/officeDocument/2006/relationships/hyperlink" Target="https://www.google.com/maps/search/?api=1&amp;query=Harmony+Early+Education+Griffin+268+Brays+Road" TargetMode="External" Id="rId1326" /><Relationship Type="http://schemas.openxmlformats.org/officeDocument/2006/relationships/hyperlink" Target="https://www.instagram.com/harmony.coorparoo" TargetMode="External" Id="rId1327" /><Relationship Type="http://schemas.openxmlformats.org/officeDocument/2006/relationships/hyperlink" Target="https://www.facebook.com/harmonyearlyeducation" TargetMode="External" Id="rId1328" /><Relationship Type="http://schemas.openxmlformats.org/officeDocument/2006/relationships/hyperlink" Target="http://harmonylearning.com.au/centres/coorparoo/" TargetMode="External" Id="rId1329" /><Relationship Type="http://schemas.openxmlformats.org/officeDocument/2006/relationships/hyperlink" Target="https://www.google.com/maps/search/?api=1&amp;query=Harmony+Early+Learning+Coorparoo+22+Norfolk+Street+Coorparoo" TargetMode="External" Id="rId1330" /><Relationship Type="http://schemas.openxmlformats.org/officeDocument/2006/relationships/hyperlink" Target="https://www.instagram.com/harmony.greenslopes" TargetMode="External" Id="rId1331" /><Relationship Type="http://schemas.openxmlformats.org/officeDocument/2006/relationships/hyperlink" Target="https://www.facebook.com/harmonyearlyeducationgreenslopes" TargetMode="External" Id="rId1332" /><Relationship Type="http://schemas.openxmlformats.org/officeDocument/2006/relationships/hyperlink" Target="http://harmonylearning.com.au/centres/greenslopes/" TargetMode="External" Id="rId1333" /><Relationship Type="http://schemas.openxmlformats.org/officeDocument/2006/relationships/hyperlink" Target="https://www.google.com/maps/search/?api=1&amp;query=Harmony+Early+Learning+Journey+540+Logan+Road+Greenslopes" TargetMode="External" Id="rId1334" /><Relationship Type="http://schemas.openxmlformats.org/officeDocument/2006/relationships/hyperlink" Target="https://www.instagram.com/hartystreetkindy" TargetMode="External" Id="rId1335" /><Relationship Type="http://schemas.openxmlformats.org/officeDocument/2006/relationships/hyperlink" Target="https://www.hartyst.org.au/" TargetMode="External" Id="rId1336" /><Relationship Type="http://schemas.openxmlformats.org/officeDocument/2006/relationships/hyperlink" Target="https://www.google.com/maps/search/?api=1&amp;query=Harty+Street+Kindergarten+C%26K+16+Harty+Street+Coorparoo" TargetMode="External" Id="rId1337" /><Relationship Type="http://schemas.openxmlformats.org/officeDocument/2006/relationships/hyperlink" Target="https://www.instagram.com/capersearlylearning" TargetMode="External" Id="rId1338" /><Relationship Type="http://schemas.openxmlformats.org/officeDocument/2006/relationships/hyperlink" Target="https://www.facebook.com/CapersEarlyLearning" TargetMode="External" Id="rId1339" /><Relationship Type="http://schemas.openxmlformats.org/officeDocument/2006/relationships/hyperlink" Target="https://www.caperschildcare.com.au/" TargetMode="External" Id="rId1340" /><Relationship Type="http://schemas.openxmlformats.org/officeDocument/2006/relationships/hyperlink" Target="https://www.google.com/maps/search/?api=1&amp;query=Kids+Capers+Childcare+Samford+17+School+Road+Samford+Village" TargetMode="External" Id="rId1341" /><Relationship Type="http://schemas.openxmlformats.org/officeDocument/2006/relationships/hyperlink" Target="https://www.instagram.com/capersearlylearning" TargetMode="External" Id="rId1342" /><Relationship Type="http://schemas.openxmlformats.org/officeDocument/2006/relationships/hyperlink" Target="https://www.facebook.com/CapersEarlyLearning" TargetMode="External" Id="rId1343" /><Relationship Type="http://schemas.openxmlformats.org/officeDocument/2006/relationships/hyperlink" Target="https://www.caperschildcare.com.au/" TargetMode="External" Id="rId1344" /><Relationship Type="http://schemas.openxmlformats.org/officeDocument/2006/relationships/hyperlink" Target="https://www.google.com/maps/search/?api=1&amp;query=Kids+Capers+Childcare+Sandgate+6+Flinders+Parade" TargetMode="External" Id="rId1345" /><Relationship Type="http://schemas.openxmlformats.org/officeDocument/2006/relationships/hyperlink" Target="https://www.instagram.com/capersearlylearning" TargetMode="External" Id="rId1346" /><Relationship Type="http://schemas.openxmlformats.org/officeDocument/2006/relationships/hyperlink" Target="https://www.facebook.com/CapersEarlyLearning" TargetMode="External" Id="rId1347" /><Relationship Type="http://schemas.openxmlformats.org/officeDocument/2006/relationships/hyperlink" Target="https://www.caperschildcare.com.au/clayfield" TargetMode="External" Id="rId1348" /><Relationship Type="http://schemas.openxmlformats.org/officeDocument/2006/relationships/hyperlink" Target="https://www.google.com/maps/search/?api=1&amp;query=Kids+Capers+Clayfield+222-232+Junction+Road+Clayfield" TargetMode="External" Id="rId1349" /><Relationship Type="http://schemas.openxmlformats.org/officeDocument/2006/relationships/hyperlink" Target="https://www.instagram.com/leadchildcare" TargetMode="External" Id="rId1350" /><Relationship Type="http://schemas.openxmlformats.org/officeDocument/2006/relationships/hyperlink" Target="https://www.facebook.com/LEADChildcare" TargetMode="External" Id="rId1351" /><Relationship Type="http://schemas.openxmlformats.org/officeDocument/2006/relationships/hyperlink" Target="https://www.leadchildcare.com.au/center-details/?sl-store=38" TargetMode="External" Id="rId1352" /><Relationship Type="http://schemas.openxmlformats.org/officeDocument/2006/relationships/hyperlink" Target="https://www.google.com/maps/search/?api=1&amp;query=LEAD+Childcare+Riverview+159+Old+Ipswich+Road+Riverview" TargetMode="External" Id="rId1353" /><Relationship Type="http://schemas.openxmlformats.org/officeDocument/2006/relationships/hyperlink" Target="https://www.instagram.com/leadchildcare" TargetMode="External" Id="rId1354" /><Relationship Type="http://schemas.openxmlformats.org/officeDocument/2006/relationships/hyperlink" Target="https://www.facebook.com/LEADChildcare" TargetMode="External" Id="rId1355" /><Relationship Type="http://schemas.openxmlformats.org/officeDocument/2006/relationships/hyperlink" Target="https://www.leadchildcare.com.au/locations/mango-hill/" TargetMode="External" Id="rId1356" /><Relationship Type="http://schemas.openxmlformats.org/officeDocument/2006/relationships/hyperlink" Target="https://www.google.com/maps/search/?api=1&amp;query=Lead+Childcare+12+Linear+Drive+Mango+Hill" TargetMode="External" Id="rId1357" /><Relationship Type="http://schemas.openxmlformats.org/officeDocument/2006/relationships/hyperlink" Target="https://www.facebook.com/littlebouncingbears" TargetMode="External" Id="rId1358" /><Relationship Type="http://schemas.openxmlformats.org/officeDocument/2006/relationships/hyperlink" Target="https://littlebouncingbears.com.au/" TargetMode="External" Id="rId1359" /><Relationship Type="http://schemas.openxmlformats.org/officeDocument/2006/relationships/hyperlink" Target="https://www.google.com/maps/search/?api=1&amp;query=Little+Bouncing+Bears+Early+Learning+Centre+7+Link+Street+Upper+Mount+Gravatt" TargetMode="External" Id="rId1360" /><Relationship Type="http://schemas.openxmlformats.org/officeDocument/2006/relationships/hyperlink" Target="https://www.facebook.com/LittleDucksChildcare" TargetMode="External" Id="rId1361" /><Relationship Type="http://schemas.openxmlformats.org/officeDocument/2006/relationships/hyperlink" Target="https://www.littleducks.com.au/news/wilston/" TargetMode="External" Id="rId1362" /><Relationship Type="http://schemas.openxmlformats.org/officeDocument/2006/relationships/hyperlink" Target="https://www.google.com/maps/search/?api=1&amp;query=Little+Ducks+Childcare+169+Newmarket+Road+Wilston" TargetMode="External" Id="rId1363" /><Relationship Type="http://schemas.openxmlformats.org/officeDocument/2006/relationships/hyperlink" Target="https://www.facebook.com/218761771617261" TargetMode="External" Id="rId1364" /><Relationship Type="http://schemas.openxmlformats.org/officeDocument/2006/relationships/hyperlink" Target="https://littlegemsearlylearning.com.au/centres/albany-creek/" TargetMode="External" Id="rId1365" /><Relationship Type="http://schemas.openxmlformats.org/officeDocument/2006/relationships/hyperlink" Target="https://www.google.com/maps/search/?api=1&amp;query=Little+Gems+Child+Care+%26+Early+Learning+Centre+51+Old+Northern+Road+Albany+Creek" TargetMode="External" Id="rId1366" /><Relationship Type="http://schemas.openxmlformats.org/officeDocument/2006/relationships/hyperlink" Target="https://www.instagram.com/littleschoolhighlandpark" TargetMode="External" Id="rId1367" /><Relationship Type="http://schemas.openxmlformats.org/officeDocument/2006/relationships/hyperlink" Target="https://www.facebook.com/littleschoolhighlandpark" TargetMode="External" Id="rId1368" /><Relationship Type="http://schemas.openxmlformats.org/officeDocument/2006/relationships/hyperlink" Target="https://littleschoolelc.com.au/loganholme/" TargetMode="External" Id="rId1369" /><Relationship Type="http://schemas.openxmlformats.org/officeDocument/2006/relationships/hyperlink" Target="https://www.google.com/maps/search/?api=1&amp;query=Little+School+Loganholme+1-3+Bimbadeen+Drive+Loganholme" TargetMode="External" Id="rId1370" /><Relationship Type="http://schemas.openxmlformats.org/officeDocument/2006/relationships/hyperlink" Target="https://www.instagram.com/daisycottage.au" TargetMode="External" Id="rId1371" /><Relationship Type="http://schemas.openxmlformats.org/officeDocument/2006/relationships/hyperlink" Target="https://www.facebook.com/DaisyCottageEarlyLearning" TargetMode="External" Id="rId1372" /><Relationship Type="http://schemas.openxmlformats.org/officeDocument/2006/relationships/hyperlink" Target="https://nurserylandchildcare.com.au/" TargetMode="External" Id="rId1373" /><Relationship Type="http://schemas.openxmlformats.org/officeDocument/2006/relationships/hyperlink" Target="https://www.google.com/maps/search/?api=1&amp;query=Nurseryland+Child+Care+29+MacNaughton+Street+Stafford" TargetMode="External" Id="rId1374" /><Relationship Type="http://schemas.openxmlformats.org/officeDocument/2006/relationships/hyperlink" Target="https://www.instagram.com/piptree.early.learning" TargetMode="External" Id="rId1375" /><Relationship Type="http://schemas.openxmlformats.org/officeDocument/2006/relationships/hyperlink" Target="https://www.facebook.com/piptreeHQ" TargetMode="External" Id="rId1376" /><Relationship Type="http://schemas.openxmlformats.org/officeDocument/2006/relationships/hyperlink" Target="https://www.piptree.com.au/eight-mile-plains/" TargetMode="External" Id="rId1377" /><Relationship Type="http://schemas.openxmlformats.org/officeDocument/2006/relationships/hyperlink" Target="https://www.google.com/maps/search/?api=1&amp;query=Piptree+Early+Learning+526+Warrigal+Road" TargetMode="External" Id="rId1378" /><Relationship Type="http://schemas.openxmlformats.org/officeDocument/2006/relationships/hyperlink" Target="https://www.instagram.com/playandlearnthegap" TargetMode="External" Id="rId1379" /><Relationship Type="http://schemas.openxmlformats.org/officeDocument/2006/relationships/hyperlink" Target="https://www.facebook.com/playandlearnthornlands" TargetMode="External" Id="rId1380" /><Relationship Type="http://schemas.openxmlformats.org/officeDocument/2006/relationships/hyperlink" Target="http://thornlands.playandlearn.net.au/" TargetMode="External" Id="rId1381" /><Relationship Type="http://schemas.openxmlformats.org/officeDocument/2006/relationships/hyperlink" Target="https://www.google.com/maps/search/?api=1&amp;query=Play+and+Learn+Thornlands+57+Kinross+Road+Thornlands" TargetMode="External" Id="rId1382" /><Relationship Type="http://schemas.openxmlformats.org/officeDocument/2006/relationships/hyperlink" Target="https://instagram.com/queenslandchildcareservices" TargetMode="External" Id="rId1383" /><Relationship Type="http://schemas.openxmlformats.org/officeDocument/2006/relationships/hyperlink" Target="https://www.facebook.com/QCCS.1" TargetMode="External" Id="rId1384" /><Relationship Type="http://schemas.openxmlformats.org/officeDocument/2006/relationships/hyperlink" Target="https://www.qccs.com.au/centre/redbank-plains/" TargetMode="External" Id="rId1385" /><Relationship Type="http://schemas.openxmlformats.org/officeDocument/2006/relationships/hyperlink" Target="https://www.google.com/maps/search/?api=1&amp;query=Redbank+Plains+Early+Education+Centre+36+School+Road+Redbank+Plains" TargetMode="External" Id="rId1386" /><Relationship Type="http://schemas.openxmlformats.org/officeDocument/2006/relationships/hyperlink" Target="https://www.facebook.com/seedlingsmitchelton" TargetMode="External" Id="rId1387" /><Relationship Type="http://schemas.openxmlformats.org/officeDocument/2006/relationships/hyperlink" Target="https://seedlingsel.com.au/mitchelton-early-learning-centre/" TargetMode="External" Id="rId1388" /><Relationship Type="http://schemas.openxmlformats.org/officeDocument/2006/relationships/hyperlink" Target="https://www.google.com/maps/search/?api=1&amp;query=Seedlings+Early+Learning+Mitchelton+106+Church+Road+Mitchelton" TargetMode="External" Id="rId1389" /><Relationship Type="http://schemas.openxmlformats.org/officeDocument/2006/relationships/hyperlink" Target="https://www.facebook.com/SeedlingsRochedale" TargetMode="External" Id="rId1390" /><Relationship Type="http://schemas.openxmlformats.org/officeDocument/2006/relationships/hyperlink" Target="https://seedlingsel.com.au/rochedale-early-learning/" TargetMode="External" Id="rId1391" /><Relationship Type="http://schemas.openxmlformats.org/officeDocument/2006/relationships/hyperlink" Target="https://www.google.com/maps/search/?api=1&amp;query=Seedlings+Early+Learning+Rochedale+991+Rochedale+Road+Rochedale" TargetMode="External" Id="rId1392" /><Relationship Type="http://schemas.openxmlformats.org/officeDocument/2006/relationships/hyperlink" Target="https://www.instagram.com/smarttots_childcare" TargetMode="External" Id="rId1393" /><Relationship Type="http://schemas.openxmlformats.org/officeDocument/2006/relationships/hyperlink" Target="https://www.facebook.com/smarttotschildcare" TargetMode="External" Id="rId1394" /><Relationship Type="http://schemas.openxmlformats.org/officeDocument/2006/relationships/hyperlink" Target="https://smarttots.com.au/" TargetMode="External" Id="rId1395" /><Relationship Type="http://schemas.openxmlformats.org/officeDocument/2006/relationships/hyperlink" Target="https://www.google.com/maps/search/?api=1&amp;query=Smart+Tots+Childcare+51+Cambridge+Drive+Alexandra+Hills" TargetMode="External" Id="rId1396" /><Relationship Type="http://schemas.openxmlformats.org/officeDocument/2006/relationships/hyperlink" Target="https://instagram.com/queenslandchildcareservices" TargetMode="External" Id="rId1397" /><Relationship Type="http://schemas.openxmlformats.org/officeDocument/2006/relationships/hyperlink" Target="https://www.facebook.com/QCCS.1" TargetMode="External" Id="rId1398" /><Relationship Type="http://schemas.openxmlformats.org/officeDocument/2006/relationships/hyperlink" Target="https://www.qccs.com.au" TargetMode="External" Id="rId1399" /><Relationship Type="http://schemas.openxmlformats.org/officeDocument/2006/relationships/hyperlink" Target="https://www.google.com/maps/search/?api=1&amp;query=Springwood+Early+Education+Centre+20+Dennis+Road+Springwood" TargetMode="External" Id="rId1400" /><Relationship Type="http://schemas.openxmlformats.org/officeDocument/2006/relationships/hyperlink" Target="https://www.instagram.com/stonescornerkindy" TargetMode="External" Id="rId1401" /><Relationship Type="http://schemas.openxmlformats.org/officeDocument/2006/relationships/hyperlink" Target="https://www.facebook.com/stonescornerkindy" TargetMode="External" Id="rId1402" /><Relationship Type="http://schemas.openxmlformats.org/officeDocument/2006/relationships/hyperlink" Target="http://www.stonescornerkindergarten.com.au/" TargetMode="External" Id="rId1403" /><Relationship Type="http://schemas.openxmlformats.org/officeDocument/2006/relationships/hyperlink" Target="https://www.google.com/maps/search/?api=1&amp;query=Stones+Corner+Community+Kindergarten+57-63+Lincoln+Street" TargetMode="External" Id="rId1404" /><Relationship Type="http://schemas.openxmlformats.org/officeDocument/2006/relationships/hyperlink" Target="https://www.instagram.com/SunkidsChildrensCentres" TargetMode="External" Id="rId1405" /><Relationship Type="http://schemas.openxmlformats.org/officeDocument/2006/relationships/hyperlink" Target="https://www.facebook.com/SunkidsChildrensCentres" TargetMode="External" Id="rId1406" /><Relationship Type="http://schemas.openxmlformats.org/officeDocument/2006/relationships/hyperlink" Target="https://sunkids.com.au/centres/calamvale-central/" TargetMode="External" Id="rId1407" /><Relationship Type="http://schemas.openxmlformats.org/officeDocument/2006/relationships/hyperlink" Target="https://www.google.com/maps/search/?api=1&amp;query=Sunkids+Calamvale+Central+38+Nottingham+Road+Calamvale" TargetMode="External" Id="rId1408" /><Relationship Type="http://schemas.openxmlformats.org/officeDocument/2006/relationships/hyperlink" Target="https://www.instagram.com/SunkidsChildrensCentres" TargetMode="External" Id="rId1409" /><Relationship Type="http://schemas.openxmlformats.org/officeDocument/2006/relationships/hyperlink" Target="https://www.facebook.com/SunkidsChildrensCentres" TargetMode="External" Id="rId1410" /><Relationship Type="http://schemas.openxmlformats.org/officeDocument/2006/relationships/hyperlink" Target="https://sunkids.com.au/centres/oxley/" TargetMode="External" Id="rId1411" /><Relationship Type="http://schemas.openxmlformats.org/officeDocument/2006/relationships/hyperlink" Target="https://www.google.com/maps/search/?api=1&amp;query=Sunkids+Oxley+5+Oakmont+Avenue+Oxley" TargetMode="External" Id="rId1412" /><Relationship Type="http://schemas.openxmlformats.org/officeDocument/2006/relationships/hyperlink" Target="https://www.facebook.com/TaigumChildCareCentre241ChurchRd" TargetMode="External" Id="rId1413" /><Relationship Type="http://schemas.openxmlformats.org/officeDocument/2006/relationships/hyperlink" Target="https://taigumchildcarecentre.com.au" TargetMode="External" Id="rId1414" /><Relationship Type="http://schemas.openxmlformats.org/officeDocument/2006/relationships/hyperlink" Target="https://www.google.com/maps/search/?api=1&amp;query=Taigum+Child+Care+Center" TargetMode="External" Id="rId1415" /><Relationship Type="http://schemas.openxmlformats.org/officeDocument/2006/relationships/hyperlink" Target="https://instagram.com/wix" TargetMode="External" Id="rId1416" /><Relationship Type="http://schemas.openxmlformats.org/officeDocument/2006/relationships/hyperlink" Target="https://www.facebook.com/TarragindiKindy" TargetMode="External" Id="rId1417" /><Relationship Type="http://schemas.openxmlformats.org/officeDocument/2006/relationships/hyperlink" Target="https://www.tarragindikindy.com.au/" TargetMode="External" Id="rId1418" /><Relationship Type="http://schemas.openxmlformats.org/officeDocument/2006/relationships/hyperlink" Target="https://www.google.com/maps/search/?api=1&amp;query=Tarragindi+War+Memorial+Kindergarden" TargetMode="External" Id="rId1419" /><Relationship Type="http://schemas.openxmlformats.org/officeDocument/2006/relationships/hyperlink" Target="https://www.instagram.com/oaklands_child_care/" TargetMode="External" Id="rId1420" /><Relationship Type="http://schemas.openxmlformats.org/officeDocument/2006/relationships/hyperlink" Target="https://www.facebook.com/oaklandschildcare/" TargetMode="External" Id="rId1421" /><Relationship Type="http://schemas.openxmlformats.org/officeDocument/2006/relationships/hyperlink" Target="https://oaklands.churchie.com.au/oshc/" TargetMode="External" Id="rId1422" /><Relationship Type="http://schemas.openxmlformats.org/officeDocument/2006/relationships/hyperlink" Target="https://www.google.com/maps/search/?api=1&amp;query=The+Cottage+19+Oaklands+Parade" TargetMode="External" Id="rId1423" /><Relationship Type="http://schemas.openxmlformats.org/officeDocument/2006/relationships/hyperlink" Target="https://instagram.com/queenslandchildcareservices" TargetMode="External" Id="rId1424" /><Relationship Type="http://schemas.openxmlformats.org/officeDocument/2006/relationships/hyperlink" Target="https://www.facebook.com/QCCS.1" TargetMode="External" Id="rId1425" /><Relationship Type="http://schemas.openxmlformats.org/officeDocument/2006/relationships/hyperlink" Target="https://www.qccs.com.au/centre/the-woods/" TargetMode="External" Id="rId1426" /><Relationship Type="http://schemas.openxmlformats.org/officeDocument/2006/relationships/hyperlink" Target="https://www.google.com/maps/search/?api=1&amp;query=The+Woods+Early+Education+Centre+84+Royal+Parade+Ashgrove" TargetMode="External" Id="rId1427" /><Relationship Type="http://schemas.openxmlformats.org/officeDocument/2006/relationships/hyperlink" Target="https://www.instagram.com/tugulawaearlyeducation_bulimba" TargetMode="External" Id="rId1428" /><Relationship Type="http://schemas.openxmlformats.org/officeDocument/2006/relationships/hyperlink" Target="https://www.facebook.com/Tugulawa" TargetMode="External" Id="rId1429" /><Relationship Type="http://schemas.openxmlformats.org/officeDocument/2006/relationships/hyperlink" Target="https://www.tugulawa.com.au/" TargetMode="External" Id="rId1430" /><Relationship Type="http://schemas.openxmlformats.org/officeDocument/2006/relationships/hyperlink" Target="https://www.google.com/maps/search/?api=1&amp;query=Tugulawa+Early+Education+235+Oxford+Street+Bulimba" TargetMode="External" Id="rId1431" /><Relationship Type="http://schemas.openxmlformats.org/officeDocument/2006/relationships/hyperlink" Target="https://www.instagram.com/carinanorthqualitymeats" TargetMode="External" Id="rId1432" /><Relationship Type="http://schemas.openxmlformats.org/officeDocument/2006/relationships/hyperlink" Target="https://www.facebook.com/CarinaNorthQualityMeat" TargetMode="External" Id="rId1433" /><Relationship Type="http://schemas.openxmlformats.org/officeDocument/2006/relationships/hyperlink" Target="https://carinanorthqualitymeats.com.au" TargetMode="External" Id="rId1434" /><Relationship Type="http://schemas.openxmlformats.org/officeDocument/2006/relationships/hyperlink" Target="https://www.google.com/maps/search/?api=1&amp;query=Carina+North+Quality+Meats+182+Stanley+Road" TargetMode="External" Id="rId1435" /><Relationship Type="http://schemas.openxmlformats.org/officeDocument/2006/relationships/hyperlink" Target="http://instagram.com/renegaderoasters" TargetMode="External" Id="rId1436" /><Relationship Type="http://schemas.openxmlformats.org/officeDocument/2006/relationships/hyperlink" Target="https://www.facebook.com/renegaderoasters" TargetMode="External" Id="rId1437" /><Relationship Type="http://schemas.openxmlformats.org/officeDocument/2006/relationships/hyperlink" Target="https://www.renegaderoasters.com.au" TargetMode="External" Id="rId1438" /><Relationship Type="http://schemas.openxmlformats.org/officeDocument/2006/relationships/hyperlink" Target="https://www.google.com/maps/search/?api=1&amp;query=Renegade+Roasters+25+Michlin+Street+Moorooka" TargetMode="External" Id="rId1439" /><Relationship Type="http://schemas.openxmlformats.org/officeDocument/2006/relationships/hyperlink" Target="https://www.instagram.com/aidentalormeau" TargetMode="External" Id="rId1440" /><Relationship Type="http://schemas.openxmlformats.org/officeDocument/2006/relationships/hyperlink" Target="https://www.facebook.com/aidentalormeau" TargetMode="External" Id="rId1441" /><Relationship Type="http://schemas.openxmlformats.org/officeDocument/2006/relationships/hyperlink" Target="https://www.aidental.com.au/ai-dental-rochedale/" TargetMode="External" Id="rId1442" /><Relationship Type="http://schemas.openxmlformats.org/officeDocument/2006/relationships/hyperlink" Target="https://www.google.com/maps/search/?api=1&amp;query=AI+Dental+Rochedale+329+Gardner+Road+Rochedale" TargetMode="External" Id="rId1443" /><Relationship Type="http://schemas.openxmlformats.org/officeDocument/2006/relationships/hyperlink" Target="https://www.instagram.com/alderleydental" TargetMode="External" Id="rId1444" /><Relationship Type="http://schemas.openxmlformats.org/officeDocument/2006/relationships/hyperlink" Target="https://www.facebook.com/AlderleyDental" TargetMode="External" Id="rId1445" /><Relationship Type="http://schemas.openxmlformats.org/officeDocument/2006/relationships/hyperlink" Target="https://www.alderleydental.com.au/" TargetMode="External" Id="rId1446" /><Relationship Type="http://schemas.openxmlformats.org/officeDocument/2006/relationships/hyperlink" Target="https://www.google.com/maps/search/?api=1&amp;query=Alderly+Dental+9+South+Pine+Road" TargetMode="External" Id="rId1447" /><Relationship Type="http://schemas.openxmlformats.org/officeDocument/2006/relationships/hyperlink" Target="https://www.instagram.com/smileperfectiondentalaspley" TargetMode="External" Id="rId1448" /><Relationship Type="http://schemas.openxmlformats.org/officeDocument/2006/relationships/hyperlink" Target="https://www.facebook.com/smileperfectdental" TargetMode="External" Id="rId1449" /><Relationship Type="http://schemas.openxmlformats.org/officeDocument/2006/relationships/hyperlink" Target="https://www.bulimbadental.com.au/" TargetMode="External" Id="rId1450" /><Relationship Type="http://schemas.openxmlformats.org/officeDocument/2006/relationships/hyperlink" Target="https://www.google.com/maps/search/?api=1&amp;query=Bulimba+Dental" TargetMode="External" Id="rId1451" /><Relationship Type="http://schemas.openxmlformats.org/officeDocument/2006/relationships/hyperlink" Target="https://www.facebook.com/drmartinjestdentist" TargetMode="External" Id="rId1452" /><Relationship Type="http://schemas.openxmlformats.org/officeDocument/2006/relationships/hyperlink" Target="https://drmartinjestdentist.com.au/" TargetMode="External" Id="rId1453" /><Relationship Type="http://schemas.openxmlformats.org/officeDocument/2006/relationships/hyperlink" Target="https://www.google.com/maps/search/?api=1&amp;query=Dr+Martin+Jest+Dental+Surgery" TargetMode="External" Id="rId1454" /><Relationship Type="http://schemas.openxmlformats.org/officeDocument/2006/relationships/hyperlink" Target="https://www.facebook.com/gracevilledentalsurgery" TargetMode="External" Id="rId1455" /><Relationship Type="http://schemas.openxmlformats.org/officeDocument/2006/relationships/hyperlink" Target="https://gracevilledentalsurgery.com.au/" TargetMode="External" Id="rId1456" /><Relationship Type="http://schemas.openxmlformats.org/officeDocument/2006/relationships/hyperlink" Target="https://www.google.com/maps/search/?api=1&amp;query=Graceville+Dental+Surgery+273+Honour+Avenue+Graceville" TargetMode="External" Id="rId1457" /><Relationship Type="http://schemas.openxmlformats.org/officeDocument/2006/relationships/hyperlink" Target="https://www.instagram.com/grangefamilydental_" TargetMode="External" Id="rId1458" /><Relationship Type="http://schemas.openxmlformats.org/officeDocument/2006/relationships/hyperlink" Target="https://facebook.com/grangefamilydental" TargetMode="External" Id="rId1459" /><Relationship Type="http://schemas.openxmlformats.org/officeDocument/2006/relationships/hyperlink" Target="https://grangefamilydental.com.au/" TargetMode="External" Id="rId1460" /><Relationship Type="http://schemas.openxmlformats.org/officeDocument/2006/relationships/hyperlink" Target="https://www.google.com/maps/search/?api=1&amp;query=Grange+Family+Dental+15+Grange+Road+Grange" TargetMode="External" Id="rId1461" /><Relationship Type="http://schemas.openxmlformats.org/officeDocument/2006/relationships/hyperlink" Target="https://www.facebook.com/QueenslandVeneersandAligners/" TargetMode="External" Id="rId1462" /><Relationship Type="http://schemas.openxmlformats.org/officeDocument/2006/relationships/hyperlink" Target="https://qldva.com.au/" TargetMode="External" Id="rId1463" /><Relationship Type="http://schemas.openxmlformats.org/officeDocument/2006/relationships/hyperlink" Target="https://www.google.com/maps/search/?api=1&amp;query=Queensland+Veneers+%26+Aligners+1+Springwood+Road+Underwood" TargetMode="External" Id="rId1464" /><Relationship Type="http://schemas.openxmlformats.org/officeDocument/2006/relationships/hyperlink" Target="https://www.facebook.com/StaffordDentalStudio?fref=ts" TargetMode="External" Id="rId1465" /><Relationship Type="http://schemas.openxmlformats.org/officeDocument/2006/relationships/hyperlink" Target="https://stafforddentalstudio.com.au/" TargetMode="External" Id="rId1466" /><Relationship Type="http://schemas.openxmlformats.org/officeDocument/2006/relationships/hyperlink" Target="https://www.google.com/maps/search/?api=1&amp;query=Stafford+Dental+Studio+285+Stafford+Road+Stafford" TargetMode="External" Id="rId1467" /><Relationship Type="http://schemas.openxmlformats.org/officeDocument/2006/relationships/hyperlink" Target="https://www.facebook.com/avenuesfamilydental" TargetMode="External" Id="rId1468" /><Relationship Type="http://schemas.openxmlformats.org/officeDocument/2006/relationships/hyperlink" Target="https://www.avenuesfamilydental.com.au/" TargetMode="External" Id="rId1469" /><Relationship Type="http://schemas.openxmlformats.org/officeDocument/2006/relationships/hyperlink" Target="https://www.google.com/maps/search/?api=1&amp;query=The+Avenues+Family+Dental+351+Waterworks+Road+Ashgrove" TargetMode="External" Id="rId1470" /><Relationship Type="http://schemas.openxmlformats.org/officeDocument/2006/relationships/hyperlink" Target="https://www.instagram.com/underwooddentalcare" TargetMode="External" Id="rId1471" /><Relationship Type="http://schemas.openxmlformats.org/officeDocument/2006/relationships/hyperlink" Target="https://www.facebook.com/underwooddentalcare" TargetMode="External" Id="rId1472" /><Relationship Type="http://schemas.openxmlformats.org/officeDocument/2006/relationships/hyperlink" Target="https://underwooddentalcare.com.au/" TargetMode="External" Id="rId1473" /><Relationship Type="http://schemas.openxmlformats.org/officeDocument/2006/relationships/hyperlink" Target="https://www.google.com/maps/search/?api=1&amp;query=Underwood+Dental+Care+1+Springwood+Road+Underwood" TargetMode="External" Id="rId1474" /><Relationship Type="http://schemas.openxmlformats.org/officeDocument/2006/relationships/hyperlink" Target="https://Instagram.com/auswire_electrical" TargetMode="External" Id="rId1475" /><Relationship Type="http://schemas.openxmlformats.org/officeDocument/2006/relationships/hyperlink" Target="https://www.facebook.com/auswireelectrical" TargetMode="External" Id="rId1476" /><Relationship Type="http://schemas.openxmlformats.org/officeDocument/2006/relationships/hyperlink" Target="https://www.auswireelectricalandair.com/" TargetMode="External" Id="rId1477" /><Relationship Type="http://schemas.openxmlformats.org/officeDocument/2006/relationships/hyperlink" Target="https://www.google.com/maps/search/?api=1&amp;query=Auswire+Electrical+and+Air" TargetMode="External" Id="rId1478" /><Relationship Type="http://schemas.openxmlformats.org/officeDocument/2006/relationships/hyperlink" Target="https://www.instagram.com/electracare/" TargetMode="External" Id="rId1479" /><Relationship Type="http://schemas.openxmlformats.org/officeDocument/2006/relationships/hyperlink" Target="https://www.facebook.com/pages/category/Electrician/Electracare-317137778700535/" TargetMode="External" Id="rId1480" /><Relationship Type="http://schemas.openxmlformats.org/officeDocument/2006/relationships/hyperlink" Target="https://www.electracare.com.au/" TargetMode="External" Id="rId1481" /><Relationship Type="http://schemas.openxmlformats.org/officeDocument/2006/relationships/hyperlink" Target="https://www.google.com/maps/search/?api=1&amp;query=Electra+Care+3+Goldsmith+Court+Petrie" TargetMode="External" Id="rId1482" /><Relationship Type="http://schemas.openxmlformats.org/officeDocument/2006/relationships/hyperlink" Target="https://www.instagram.com/redlandsfreshflowers/" TargetMode="External" Id="rId1483" /><Relationship Type="http://schemas.openxmlformats.org/officeDocument/2006/relationships/hyperlink" Target="https://www.facebook.com/people/Redlands-Fresh-Flowers-Thornlands/100063716316111/" TargetMode="External" Id="rId1484" /><Relationship Type="http://schemas.openxmlformats.org/officeDocument/2006/relationships/hyperlink" Target="https://shop.redlandsfreshflowers.com.au/" TargetMode="External" Id="rId1485" /><Relationship Type="http://schemas.openxmlformats.org/officeDocument/2006/relationships/hyperlink" Target="https://www.google.com/maps/search/?api=1&amp;query=Redlands+Fresh+Flowers+106+Boundary+Road+Thornlands" TargetMode="External" Id="rId1486" /><Relationship Type="http://schemas.openxmlformats.org/officeDocument/2006/relationships/hyperlink" Target="https://www.instagram.com/eurekafurniture_" TargetMode="External" Id="rId1487" /><Relationship Type="http://schemas.openxmlformats.org/officeDocument/2006/relationships/hyperlink" Target="https://www.facebook.com/ShopEurekaFurniture" TargetMode="External" Id="rId1488" /><Relationship Type="http://schemas.openxmlformats.org/officeDocument/2006/relationships/hyperlink" Target="https://www.eurekafurniture.com.au/store-locator/03/" TargetMode="External" Id="rId1489" /><Relationship Type="http://schemas.openxmlformats.org/officeDocument/2006/relationships/hyperlink" Target="https://www.google.com/maps/search/?api=1&amp;query=Eureka+Furniture" TargetMode="External" Id="rId1490" /><Relationship Type="http://schemas.openxmlformats.org/officeDocument/2006/relationships/hyperlink" Target="https://www.instagram.com/folkstory.com.au" TargetMode="External" Id="rId1491" /><Relationship Type="http://schemas.openxmlformats.org/officeDocument/2006/relationships/hyperlink" Target="https://www.facebook.com/folkstory.com.au" TargetMode="External" Id="rId1492" /><Relationship Type="http://schemas.openxmlformats.org/officeDocument/2006/relationships/hyperlink" Target="https://folk-story.com.au" TargetMode="External" Id="rId1493" /><Relationship Type="http://schemas.openxmlformats.org/officeDocument/2006/relationships/hyperlink" Target="https://www.google.com/maps/search/?api=1&amp;query=Folk-Story" TargetMode="External" Id="rId1494" /><Relationship Type="http://schemas.openxmlformats.org/officeDocument/2006/relationships/hyperlink" Target="https://www.instagram.com/meertilemarket" TargetMode="External" Id="rId1495" /><Relationship Type="http://schemas.openxmlformats.org/officeDocument/2006/relationships/hyperlink" Target="https://www.facebook.com/meertilemarket" TargetMode="External" Id="rId1496" /><Relationship Type="http://schemas.openxmlformats.org/officeDocument/2006/relationships/hyperlink" Target="https://meer.com.au/" TargetMode="External" Id="rId1497" /><Relationship Type="http://schemas.openxmlformats.org/officeDocument/2006/relationships/hyperlink" Target="https://www.google.com/maps/search/?api=1&amp;query=Meer+Tile+Market" TargetMode="External" Id="rId1498" /><Relationship Type="http://schemas.openxmlformats.org/officeDocument/2006/relationships/hyperlink" Target="https://www.instagram.com/zealseatimberflooring" TargetMode="External" Id="rId1499" /><Relationship Type="http://schemas.openxmlformats.org/officeDocument/2006/relationships/hyperlink" Target="https://www.facebook.com/ZealseaTimberFlooring" TargetMode="External" Id="rId1500" /><Relationship Type="http://schemas.openxmlformats.org/officeDocument/2006/relationships/hyperlink" Target="https://www.zealseaflooring.com/" TargetMode="External" Id="rId1501" /><Relationship Type="http://schemas.openxmlformats.org/officeDocument/2006/relationships/hyperlink" Target="https://www.google.com/maps/search/?api=1&amp;query=Zealsea+Timber+Flooring+Brisbane+Underwood+130+Kingston+Road" TargetMode="External" Id="rId1502" /><Relationship Type="http://schemas.openxmlformats.org/officeDocument/2006/relationships/hyperlink" Target="https://www.instagram.com/fieraboutique" TargetMode="External" Id="rId1503" /><Relationship Type="http://schemas.openxmlformats.org/officeDocument/2006/relationships/hyperlink" Target="https://www.facebook.com/Fiera.com.au" TargetMode="External" Id="rId1504" /><Relationship Type="http://schemas.openxmlformats.org/officeDocument/2006/relationships/hyperlink" Target="https://www.fiera.com.au/" TargetMode="External" Id="rId1505" /><Relationship Type="http://schemas.openxmlformats.org/officeDocument/2006/relationships/hyperlink" Target="https://www.google.com/maps/search/?api=1&amp;query=Fiera+147+Oxford+Street+Bulimba" TargetMode="External" Id="rId1506" /><Relationship Type="http://schemas.openxmlformats.org/officeDocument/2006/relationships/hyperlink" Target="https://www.instagram.com/secretsbyamaar" TargetMode="External" Id="rId1507" /><Relationship Type="http://schemas.openxmlformats.org/officeDocument/2006/relationships/hyperlink" Target="https://www.facebook.com/secretsbyamaar" TargetMode="External" Id="rId1508" /><Relationship Type="http://schemas.openxmlformats.org/officeDocument/2006/relationships/hyperlink" Target="https://www.secrets-shhh.com/" TargetMode="External" Id="rId1509" /><Relationship Type="http://schemas.openxmlformats.org/officeDocument/2006/relationships/hyperlink" Target="https://www.google.com/maps/search/?api=1&amp;query=Secrets+Shhh+Logan+Road+Upper+Mount+Gravatt" TargetMode="External" Id="rId1510" /><Relationship Type="http://schemas.openxmlformats.org/officeDocument/2006/relationships/hyperlink" Target="https://www.instagram.com/briangrantkitchensandbathrooms/" TargetMode="External" Id="rId1511" /><Relationship Type="http://schemas.openxmlformats.org/officeDocument/2006/relationships/hyperlink" Target="https://www.facebook.com/BrianGrants/" TargetMode="External" Id="rId1512" /><Relationship Type="http://schemas.openxmlformats.org/officeDocument/2006/relationships/hyperlink" Target="https://briangrants.com.au/" TargetMode="External" Id="rId1513" /><Relationship Type="http://schemas.openxmlformats.org/officeDocument/2006/relationships/hyperlink" Target="https://www.google.com/maps/search/?api=1&amp;query=Brian+Grant+Kitchens+%26+Bathrooms+153+Enoggera+Road+Newmarket" TargetMode="External" Id="rId1514" /><Relationship Type="http://schemas.openxmlformats.org/officeDocument/2006/relationships/hyperlink" Target="https://www.instagram.com/hammertimekitchens" TargetMode="External" Id="rId1515" /><Relationship Type="http://schemas.openxmlformats.org/officeDocument/2006/relationships/hyperlink" Target="https://www.facebook.com/hammertimekitchens" TargetMode="External" Id="rId1516" /><Relationship Type="http://schemas.openxmlformats.org/officeDocument/2006/relationships/hyperlink" Target="https://www.hammertimekitchens.com.au/" TargetMode="External" Id="rId1517" /><Relationship Type="http://schemas.openxmlformats.org/officeDocument/2006/relationships/hyperlink" Target="https://www.google.com/maps/search/?api=1&amp;query=Hammertime+Kitchens+666+Gympie+Road+Lawnton" TargetMode="External" Id="rId1518" /><Relationship Type="http://schemas.openxmlformats.org/officeDocument/2006/relationships/hyperlink" Target="https://www.instagram.com/mkn_modernkitchensnorthside" TargetMode="External" Id="rId1519" /><Relationship Type="http://schemas.openxmlformats.org/officeDocument/2006/relationships/hyperlink" Target="https://www.facebook.com/MKN-564392520337278" TargetMode="External" Id="rId1520" /><Relationship Type="http://schemas.openxmlformats.org/officeDocument/2006/relationships/hyperlink" Target="https://modernkitchensnorthside.com.au/" TargetMode="External" Id="rId1521" /><Relationship Type="http://schemas.openxmlformats.org/officeDocument/2006/relationships/hyperlink" Target="https://www.google.com/maps/search/?api=1&amp;query=MKN+Kitchens+%26+Laundries+Gympie+Road+Lawnton" TargetMode="External" Id="rId1522" /><Relationship Type="http://schemas.openxmlformats.org/officeDocument/2006/relationships/hyperlink" Target="https://www.instagram.com/csg_landscape_supplies" TargetMode="External" Id="rId1523" /><Relationship Type="http://schemas.openxmlformats.org/officeDocument/2006/relationships/hyperlink" Target="https://www.facebook.com/CSGLandscapeGardens" TargetMode="External" Id="rId1524" /><Relationship Type="http://schemas.openxmlformats.org/officeDocument/2006/relationships/hyperlink" Target="https://csglandscapes.com.au/" TargetMode="External" Id="rId1525" /><Relationship Type="http://schemas.openxmlformats.org/officeDocument/2006/relationships/hyperlink" Target="https://www.google.com/maps/search/?api=1&amp;query=CSG+Landscape+Supplies+%26+Garden+Centre+1887+Mount+Gravatt-Capalaba+Road+Chandler" TargetMode="External" Id="rId1526" /><Relationship Type="http://schemas.openxmlformats.org/officeDocument/2006/relationships/hyperlink" Target="https://www.facebook.com/fameorchidsnursery/" TargetMode="External" Id="rId1527" /><Relationship Type="http://schemas.openxmlformats.org/officeDocument/2006/relationships/hyperlink" Target="https://fameorchids.au/" TargetMode="External" Id="rId1528" /><Relationship Type="http://schemas.openxmlformats.org/officeDocument/2006/relationships/hyperlink" Target="https://www.google.com/maps/search/?api=1&amp;query=Fame+Orchids+119+Boundary+Road+Thornlands" TargetMode="External" Id="rId1529" /><Relationship Type="http://schemas.openxmlformats.org/officeDocument/2006/relationships/hyperlink" Target="https://www.instagram.com/samfordvalleygarden" TargetMode="External" Id="rId1530" /><Relationship Type="http://schemas.openxmlformats.org/officeDocument/2006/relationships/hyperlink" Target="https://www.facebook.com/samfordvalleygardencentre/events" TargetMode="External" Id="rId1531" /><Relationship Type="http://schemas.openxmlformats.org/officeDocument/2006/relationships/hyperlink" Target="https://www.samfordvalleygardencentre.com/" TargetMode="External" Id="rId1532" /><Relationship Type="http://schemas.openxmlformats.org/officeDocument/2006/relationships/hyperlink" Target="https://www.google.com/maps/search/?api=1&amp;query=Samford+Valley+Garden+Centre+27+Main+Street+Samford+Village" TargetMode="External" Id="rId1533" /><Relationship Type="http://schemas.openxmlformats.org/officeDocument/2006/relationships/hyperlink" Target="https://www.facebook.com/saparlandscapingsupplies" TargetMode="External" Id="rId1534" /><Relationship Type="http://schemas.openxmlformats.org/officeDocument/2006/relationships/hyperlink" Target="http://sapar.com.au/" TargetMode="External" Id="rId1535" /><Relationship Type="http://schemas.openxmlformats.org/officeDocument/2006/relationships/hyperlink" Target="https://www.google.com/maps/search/?api=1&amp;query=Sapar+Landscaping+Supplies+199+Kruger+Parade" TargetMode="External" Id="rId1536" /><Relationship Type="http://schemas.openxmlformats.org/officeDocument/2006/relationships/hyperlink" Target="https://www.instagram.com/scuderiservices" TargetMode="External" Id="rId1537" /><Relationship Type="http://schemas.openxmlformats.org/officeDocument/2006/relationships/hyperlink" Target="https://scuderiservices.com.au/" TargetMode="External" Id="rId1538" /><Relationship Type="http://schemas.openxmlformats.org/officeDocument/2006/relationships/hyperlink" Target="https://www.google.com/maps/search/?api=1&amp;query=Scuderi+Services+92B+Bellevue+Avenue+Gaythorne" TargetMode="External" Id="rId1539" /><Relationship Type="http://schemas.openxmlformats.org/officeDocument/2006/relationships/hyperlink" Target="https://www.instagram.com/thenursochandler/" TargetMode="External" Id="rId1540" /><Relationship Type="http://schemas.openxmlformats.org/officeDocument/2006/relationships/hyperlink" Target="https://www.facebook.com/thenursochandler/" TargetMode="External" Id="rId1541" /><Relationship Type="http://schemas.openxmlformats.org/officeDocument/2006/relationships/hyperlink" Target="https://www.thenurso.au/" TargetMode="External" Id="rId1542" /><Relationship Type="http://schemas.openxmlformats.org/officeDocument/2006/relationships/hyperlink" Target="https://www.google.com/maps/search/?api=1&amp;query=The+Nurso+1666+Old+Cleveland+Road" TargetMode="External" Id="rId1543" /><Relationship Type="http://schemas.openxmlformats.org/officeDocument/2006/relationships/hyperlink" Target="https://www.instagram.com/timbara_nursery" TargetMode="External" Id="rId1544" /><Relationship Type="http://schemas.openxmlformats.org/officeDocument/2006/relationships/hyperlink" Target="https://www.facebook.com/Timbara-Plants-Plus-Garden-Centre-418336324961795" TargetMode="External" Id="rId1545" /><Relationship Type="http://schemas.openxmlformats.org/officeDocument/2006/relationships/hyperlink" Target="https://www.timbaranursery.com.au/" TargetMode="External" Id="rId1546" /><Relationship Type="http://schemas.openxmlformats.org/officeDocument/2006/relationships/hyperlink" Target="https://www.google.com/maps/search/?api=1&amp;query=Timbara+Garden+Centre+111+Boundary+Road+Thornlands" TargetMode="External" Id="rId1547" /><Relationship Type="http://schemas.openxmlformats.org/officeDocument/2006/relationships/hyperlink" Target="https://www.instagram.com/craftwinestore" TargetMode="External" Id="rId1548" /><Relationship Type="http://schemas.openxmlformats.org/officeDocument/2006/relationships/hyperlink" Target="https://www.facebook.com/craftredhill" TargetMode="External" Id="rId1549" /><Relationship Type="http://schemas.openxmlformats.org/officeDocument/2006/relationships/hyperlink" Target="https://craftwinestore.com.au/pages/stores" TargetMode="External" Id="rId1550" /><Relationship Type="http://schemas.openxmlformats.org/officeDocument/2006/relationships/hyperlink" Target="https://www.google.com/maps/search/?api=1&amp;query=Craft+260+Old+Cleveland+Road" TargetMode="External" Id="rId1551" /><Relationship Type="http://schemas.openxmlformats.org/officeDocument/2006/relationships/hyperlink" Target="https://www.instagram.com/thealexandrahillshotel" TargetMode="External" Id="rId1552" /><Relationship Type="http://schemas.openxmlformats.org/officeDocument/2006/relationships/hyperlink" Target="https://www.facebook.com/alexandra.hillshotel" TargetMode="External" Id="rId1553" /><Relationship Type="http://schemas.openxmlformats.org/officeDocument/2006/relationships/hyperlink" Target="https://thealexandrahillshotel.com.au/bottle-shop/" TargetMode="External" Id="rId1554" /><Relationship Type="http://schemas.openxmlformats.org/officeDocument/2006/relationships/hyperlink" Target="https://www.google.com/maps/search/?api=1&amp;query=Liquor+Legends" TargetMode="External" Id="rId1555" /><Relationship Type="http://schemas.openxmlformats.org/officeDocument/2006/relationships/hyperlink" Target="https://www.instagram.com/liquorstaxaustralia" TargetMode="External" Id="rId1556" /><Relationship Type="http://schemas.openxmlformats.org/officeDocument/2006/relationships/hyperlink" Target="https://www.facebook.com/liquorstaxaustralia" TargetMode="External" Id="rId1557" /><Relationship Type="http://schemas.openxmlformats.org/officeDocument/2006/relationships/hyperlink" Target="https://www.liquorstax.com.au/" TargetMode="External" Id="rId1558" /><Relationship Type="http://schemas.openxmlformats.org/officeDocument/2006/relationships/hyperlink" Target="https://www.google.com/maps/search/?api=1&amp;query=LiquorStax+3+Lytton+Road+East+Brisbane" TargetMode="External" Id="rId1559" /><Relationship Type="http://schemas.openxmlformats.org/officeDocument/2006/relationships/hyperlink" Target="https://www.instagram.com/malttraders" TargetMode="External" Id="rId1560" /><Relationship Type="http://schemas.openxmlformats.org/officeDocument/2006/relationships/hyperlink" Target="https://www.facebook.com/malttraders" TargetMode="External" Id="rId1561" /><Relationship Type="http://schemas.openxmlformats.org/officeDocument/2006/relationships/hyperlink" Target="https://malttraders.com.au/" TargetMode="External" Id="rId1562" /><Relationship Type="http://schemas.openxmlformats.org/officeDocument/2006/relationships/hyperlink" Target="https://www.google.com/maps/search/?api=1&amp;query=Malt+Traders+Market+Street+10+Market+Street+Brisbane+City" TargetMode="External" Id="rId1563" /><Relationship Type="http://schemas.openxmlformats.org/officeDocument/2006/relationships/hyperlink" Target="https://www.facebook.com/Fiveelementsmassage" TargetMode="External" Id="rId1564" /><Relationship Type="http://schemas.openxmlformats.org/officeDocument/2006/relationships/hyperlink" Target="https://www.fiveelementsmassage.com" TargetMode="External" Id="rId1565" /><Relationship Type="http://schemas.openxmlformats.org/officeDocument/2006/relationships/hyperlink" Target="https://www.google.com/maps/search/?api=1&amp;query=Five+Elements+Massage+85+Mawson+Street+Stafford+Heights" TargetMode="External" Id="rId1566" /><Relationship Type="http://schemas.openxmlformats.org/officeDocument/2006/relationships/hyperlink" Target="https://www.facebook.com/AlderleyAutomotive" TargetMode="External" Id="rId1567" /><Relationship Type="http://schemas.openxmlformats.org/officeDocument/2006/relationships/hyperlink" Target="https://alderleyautomotive.com.au/" TargetMode="External" Id="rId1568" /><Relationship Type="http://schemas.openxmlformats.org/officeDocument/2006/relationships/hyperlink" Target="https://www.google.com/maps/search/?api=1&amp;query=Alderley+Automotive+75+Pickering+Street+Enoggera" TargetMode="External" Id="rId1569" /><Relationship Type="http://schemas.openxmlformats.org/officeDocument/2006/relationships/hyperlink" Target="https://www.facebook.com/MYAUTOELEC97" TargetMode="External" Id="rId1570" /><Relationship Type="http://schemas.openxmlformats.org/officeDocument/2006/relationships/hyperlink" Target="https://www.alderleyautoelectrics.com.au/" TargetMode="External" Id="rId1571" /><Relationship Type="http://schemas.openxmlformats.org/officeDocument/2006/relationships/hyperlink" Target="https://www.google.com/maps/search/?api=1&amp;query=Alderly+Auto+Electrics+97+Pickering+Street+Enoggera" TargetMode="External" Id="rId1572" /><Relationship Type="http://schemas.openxmlformats.org/officeDocument/2006/relationships/hyperlink" Target="https://www.instagram.com/australian_mechanical" TargetMode="External" Id="rId1573" /><Relationship Type="http://schemas.openxmlformats.org/officeDocument/2006/relationships/hyperlink" Target="https://australianmechanical.com.au/" TargetMode="External" Id="rId1574" /><Relationship Type="http://schemas.openxmlformats.org/officeDocument/2006/relationships/hyperlink" Target="https://www.google.com/maps/search/?api=1&amp;query=Australian+Mechanical+73+Pickering+Street+Enoggera" TargetMode="External" Id="rId1575" /><Relationship Type="http://schemas.openxmlformats.org/officeDocument/2006/relationships/hyperlink" Target="https://www.instagram.com/lemansmotorsau" TargetMode="External" Id="rId1576" /><Relationship Type="http://schemas.openxmlformats.org/officeDocument/2006/relationships/hyperlink" Target="https://www.facebook.com/lemansmotorsmilton" TargetMode="External" Id="rId1577" /><Relationship Type="http://schemas.openxmlformats.org/officeDocument/2006/relationships/hyperlink" Target="https://lemansmotors.com.au/" TargetMode="External" Id="rId1578" /><Relationship Type="http://schemas.openxmlformats.org/officeDocument/2006/relationships/hyperlink" Target="https://www.google.com/maps/search/?api=1&amp;query=LeMans+Motors+Car+Services+18+Austin+Street+Newstead" TargetMode="External" Id="rId1579" /><Relationship Type="http://schemas.openxmlformats.org/officeDocument/2006/relationships/hyperlink" Target="https://www.facebook.com/markmccarthyautomotive" TargetMode="External" Id="rId1580" /><Relationship Type="http://schemas.openxmlformats.org/officeDocument/2006/relationships/hyperlink" Target="https://www.markmccarthyautomotive.com.au/" TargetMode="External" Id="rId1581" /><Relationship Type="http://schemas.openxmlformats.org/officeDocument/2006/relationships/hyperlink" Target="https://www.google.com/maps/search/?api=1&amp;query=Mark+McCarthy+Automotive" TargetMode="External" Id="rId1582" /><Relationship Type="http://schemas.openxmlformats.org/officeDocument/2006/relationships/hyperlink" Target="https://www.facebook.com/quickfitengineservice" TargetMode="External" Id="rId1583" /><Relationship Type="http://schemas.openxmlformats.org/officeDocument/2006/relationships/hyperlink" Target="https://www.quickfitengineservice.com.au/" TargetMode="External" Id="rId1584" /><Relationship Type="http://schemas.openxmlformats.org/officeDocument/2006/relationships/hyperlink" Target="https://www.google.com/maps/search/?api=1&amp;query=QuickFit+Engine+Service+43+Lawnton+Pocket+Road+Lawnton" TargetMode="External" Id="rId1585" /><Relationship Type="http://schemas.openxmlformats.org/officeDocument/2006/relationships/hyperlink" Target="https://www.instagram.com/racqofficial" TargetMode="External" Id="rId1586" /><Relationship Type="http://schemas.openxmlformats.org/officeDocument/2006/relationships/hyperlink" Target="https://www.facebook.com/racqofficial" TargetMode="External" Id="rId1587" /><Relationship Type="http://schemas.openxmlformats.org/officeDocument/2006/relationships/hyperlink" Target="https://www.racq.com.au/car/car-window-tinting" TargetMode="External" Id="rId1588" /><Relationship Type="http://schemas.openxmlformats.org/officeDocument/2006/relationships/hyperlink" Target="https://www.google.com/maps/search/?api=1&amp;query=RACQ+Auto+Glass+675+Gympie+Road+Lawnton" TargetMode="External" Id="rId1589" /><Relationship Type="http://schemas.openxmlformats.org/officeDocument/2006/relationships/hyperlink" Target="https://www.facebook.com/westendservicecentre" TargetMode="External" Id="rId1590" /><Relationship Type="http://schemas.openxmlformats.org/officeDocument/2006/relationships/hyperlink" Target="https://www.westendservicecentre.repcoservice.net/services" TargetMode="External" Id="rId1591" /><Relationship Type="http://schemas.openxmlformats.org/officeDocument/2006/relationships/hyperlink" Target="https://www.google.com/maps/search/?api=1&amp;query=Repco+West+End+Service+Centre+26+Bailey+Street+West+End" TargetMode="External" Id="rId1592" /><Relationship Type="http://schemas.openxmlformats.org/officeDocument/2006/relationships/hyperlink" Target="https://www.instagram.com/royalzrestorationz" TargetMode="External" Id="rId1593" /><Relationship Type="http://schemas.openxmlformats.org/officeDocument/2006/relationships/hyperlink" Target="https://www.facebook.com/523489201336210" TargetMode="External" Id="rId1594" /><Relationship Type="http://schemas.openxmlformats.org/officeDocument/2006/relationships/hyperlink" Target="https://royalz.com.au" TargetMode="External" Id="rId1595" /><Relationship Type="http://schemas.openxmlformats.org/officeDocument/2006/relationships/hyperlink" Target="https://www.google.com/maps/search/?api=1&amp;query=Royalz+Restorationz+100+Redland+Bay+Road+Capalaba" TargetMode="External" Id="rId1596" /><Relationship Type="http://schemas.openxmlformats.org/officeDocument/2006/relationships/hyperlink" Target="https://www.instagram.com/timelessprodetailing" TargetMode="External" Id="rId1597" /><Relationship Type="http://schemas.openxmlformats.org/officeDocument/2006/relationships/hyperlink" Target="https://www.facebook.com/TimelessCarCleaning" TargetMode="External" Id="rId1598" /><Relationship Type="http://schemas.openxmlformats.org/officeDocument/2006/relationships/hyperlink" Target="https://timelesscarcleaning.com/" TargetMode="External" Id="rId1599" /><Relationship Type="http://schemas.openxmlformats.org/officeDocument/2006/relationships/hyperlink" Target="https://www.google.com/maps/search/?api=1&amp;query=Timeless+Car+Cleaning" TargetMode="External" Id="rId1600" /><Relationship Type="http://schemas.openxmlformats.org/officeDocument/2006/relationships/hyperlink" Target="https://www.facebook.com/ausdoctorsclinic" TargetMode="External" Id="rId1601" /><Relationship Type="http://schemas.openxmlformats.org/officeDocument/2006/relationships/hyperlink" Target="https://www.australiandoctorsclinic.com.au/" TargetMode="External" Id="rId1602" /><Relationship Type="http://schemas.openxmlformats.org/officeDocument/2006/relationships/hyperlink" Target="https://www.google.com/maps/search/?api=1&amp;query=Australian+Doctors+Clinic" TargetMode="External" Id="rId1603" /><Relationship Type="http://schemas.openxmlformats.org/officeDocument/2006/relationships/hyperlink" Target="https://www.facebook.com/Bulimba-Dermatology-1661550747448237" TargetMode="External" Id="rId1604" /><Relationship Type="http://schemas.openxmlformats.org/officeDocument/2006/relationships/hyperlink" Target="https://www.bulimbadermatology.com.au/" TargetMode="External" Id="rId1605" /><Relationship Type="http://schemas.openxmlformats.org/officeDocument/2006/relationships/hyperlink" Target="https://www.google.com/maps/search/?api=1&amp;query=Bulimba+Dermatology+90-94+Oxford+Street+Bulimba" TargetMode="External" Id="rId1606" /><Relationship Type="http://schemas.openxmlformats.org/officeDocument/2006/relationships/hyperlink" Target="https://www.instagram.com/familydoctorsplus" TargetMode="External" Id="rId1607" /><Relationship Type="http://schemas.openxmlformats.org/officeDocument/2006/relationships/hyperlink" Target="https://www.facebook.com/familydoctorsplus" TargetMode="External" Id="rId1608" /><Relationship Type="http://schemas.openxmlformats.org/officeDocument/2006/relationships/hyperlink" Target="https://www.familydoctorsplus.com.au/" TargetMode="External" Id="rId1609" /><Relationship Type="http://schemas.openxmlformats.org/officeDocument/2006/relationships/hyperlink" Target="https://www.google.com/maps/search/?api=1&amp;query=Family+Doctors+Plus" TargetMode="External" Id="rId1610" /><Relationship Type="http://schemas.openxmlformats.org/officeDocument/2006/relationships/hyperlink" Target="https://www.facebook.com/pages/Ferny-Fair-Medical-Centre/170808546262998" TargetMode="External" Id="rId1611" /><Relationship Type="http://schemas.openxmlformats.org/officeDocument/2006/relationships/hyperlink" Target="https://fernyfairmedicalcentre.com.au/" TargetMode="External" Id="rId1612" /><Relationship Type="http://schemas.openxmlformats.org/officeDocument/2006/relationships/hyperlink" Target="https://www.google.com/maps/search/?api=1&amp;query=Ferny+Fair+Medical+Centre+170+Patricks+Road+Ferny+Hills" TargetMode="External" Id="rId1613" /><Relationship Type="http://schemas.openxmlformats.org/officeDocument/2006/relationships/hyperlink" Target="https://www.facebook.com/grandmedicalcentre" TargetMode="External" Id="rId1614" /><Relationship Type="http://schemas.openxmlformats.org/officeDocument/2006/relationships/hyperlink" Target="https://www.grandmedicalcentre.com/" TargetMode="External" Id="rId1615" /><Relationship Type="http://schemas.openxmlformats.org/officeDocument/2006/relationships/hyperlink" Target="https://www.google.com/maps/search/?api=1&amp;query=Grand+Medical+Centre+200+Grand+Avenue" TargetMode="External" Id="rId1616" /><Relationship Type="http://schemas.openxmlformats.org/officeDocument/2006/relationships/hyperlink" Target="https://www.instagram.com/gympieroadmedicalcentre" TargetMode="External" Id="rId1617" /><Relationship Type="http://schemas.openxmlformats.org/officeDocument/2006/relationships/hyperlink" Target="https://www.gympieroadmedicalcentre.com.au/" TargetMode="External" Id="rId1618" /><Relationship Type="http://schemas.openxmlformats.org/officeDocument/2006/relationships/hyperlink" Target="https://www.google.com/maps/search/?api=1&amp;query=Gympie+Road+Medical+Centre+640+Gympie+Road+Lawnton" TargetMode="External" Id="rId1619" /><Relationship Type="http://schemas.openxmlformats.org/officeDocument/2006/relationships/hyperlink" Target="https://www.instagram.com/kedronwavellmedicalcentre" TargetMode="External" Id="rId1620" /><Relationship Type="http://schemas.openxmlformats.org/officeDocument/2006/relationships/hyperlink" Target="https://www.facebook.com/mymedicentre" TargetMode="External" Id="rId1621" /><Relationship Type="http://schemas.openxmlformats.org/officeDocument/2006/relationships/hyperlink" Target="https://www.kedronwavellmedicalcentre.com.au/" TargetMode="External" Id="rId1622" /><Relationship Type="http://schemas.openxmlformats.org/officeDocument/2006/relationships/hyperlink" Target="https://www.google.com/maps/search/?api=1&amp;query=Kedron+Wavell+Medical+Centre+232+Gympie+Road+Kedron" TargetMode="External" Id="rId1623" /><Relationship Type="http://schemas.openxmlformats.org/officeDocument/2006/relationships/hyperlink" Target="https://www.facebook.com/QuanticaLabs" TargetMode="External" Id="rId1624" /><Relationship Type="http://schemas.openxmlformats.org/officeDocument/2006/relationships/hyperlink" Target="https://mountgravattfamilypractice.com.au/" TargetMode="External" Id="rId1625" /><Relationship Type="http://schemas.openxmlformats.org/officeDocument/2006/relationships/hyperlink" Target="https://www.google.com/maps/search/?api=1&amp;query=Mount+Gravatt+Family+Practice+2256+Logan+Road+Upper+Mount+Gravatt" TargetMode="External" Id="rId1626" /><Relationship Type="http://schemas.openxmlformats.org/officeDocument/2006/relationships/hyperlink" Target="https://www.facebook.com/newportfamilydoctors" TargetMode="External" Id="rId1627" /><Relationship Type="http://schemas.openxmlformats.org/officeDocument/2006/relationships/hyperlink" Target="https://www.newportfamilydoctors.com.au" TargetMode="External" Id="rId1628" /><Relationship Type="http://schemas.openxmlformats.org/officeDocument/2006/relationships/hyperlink" Target="https://www.google.com/maps/search/?api=1&amp;query=Newport+Family+Doctors+10+Lakeview+Promenade+Newport" TargetMode="External" Id="rId1629" /><Relationship Type="http://schemas.openxmlformats.org/officeDocument/2006/relationships/hyperlink" Target="https://www.instagram.com/northsidegynaecology" TargetMode="External" Id="rId1630" /><Relationship Type="http://schemas.openxmlformats.org/officeDocument/2006/relationships/hyperlink" Target="https://www.facebook.com/NorthsideGynaecology" TargetMode="External" Id="rId1631" /><Relationship Type="http://schemas.openxmlformats.org/officeDocument/2006/relationships/hyperlink" Target="http://www.northsidegynaecology.com.au" TargetMode="External" Id="rId1632" /><Relationship Type="http://schemas.openxmlformats.org/officeDocument/2006/relationships/hyperlink" Target="https://www.google.com/maps/search/?api=1&amp;query=Northside+Gynaecology+583+Gympie+Road+Kedron" TargetMode="External" Id="rId1633" /><Relationship Type="http://schemas.openxmlformats.org/officeDocument/2006/relationships/hyperlink" Target="https://www.instagram.com/northsidegynaecology" TargetMode="External" Id="rId1634" /><Relationship Type="http://schemas.openxmlformats.org/officeDocument/2006/relationships/hyperlink" Target="https://www.facebook.com/NorthsideGynaecology" TargetMode="External" Id="rId1635" /><Relationship Type="http://schemas.openxmlformats.org/officeDocument/2006/relationships/hyperlink" Target="https://www.northsidegynaecology.com.au/" TargetMode="External" Id="rId1636" /><Relationship Type="http://schemas.openxmlformats.org/officeDocument/2006/relationships/hyperlink" Target="https://www.google.com/maps/search/?api=1&amp;query=Northside+Gynaecology+7+Endeavour+Boulevard+North+Lakes" TargetMode="External" Id="rId1637" /><Relationship Type="http://schemas.openxmlformats.org/officeDocument/2006/relationships/hyperlink" Target="https://www.facebook.com/OsteoPlace" TargetMode="External" Id="rId1638" /><Relationship Type="http://schemas.openxmlformats.org/officeDocument/2006/relationships/hyperlink" Target="https://www.osteoplace.com.au/" TargetMode="External" Id="rId1639" /><Relationship Type="http://schemas.openxmlformats.org/officeDocument/2006/relationships/hyperlink" Target="https://www.google.com/maps/search/?api=1&amp;query=Osteo+Place" TargetMode="External" Id="rId1640" /><Relationship Type="http://schemas.openxmlformats.org/officeDocument/2006/relationships/hyperlink" Target="https://www.facebook.com/samfordroadDH/" TargetMode="External" Id="rId1641" /><Relationship Type="http://schemas.openxmlformats.org/officeDocument/2006/relationships/hyperlink" Target="https://srdh.com.au/" TargetMode="External" Id="rId1642" /><Relationship Type="http://schemas.openxmlformats.org/officeDocument/2006/relationships/hyperlink" Target="https://www.google.com/maps/search/?api=1&amp;query=Samford+Road+Day+Hospital+383-391+Samford+Road+Gaythorne" TargetMode="External" Id="rId1643" /><Relationship Type="http://schemas.openxmlformats.org/officeDocument/2006/relationships/hyperlink" Target="https://www.instagram.com/sonderprivateclinic_brisbane" TargetMode="External" Id="rId1644" /><Relationship Type="http://schemas.openxmlformats.org/officeDocument/2006/relationships/hyperlink" Target="https://www.facebook.com/sonderprivateclinicbrisbane" TargetMode="External" Id="rId1645" /><Relationship Type="http://schemas.openxmlformats.org/officeDocument/2006/relationships/hyperlink" Target="https://sonderprivateclinic.com/" TargetMode="External" Id="rId1646" /><Relationship Type="http://schemas.openxmlformats.org/officeDocument/2006/relationships/hyperlink" Target="https://www.google.com/maps/search/?api=1&amp;query=Sonder+Private+Clinic+Brisbane" TargetMode="External" Id="rId1647" /><Relationship Type="http://schemas.openxmlformats.org/officeDocument/2006/relationships/hyperlink" Target="https://www.instagram.com/stonewallmedical" TargetMode="External" Id="rId1648" /><Relationship Type="http://schemas.openxmlformats.org/officeDocument/2006/relationships/hyperlink" Target="https://www.facebook.com/profile.php" TargetMode="External" Id="rId1649" /><Relationship Type="http://schemas.openxmlformats.org/officeDocument/2006/relationships/hyperlink" Target="https://stonewall.com.au/" TargetMode="External" Id="rId1650" /><Relationship Type="http://schemas.openxmlformats.org/officeDocument/2006/relationships/hyperlink" Target="https://www.google.com/maps/search/?api=1&amp;query=Stonewall+Medical+Center+52+Newmarket+Road" TargetMode="External" Id="rId1651" /><Relationship Type="http://schemas.openxmlformats.org/officeDocument/2006/relationships/hyperlink" Target="https://www.facebook.com/sunfamilypractice" TargetMode="External" Id="rId1652" /><Relationship Type="http://schemas.openxmlformats.org/officeDocument/2006/relationships/hyperlink" Target="https://www.sunfamilypractice.com.au/" TargetMode="External" Id="rId1653" /><Relationship Type="http://schemas.openxmlformats.org/officeDocument/2006/relationships/hyperlink" Target="https://www.google.com/maps/search/?api=1&amp;query=Sun+Family+Practice+27+Illaweena+Street" TargetMode="External" Id="rId1654" /><Relationship Type="http://schemas.openxmlformats.org/officeDocument/2006/relationships/hyperlink" Target="https://www.instagram.com/winn_lane" TargetMode="External" Id="rId1655" /><Relationship Type="http://schemas.openxmlformats.org/officeDocument/2006/relationships/hyperlink" Target="https://www.facebook.com/winnlanebrisbane" TargetMode="External" Id="rId1656" /><Relationship Type="http://schemas.openxmlformats.org/officeDocument/2006/relationships/hyperlink" Target="http://www.winnlane.com.au/shop_details/shop/core_optics/section/shop" TargetMode="External" Id="rId1657" /><Relationship Type="http://schemas.openxmlformats.org/officeDocument/2006/relationships/hyperlink" Target="https://www.google.com/maps/search/?api=1&amp;query=Core+Optics+5K+Winn+Street+Fortitude+Valley" TargetMode="External" Id="rId1658" /><Relationship Type="http://schemas.openxmlformats.org/officeDocument/2006/relationships/hyperlink" Target="https://www.instagram.com/albanycreekvets" TargetMode="External" Id="rId1659" /><Relationship Type="http://schemas.openxmlformats.org/officeDocument/2006/relationships/hyperlink" Target="https://www.facebook.com/profile.php" TargetMode="External" Id="rId1660" /><Relationship Type="http://schemas.openxmlformats.org/officeDocument/2006/relationships/hyperlink" Target="https://albanycreekvet.com.au/" TargetMode="External" Id="rId1661" /><Relationship Type="http://schemas.openxmlformats.org/officeDocument/2006/relationships/hyperlink" Target="https://www.google.com/maps/search/?api=1&amp;query=Albany+Creek+Veterinary+Surgery+739+Albany+Creek+Road" TargetMode="External" Id="rId1662" /><Relationship Type="http://schemas.openxmlformats.org/officeDocument/2006/relationships/hyperlink" Target="https://www.facebook.com/AnimalEmergencyWestBrisbane" TargetMode="External" Id="rId1663" /><Relationship Type="http://schemas.openxmlformats.org/officeDocument/2006/relationships/hyperlink" Target="https://animalemergencyservice.com.au/info/jindalee-emergency-vet/" TargetMode="External" Id="rId1664" /><Relationship Type="http://schemas.openxmlformats.org/officeDocument/2006/relationships/hyperlink" Target="https://www.google.com/maps/search/?api=1&amp;query=Animal+Emergency+Service+34+Goggs+Road+Jindalee" TargetMode="External" Id="rId1665" /><Relationship Type="http://schemas.openxmlformats.org/officeDocument/2006/relationships/hyperlink" Target="https://www.instagram.com/animalemergencyservice" TargetMode="External" Id="rId1666" /><Relationship Type="http://schemas.openxmlformats.org/officeDocument/2006/relationships/hyperlink" Target="https://www.facebook.com/AnimalEmergencyServiceHQ" TargetMode="External" Id="rId1667" /><Relationship Type="http://schemas.openxmlformats.org/officeDocument/2006/relationships/hyperlink" Target="https://animalemergencyservice.com.au/aes_location/animal-emergency-service-underwood/" TargetMode="External" Id="rId1668" /><Relationship Type="http://schemas.openxmlformats.org/officeDocument/2006/relationships/hyperlink" Target="https://www.google.com/maps/search/?api=1&amp;query=Animal+Emergency+Service+Underwood+1+Lexington+Road+Underwood" TargetMode="External" Id="rId1669" /><Relationship Type="http://schemas.openxmlformats.org/officeDocument/2006/relationships/hyperlink" Target="https://www.facebook.com/profile.php" TargetMode="External" Id="rId1670" /><Relationship Type="http://schemas.openxmlformats.org/officeDocument/2006/relationships/hyperlink" Target="https://bellbowrievet.com.au/" TargetMode="External" Id="rId1671" /><Relationship Type="http://schemas.openxmlformats.org/officeDocument/2006/relationships/hyperlink" Target="https://www.google.com/maps/search/?api=1&amp;query=Bellbowrie+Vet" TargetMode="External" Id="rId1672" /><Relationship Type="http://schemas.openxmlformats.org/officeDocument/2006/relationships/hyperlink" Target="https://www.facebook.com/thecompletepetcompany" TargetMode="External" Id="rId1673" /><Relationship Type="http://schemas.openxmlformats.org/officeDocument/2006/relationships/hyperlink" Target="https://www.completepet.com.au/" TargetMode="External" Id="rId1674" /><Relationship Type="http://schemas.openxmlformats.org/officeDocument/2006/relationships/hyperlink" Target="https://www.google.com/maps/search/?api=1&amp;query=Complete+Pet+148+South+Pine+Road+Enoggera" TargetMode="External" Id="rId1675" /><Relationship Type="http://schemas.openxmlformats.org/officeDocument/2006/relationships/hyperlink" Target="https://www.facebook.com/daisyhillvet" TargetMode="External" Id="rId1676" /><Relationship Type="http://schemas.openxmlformats.org/officeDocument/2006/relationships/hyperlink" Target="https://daisyhillvet.com/" TargetMode="External" Id="rId1677" /><Relationship Type="http://schemas.openxmlformats.org/officeDocument/2006/relationships/hyperlink" Target="https://www.google.com/maps/search/?api=1&amp;query=Daisy+Hill+Veterinary+Clinic" TargetMode="External" Id="rId1678" /><Relationship Type="http://schemas.openxmlformats.org/officeDocument/2006/relationships/hyperlink" Target="https://www.instagram.com/fernygrovevet" TargetMode="External" Id="rId1679" /><Relationship Type="http://schemas.openxmlformats.org/officeDocument/2006/relationships/hyperlink" Target="https://www.facebook.com/fernygrovevet" TargetMode="External" Id="rId1680" /><Relationship Type="http://schemas.openxmlformats.org/officeDocument/2006/relationships/hyperlink" Target="https://www.fernygrovevet.com.au/" TargetMode="External" Id="rId1681" /><Relationship Type="http://schemas.openxmlformats.org/officeDocument/2006/relationships/hyperlink" Target="https://www.google.com/maps/search/?api=1&amp;query=Ferny+Grove+Veternary+Clinic+47+McGinn+Road+Ferny+Grove" TargetMode="External" Id="rId1682" /><Relationship Type="http://schemas.openxmlformats.org/officeDocument/2006/relationships/hyperlink" Target="https://www.instagram.com/fernyhillsvet" TargetMode="External" Id="rId1683" /><Relationship Type="http://schemas.openxmlformats.org/officeDocument/2006/relationships/hyperlink" Target="https://www.facebook.com/Ferny-Hills-Vet-Surgery-577129148971402" TargetMode="External" Id="rId1684" /><Relationship Type="http://schemas.openxmlformats.org/officeDocument/2006/relationships/hyperlink" Target="https://www.fernyhillsvet.com.au/" TargetMode="External" Id="rId1685" /><Relationship Type="http://schemas.openxmlformats.org/officeDocument/2006/relationships/hyperlink" Target="https://www.google.com/maps/search/?api=1&amp;query=Ferny+Hills+Vet+Surgery+9+Mawarra+Crescent+Ferny+Hills" TargetMode="External" Id="rId1686" /><Relationship Type="http://schemas.openxmlformats.org/officeDocument/2006/relationships/hyperlink" Target="https://www.instagram.com/hairytails" TargetMode="External" Id="rId1687" /><Relationship Type="http://schemas.openxmlformats.org/officeDocument/2006/relationships/hyperlink" Target="https://www.facebook.com/hairytailsdoggroomingboutique" TargetMode="External" Id="rId1688" /><Relationship Type="http://schemas.openxmlformats.org/officeDocument/2006/relationships/hyperlink" Target="https://www.hairytails.com.au/dog-grooming-ashgrove/" TargetMode="External" Id="rId1689" /><Relationship Type="http://schemas.openxmlformats.org/officeDocument/2006/relationships/hyperlink" Target="https://www.google.com/maps/search/?api=1&amp;query=Hairy+Tails+336+Waterworks+Road+Ashgrove" TargetMode="External" Id="rId1690" /><Relationship Type="http://schemas.openxmlformats.org/officeDocument/2006/relationships/hyperlink" Target="https://www.instagram.com/hairytails" TargetMode="External" Id="rId1691" /><Relationship Type="http://schemas.openxmlformats.org/officeDocument/2006/relationships/hyperlink" Target="https://www.facebook.com/hairytailsdoggroomingboutique" TargetMode="External" Id="rId1692" /><Relationship Type="http://schemas.openxmlformats.org/officeDocument/2006/relationships/hyperlink" Target="https://www.hairytails.com.au/dog-grooming-wavell-heights/" TargetMode="External" Id="rId1693" /><Relationship Type="http://schemas.openxmlformats.org/officeDocument/2006/relationships/hyperlink" Target="https://www.google.com/maps/search/?api=1&amp;query=Hairy+Tails+268+Rode+Road+Wavell+Heights" TargetMode="External" Id="rId1694" /><Relationship Type="http://schemas.openxmlformats.org/officeDocument/2006/relationships/hyperlink" Target="https://www.instagram.com/kedronvet" TargetMode="External" Id="rId1695" /><Relationship Type="http://schemas.openxmlformats.org/officeDocument/2006/relationships/hyperlink" Target="https://www.facebook.com/KedronVeterinaryClinic" TargetMode="External" Id="rId1696" /><Relationship Type="http://schemas.openxmlformats.org/officeDocument/2006/relationships/hyperlink" Target="https://kedronvet.com.au" TargetMode="External" Id="rId1697" /><Relationship Type="http://schemas.openxmlformats.org/officeDocument/2006/relationships/hyperlink" Target="https://www.google.com/maps/search/?api=1&amp;query=Kedron+Veterinary+Clinic+75+Leckie+Road+Kedron" TargetMode="External" Id="rId1698" /><Relationship Type="http://schemas.openxmlformats.org/officeDocument/2006/relationships/hyperlink" Target="https://www.instagram.com/parkinsonvetsurgery" TargetMode="External" Id="rId1699" /><Relationship Type="http://schemas.openxmlformats.org/officeDocument/2006/relationships/hyperlink" Target="https://www.facebook.com/parkinsonvetclinic" TargetMode="External" Id="rId1700" /><Relationship Type="http://schemas.openxmlformats.org/officeDocument/2006/relationships/hyperlink" Target="https://parkinsonvet.com.au/" TargetMode="External" Id="rId1701" /><Relationship Type="http://schemas.openxmlformats.org/officeDocument/2006/relationships/hyperlink" Target="https://www.google.com/maps/search/?api=1&amp;query=Parkinson+Veterinary+Surgery+2+Menser+Street+Calamvale" TargetMode="External" Id="rId1702" /><Relationship Type="http://schemas.openxmlformats.org/officeDocument/2006/relationships/hyperlink" Target="https://www.facebook.com/pawprintvet" TargetMode="External" Id="rId1703" /><Relationship Type="http://schemas.openxmlformats.org/officeDocument/2006/relationships/hyperlink" Target="https://pawprintvet.com.au/" TargetMode="External" Id="rId1704" /><Relationship Type="http://schemas.openxmlformats.org/officeDocument/2006/relationships/hyperlink" Target="https://www.google.com/maps/search/?api=1&amp;query=Pawprint+Veterinary+Practice+267+Stafford+Road+Stafford" TargetMode="External" Id="rId1705" /><Relationship Type="http://schemas.openxmlformats.org/officeDocument/2006/relationships/hyperlink" Target="https://www.facebook.com/queenslandkoalasociety/" TargetMode="External" Id="rId1706" /><Relationship Type="http://schemas.openxmlformats.org/officeDocument/2006/relationships/hyperlink" Target="https://queenslandkoalasociety.org/" TargetMode="External" Id="rId1707" /><Relationship Type="http://schemas.openxmlformats.org/officeDocument/2006/relationships/hyperlink" Target="https://www.google.com/maps/search/?api=1&amp;query=Queensland+Koala+Society+1686+Old+Cleveland+Road" TargetMode="External" Id="rId1708" /><Relationship Type="http://schemas.openxmlformats.org/officeDocument/2006/relationships/hyperlink" Target="https://www.instagram.com/samfordemergencyvets" TargetMode="External" Id="rId1709" /><Relationship Type="http://schemas.openxmlformats.org/officeDocument/2006/relationships/hyperlink" Target="https://www.facebook.com/people/Samford-Emergency-Vets/61560798104049/" TargetMode="External" Id="rId1710" /><Relationship Type="http://schemas.openxmlformats.org/officeDocument/2006/relationships/hyperlink" Target="https://samfordemergencyvets.com.au/" TargetMode="External" Id="rId1711" /><Relationship Type="http://schemas.openxmlformats.org/officeDocument/2006/relationships/hyperlink" Target="https://www.google.com/maps/search/?api=1&amp;query=Samford+Emergency+Vets+1+Serendipity+Drive+Samford+Valley" TargetMode="External" Id="rId1712" /><Relationship Type="http://schemas.openxmlformats.org/officeDocument/2006/relationships/hyperlink" Target="https://www.facebook.com/thegapvet" TargetMode="External" Id="rId1713" /><Relationship Type="http://schemas.openxmlformats.org/officeDocument/2006/relationships/hyperlink" Target="https://www.thegapvet.com.au" TargetMode="External" Id="rId1714" /><Relationship Type="http://schemas.openxmlformats.org/officeDocument/2006/relationships/hyperlink" Target="https://www.google.com/maps/search/?api=1&amp;query=The+Gap+Vet+Surgery+1104+Waterworks+Road+The+Gap" TargetMode="External" Id="rId1715" /><Relationship Type="http://schemas.openxmlformats.org/officeDocument/2006/relationships/hyperlink" Target="https://www.facebook.com/Wynnum-Bayside-Veterinary-Surgery-601348169947569" TargetMode="External" Id="rId1716" /><Relationship Type="http://schemas.openxmlformats.org/officeDocument/2006/relationships/hyperlink" Target="https://wynnumbaysidevet.com.au/" TargetMode="External" Id="rId1717" /><Relationship Type="http://schemas.openxmlformats.org/officeDocument/2006/relationships/hyperlink" Target="https://www.google.com/maps/search/?api=1&amp;query=Wynnum+Bayside+Veterinary+Surgery+244+Preston+Road+Wynnum+West" TargetMode="External" Id="rId1718" /><Relationship Type="http://schemas.openxmlformats.org/officeDocument/2006/relationships/hyperlink" Target="https://www.instagram.com/bodyviva" TargetMode="External" Id="rId1719" /><Relationship Type="http://schemas.openxmlformats.org/officeDocument/2006/relationships/hyperlink" Target="https://www.facebook.com/bodyvivahealth" TargetMode="External" Id="rId1720" /><Relationship Type="http://schemas.openxmlformats.org/officeDocument/2006/relationships/hyperlink" Target="https://www.bodyviva.com.au/" TargetMode="External" Id="rId1721" /><Relationship Type="http://schemas.openxmlformats.org/officeDocument/2006/relationships/hyperlink" Target="https://www.google.com/maps/search/?api=1&amp;query=BodyViva+1+Pannikin+Street+Rochedale+South" TargetMode="External" Id="rId1722" /><Relationship Type="http://schemas.openxmlformats.org/officeDocument/2006/relationships/hyperlink" Target="https://www.instagram.com/circleoflifephysio" TargetMode="External" Id="rId1723" /><Relationship Type="http://schemas.openxmlformats.org/officeDocument/2006/relationships/hyperlink" Target="https://www.facebook.com/circleoflifephysio" TargetMode="External" Id="rId1724" /><Relationship Type="http://schemas.openxmlformats.org/officeDocument/2006/relationships/hyperlink" Target="https://circleoflifephysio.com.au/" TargetMode="External" Id="rId1725" /><Relationship Type="http://schemas.openxmlformats.org/officeDocument/2006/relationships/hyperlink" Target="https://www.google.com/maps/search/?api=1&amp;query=Circle+of+life+Physio+24+Beesley+Street+West+End" TargetMode="External" Id="rId1726" /><Relationship Type="http://schemas.openxmlformats.org/officeDocument/2006/relationships/hyperlink" Target="https://www.instagram.com/enablehealthclinic" TargetMode="External" Id="rId1727" /><Relationship Type="http://schemas.openxmlformats.org/officeDocument/2006/relationships/hyperlink" Target="https://www.facebook.com/enablehealthclinic" TargetMode="External" Id="rId1728" /><Relationship Type="http://schemas.openxmlformats.org/officeDocument/2006/relationships/hyperlink" Target="https://www.enablehealthclinic.com.au/" TargetMode="External" Id="rId1729" /><Relationship Type="http://schemas.openxmlformats.org/officeDocument/2006/relationships/hyperlink" Target="https://www.google.com/maps/search/?api=1&amp;query=Enable+Health+Clinic+220+Mount+Glorious+Road+Samford+Valley" TargetMode="External" Id="rId1730" /><Relationship Type="http://schemas.openxmlformats.org/officeDocument/2006/relationships/hyperlink" Target="https://www.instagram.com/feelfitphysio" TargetMode="External" Id="rId1731" /><Relationship Type="http://schemas.openxmlformats.org/officeDocument/2006/relationships/hyperlink" Target="https://www.facebook.com/Feelfit-Physiotherapy-164649066906021" TargetMode="External" Id="rId1732" /><Relationship Type="http://schemas.openxmlformats.org/officeDocument/2006/relationships/hyperlink" Target="https://www.feelfit.com.au/" TargetMode="External" Id="rId1733" /><Relationship Type="http://schemas.openxmlformats.org/officeDocument/2006/relationships/hyperlink" Target="https://www.google.com/maps/search/?api=1&amp;query=Feelfit+Physiotherapy+136+Gympie+Road+Kedron" TargetMode="External" Id="rId1734" /><Relationship Type="http://schemas.openxmlformats.org/officeDocument/2006/relationships/hyperlink" Target="https://www.facebook.com/inlinephysio" TargetMode="External" Id="rId1735" /><Relationship Type="http://schemas.openxmlformats.org/officeDocument/2006/relationships/hyperlink" Target="https://inlinephysio.com.au" TargetMode="External" Id="rId1736" /><Relationship Type="http://schemas.openxmlformats.org/officeDocument/2006/relationships/hyperlink" Target="https://www.google.com/maps/search/?api=1&amp;query=Inline+Physio+6+Main+Street+Samford+Village" TargetMode="External" Id="rId1737" /><Relationship Type="http://schemas.openxmlformats.org/officeDocument/2006/relationships/hyperlink" Target="http://instagram.com/painbegone_brisbane" TargetMode="External" Id="rId1738" /><Relationship Type="http://schemas.openxmlformats.org/officeDocument/2006/relationships/hyperlink" Target="https://www.facebook.com/painbegonebrisbane" TargetMode="External" Id="rId1739" /><Relationship Type="http://schemas.openxmlformats.org/officeDocument/2006/relationships/hyperlink" Target="https://painbegone.com.au/" TargetMode="External" Id="rId1740" /><Relationship Type="http://schemas.openxmlformats.org/officeDocument/2006/relationships/hyperlink" Target="https://www.google.com/maps/search/?api=1&amp;query=Pain+Be+Gone+404A+Samford+Road+Gaythorne" TargetMode="External" Id="rId1741" /><Relationship Type="http://schemas.openxmlformats.org/officeDocument/2006/relationships/hyperlink" Target="https://www.instagram.com/thewellnessteamau" TargetMode="External" Id="rId1742" /><Relationship Type="http://schemas.openxmlformats.org/officeDocument/2006/relationships/hyperlink" Target="https://www.facebook.com/The-Wellness-Team-111804103676374" TargetMode="External" Id="rId1743" /><Relationship Type="http://schemas.openxmlformats.org/officeDocument/2006/relationships/hyperlink" Target="https://thewellnessteam.com.au/" TargetMode="External" Id="rId1744" /><Relationship Type="http://schemas.openxmlformats.org/officeDocument/2006/relationships/hyperlink" Target="https://www.google.com/maps/search/?api=1&amp;query=The+Wellness+Team+1297+Gympie+Road+Aspley" TargetMode="External" Id="rId1745" /><Relationship Type="http://schemas.openxmlformats.org/officeDocument/2006/relationships/hyperlink" Target="https://www.instagram.com/total_health_physiotherapy/" TargetMode="External" Id="rId1746" /><Relationship Type="http://schemas.openxmlformats.org/officeDocument/2006/relationships/hyperlink" Target="https://www.facebook.com/people/Total-Health-Physiotherapy-Kedron/61559653365900/" TargetMode="External" Id="rId1747" /><Relationship Type="http://schemas.openxmlformats.org/officeDocument/2006/relationships/hyperlink" Target="https://totalhealthphysiotherapy.com.au/" TargetMode="External" Id="rId1748" /><Relationship Type="http://schemas.openxmlformats.org/officeDocument/2006/relationships/hyperlink" Target="https://www.google.com/maps/search/?api=1&amp;query=Total+Health+Physiotherapy+278+Gympie+Road+Kedron" TargetMode="External" Id="rId1749" /><Relationship Type="http://schemas.openxmlformats.org/officeDocument/2006/relationships/hyperlink" Target="https://www.instagram.com/wilstonphysiotherapy" TargetMode="External" Id="rId1750" /><Relationship Type="http://schemas.openxmlformats.org/officeDocument/2006/relationships/hyperlink" Target="https://wilstonphysiotherapy.com.au/" TargetMode="External" Id="rId1751" /><Relationship Type="http://schemas.openxmlformats.org/officeDocument/2006/relationships/hyperlink" Target="https://www.google.com/maps/search/?api=1&amp;query=Wilston+Physiotherapy+%26+Massage+209+Days+Road+Grange" TargetMode="External" Id="rId1752" /><Relationship Type="http://schemas.openxmlformats.org/officeDocument/2006/relationships/hyperlink" Target="https://www.instagram.com/atlanstormwater" TargetMode="External" Id="rId1753" /><Relationship Type="http://schemas.openxmlformats.org/officeDocument/2006/relationships/hyperlink" Target="https://www.facebook.com/atlanstormwater" TargetMode="External" Id="rId1754" /><Relationship Type="http://schemas.openxmlformats.org/officeDocument/2006/relationships/hyperlink" Target="https://atlan.com.au/contact/" TargetMode="External" Id="rId1755" /><Relationship Type="http://schemas.openxmlformats.org/officeDocument/2006/relationships/hyperlink" Target="https://www.google.com/maps/search/?api=1&amp;query=Atlan+Stormwater" TargetMode="External" Id="rId1756" /><Relationship Type="http://schemas.openxmlformats.org/officeDocument/2006/relationships/hyperlink" Target="https://instagram.com/bones_accounting" TargetMode="External" Id="rId1757" /><Relationship Type="http://schemas.openxmlformats.org/officeDocument/2006/relationships/hyperlink" Target="https://www.facebook.com/BonesAccounting" TargetMode="External" Id="rId1758" /><Relationship Type="http://schemas.openxmlformats.org/officeDocument/2006/relationships/hyperlink" Target="https://bonesaccounting.com/" TargetMode="External" Id="rId1759" /><Relationship Type="http://schemas.openxmlformats.org/officeDocument/2006/relationships/hyperlink" Target="https://www.google.com/maps/search/?api=1&amp;query=Bones+Accounting+6+Dorsey+Street+Milton" TargetMode="External" Id="rId1760" /><Relationship Type="http://schemas.openxmlformats.org/officeDocument/2006/relationships/hyperlink" Target="https://www.facebook.com/CreaghWeightman" TargetMode="External" Id="rId1761" /><Relationship Type="http://schemas.openxmlformats.org/officeDocument/2006/relationships/hyperlink" Target="https://www.cwl.com.au/" TargetMode="External" Id="rId1762" /><Relationship Type="http://schemas.openxmlformats.org/officeDocument/2006/relationships/hyperlink" Target="https://www.google.com/maps/search/?api=1&amp;query=Creagh+Weightman+Lawyers+200+Mary+Street" TargetMode="External" Id="rId1763" /><Relationship Type="http://schemas.openxmlformats.org/officeDocument/2006/relationships/hyperlink" Target="https://www.facebook.com/hollingworthandspencer" TargetMode="External" Id="rId1764" /><Relationship Type="http://schemas.openxmlformats.org/officeDocument/2006/relationships/hyperlink" Target="http://www.hslawyers.com.au/about/" TargetMode="External" Id="rId1765" /><Relationship Type="http://schemas.openxmlformats.org/officeDocument/2006/relationships/hyperlink" Target="https://www.google.com/maps/search/?api=1&amp;query=Hollingworth+%26+Spencer+Lawyers+8+Mount+Glorious+Road+Samford+Village" TargetMode="External" Id="rId1766" /><Relationship Type="http://schemas.openxmlformats.org/officeDocument/2006/relationships/hyperlink" Target="https://www.facebook.com/IconLegal" TargetMode="External" Id="rId1767" /><Relationship Type="http://schemas.openxmlformats.org/officeDocument/2006/relationships/hyperlink" Target="https://iconlegal.com.au/" TargetMode="External" Id="rId1768" /><Relationship Type="http://schemas.openxmlformats.org/officeDocument/2006/relationships/hyperlink" Target="https://www.google.com/maps/search/?api=1&amp;query=Icon+Legal+204+Oxford+Street+Bulimba" TargetMode="External" Id="rId1769" /><Relationship Type="http://schemas.openxmlformats.org/officeDocument/2006/relationships/hyperlink" Target="https://www.instagram.com/northbrisbanemortgagebrokers/" TargetMode="External" Id="rId1770" /><Relationship Type="http://schemas.openxmlformats.org/officeDocument/2006/relationships/hyperlink" Target="https://www.facebook.com/northbrisbanemortgagebrokers/" TargetMode="External" Id="rId1771" /><Relationship Type="http://schemas.openxmlformats.org/officeDocument/2006/relationships/hyperlink" Target="https://www.northbrisbanemortgagebrokers.com.au/" TargetMode="External" Id="rId1772" /><Relationship Type="http://schemas.openxmlformats.org/officeDocument/2006/relationships/hyperlink" Target="https://www.google.com/maps/search/?api=1&amp;query=North+Brisbane+Mortgage+Brokers+132+Lutwyche+Road" TargetMode="External" Id="rId1773" /><Relationship Type="http://schemas.openxmlformats.org/officeDocument/2006/relationships/hyperlink" Target="https://www.instagram.com/gabbacentralapartments" TargetMode="External" Id="rId1774" /><Relationship Type="http://schemas.openxmlformats.org/officeDocument/2006/relationships/hyperlink" Target="https://www.facebook.com/gabbacentralapartments" TargetMode="External" Id="rId1775" /><Relationship Type="http://schemas.openxmlformats.org/officeDocument/2006/relationships/hyperlink" Target="https://www.gabbacentralapartments.com.au/" TargetMode="External" Id="rId1776" /><Relationship Type="http://schemas.openxmlformats.org/officeDocument/2006/relationships/hyperlink" Target="https://www.google.com/maps/search/?api=1&amp;query=Gabba+Central+Apartments" TargetMode="External" Id="rId1777" /><Relationship Type="http://schemas.openxmlformats.org/officeDocument/2006/relationships/hyperlink" Target="https://www.instagram.com/hivestudentaccomm" TargetMode="External" Id="rId1778" /><Relationship Type="http://schemas.openxmlformats.org/officeDocument/2006/relationships/hyperlink" Target="https://www.facebook.com/hivestudentaccommodation" TargetMode="External" Id="rId1779" /><Relationship Type="http://schemas.openxmlformats.org/officeDocument/2006/relationships/hyperlink" Target="https://www.hivepropertygroup.com/" TargetMode="External" Id="rId1780" /><Relationship Type="http://schemas.openxmlformats.org/officeDocument/2006/relationships/hyperlink" Target="https://www.google.com/maps/search/?api=1&amp;query=Hive+Student+Accommodation+169+Kelvin+Grove+Road+Kelvin+Grove" TargetMode="External" Id="rId1781" /><Relationship Type="http://schemas.openxmlformats.org/officeDocument/2006/relationships/hyperlink" Target="https://www.instagram.com/mslpropertygroup" TargetMode="External" Id="rId1782" /><Relationship Type="http://schemas.openxmlformats.org/officeDocument/2006/relationships/hyperlink" Target="https://www.facebook.com/mslpropertygroup" TargetMode="External" Id="rId1783" /><Relationship Type="http://schemas.openxmlformats.org/officeDocument/2006/relationships/hyperlink" Target="https://www.mslpropertygroup.com.au/" TargetMode="External" Id="rId1784" /><Relationship Type="http://schemas.openxmlformats.org/officeDocument/2006/relationships/hyperlink" Target="https://www.google.com/maps/search/?api=1&amp;query=MSL+Project+Sales" TargetMode="External" Id="rId1785" /><Relationship Type="http://schemas.openxmlformats.org/officeDocument/2006/relationships/hyperlink" Target="https://www.instagram.com/ngu_real_estate" TargetMode="External" Id="rId1786" /><Relationship Type="http://schemas.openxmlformats.org/officeDocument/2006/relationships/hyperlink" Target="https://www.facebook.com/ngurealestate" TargetMode="External" Id="rId1787" /><Relationship Type="http://schemas.openxmlformats.org/officeDocument/2006/relationships/hyperlink" Target="http://ngusouthwest.com.au/" TargetMode="External" Id="rId1788" /><Relationship Type="http://schemas.openxmlformats.org/officeDocument/2006/relationships/hyperlink" Target="https://www.google.com/maps/search/?api=1&amp;query=NGU+Real+Estate+86+Curragundi+Road+Jindalee" TargetMode="External" Id="rId1789" /><Relationship Type="http://schemas.openxmlformats.org/officeDocument/2006/relationships/hyperlink" Target="https://www.instagram.com/piccoloproperty" TargetMode="External" Id="rId1790" /><Relationship Type="http://schemas.openxmlformats.org/officeDocument/2006/relationships/hyperlink" Target="https://www.facebook.com/piccoloproperty.brisbane" TargetMode="External" Id="rId1791" /><Relationship Type="http://schemas.openxmlformats.org/officeDocument/2006/relationships/hyperlink" Target="https://piccoloproperty.com.au/" TargetMode="External" Id="rId1792" /><Relationship Type="http://schemas.openxmlformats.org/officeDocument/2006/relationships/hyperlink" Target="https://www.google.com/maps/search/?api=1&amp;query=Piccolo+Property+17+Allen+Street+Hamilton" TargetMode="External" Id="rId1793" /><Relationship Type="http://schemas.openxmlformats.org/officeDocument/2006/relationships/hyperlink" Target="https://www.instagram.com/pinnaclepropertiesqld" TargetMode="External" Id="rId1794" /><Relationship Type="http://schemas.openxmlformats.org/officeDocument/2006/relationships/hyperlink" Target="https://www.facebook.com/PinnaclePropertiesQldPtyLtd" TargetMode="External" Id="rId1795" /><Relationship Type="http://schemas.openxmlformats.org/officeDocument/2006/relationships/hyperlink" Target="https://www.pinnacleproperties.com.au/" TargetMode="External" Id="rId1796" /><Relationship Type="http://schemas.openxmlformats.org/officeDocument/2006/relationships/hyperlink" Target="https://www.google.com/maps/search/?api=1&amp;query=Pinnacle+Properties+191+Wardell+Street+Enoggera" TargetMode="External" Id="rId1797" /><Relationship Type="http://schemas.openxmlformats.org/officeDocument/2006/relationships/hyperlink" Target="https://www.instagram.com/professionals_real_estate" TargetMode="External" Id="rId1798" /><Relationship Type="http://schemas.openxmlformats.org/officeDocument/2006/relationships/hyperlink" Target="https://www.facebook.com/ProfessionalsAus" TargetMode="External" Id="rId1799" /><Relationship Type="http://schemas.openxmlformats.org/officeDocument/2006/relationships/hyperlink" Target="https://www.professionals.com.au/redcliffe/?order_by=id&amp;order=asc" TargetMode="External" Id="rId1800" /><Relationship Type="http://schemas.openxmlformats.org/officeDocument/2006/relationships/hyperlink" Target="https://www.google.com/maps/search/?api=1&amp;query=Professionals" TargetMode="External" Id="rId1801" /><Relationship Type="http://schemas.openxmlformats.org/officeDocument/2006/relationships/hyperlink" Target="https://www.instagram.com/5dogshotdogs" TargetMode="External" Id="rId1802" /><Relationship Type="http://schemas.openxmlformats.org/officeDocument/2006/relationships/hyperlink" Target="https://www.facebook.com/5dogsaustralia" TargetMode="External" Id="rId1803" /><Relationship Type="http://schemas.openxmlformats.org/officeDocument/2006/relationships/hyperlink" Target="https://www.5dogs.com.au/" TargetMode="External" Id="rId1804" /><Relationship Type="http://schemas.openxmlformats.org/officeDocument/2006/relationships/hyperlink" Target="https://www.google.com/maps/search/?api=1&amp;query=5+Dogs+690+Brunswick+Street+Fortitude+Valley" TargetMode="External" Id="rId1805" /><Relationship Type="http://schemas.openxmlformats.org/officeDocument/2006/relationships/hyperlink" Target="https://www.facebook.com/amazingthai" TargetMode="External" Id="rId1806" /><Relationship Type="http://schemas.openxmlformats.org/officeDocument/2006/relationships/hyperlink" Target="https://www.amazingthai.com.au/" TargetMode="External" Id="rId1807" /><Relationship Type="http://schemas.openxmlformats.org/officeDocument/2006/relationships/hyperlink" Target="https://www.google.com/maps/search/?api=1&amp;query=Amazing+Thai+Brisbane+6+Gaythorne+Road+Gaythorne" TargetMode="External" Id="rId1808" /><Relationship Type="http://schemas.openxmlformats.org/officeDocument/2006/relationships/hyperlink" Target="https://www.instagram.com/antica.wilston" TargetMode="External" Id="rId1809" /><Relationship Type="http://schemas.openxmlformats.org/officeDocument/2006/relationships/hyperlink" Target="http://www.facebook.com/Antica.Wilston" TargetMode="External" Id="rId1810" /><Relationship Type="http://schemas.openxmlformats.org/officeDocument/2006/relationships/hyperlink" Target="https://www.anticapizzeria.net.au/" TargetMode="External" Id="rId1811" /><Relationship Type="http://schemas.openxmlformats.org/officeDocument/2006/relationships/hyperlink" Target="https://www.google.com/maps/search/?api=1&amp;query=Antica+70+Kedron+Brook+Road" TargetMode="External" Id="rId1812" /><Relationship Type="http://schemas.openxmlformats.org/officeDocument/2006/relationships/hyperlink" Target="https://www.instagram.com/aztecabrisbane" TargetMode="External" Id="rId1813" /><Relationship Type="http://schemas.openxmlformats.org/officeDocument/2006/relationships/hyperlink" Target="https://azteca.com.au/" TargetMode="External" Id="rId1814" /><Relationship Type="http://schemas.openxmlformats.org/officeDocument/2006/relationships/hyperlink" Target="https://www.google.com/maps/search/?api=1&amp;query=Azteca+Brisbane+33+William+Street" TargetMode="External" Id="rId1815" /><Relationship Type="http://schemas.openxmlformats.org/officeDocument/2006/relationships/hyperlink" Target="https://www.instagram.com/banhmifactory" TargetMode="External" Id="rId1816" /><Relationship Type="http://schemas.openxmlformats.org/officeDocument/2006/relationships/hyperlink" Target="https://www.facebook.com/banhmifactory" TargetMode="External" Id="rId1817" /><Relationship Type="http://schemas.openxmlformats.org/officeDocument/2006/relationships/hyperlink" Target="https://www.banhmifactory.com.au/" TargetMode="External" Id="rId1818" /><Relationship Type="http://schemas.openxmlformats.org/officeDocument/2006/relationships/hyperlink" Target="https://www.google.com/maps/search/?api=1&amp;query=Banh+Mi+10+Austin+Austin+Street+Newstead" TargetMode="External" Id="rId1819" /><Relationship Type="http://schemas.openxmlformats.org/officeDocument/2006/relationships/hyperlink" Target="https://www.instagram.com/banhmifactory" TargetMode="External" Id="rId1820" /><Relationship Type="http://schemas.openxmlformats.org/officeDocument/2006/relationships/hyperlink" Target="https://www.facebook.com/banhmifactory" TargetMode="External" Id="rId1821" /><Relationship Type="http://schemas.openxmlformats.org/officeDocument/2006/relationships/hyperlink" Target="https://www.banhmifactory.com.au/" TargetMode="External" Id="rId1822" /><Relationship Type="http://schemas.openxmlformats.org/officeDocument/2006/relationships/hyperlink" Target="https://www.google.com/maps/search/?api=1&amp;query=Banh+Mi+Factory+10+Austin+Street+Newstead" TargetMode="External" Id="rId1823" /><Relationship Type="http://schemas.openxmlformats.org/officeDocument/2006/relationships/hyperlink" Target="https://instagram.com/burritobar_" TargetMode="External" Id="rId1824" /><Relationship Type="http://schemas.openxmlformats.org/officeDocument/2006/relationships/hyperlink" Target="https://www.facebook.com/TheBurritoBar" TargetMode="External" Id="rId1825" /><Relationship Type="http://schemas.openxmlformats.org/officeDocument/2006/relationships/hyperlink" Target="http://theburritobar.com.au" TargetMode="External" Id="rId1826" /><Relationship Type="http://schemas.openxmlformats.org/officeDocument/2006/relationships/hyperlink" Target="https://www.google.com/maps/search/?api=1&amp;query=Burrito+Bar+170+Leichhardt+Street" TargetMode="External" Id="rId1827" /><Relationship Type="http://schemas.openxmlformats.org/officeDocument/2006/relationships/hyperlink" Target="https://www.instagram.com/carteldeltacobrisbane" TargetMode="External" Id="rId1828" /><Relationship Type="http://schemas.openxmlformats.org/officeDocument/2006/relationships/hyperlink" Target="https://www.facebook.com/carteldeltacobrisbane" TargetMode="External" Id="rId1829" /><Relationship Type="http://schemas.openxmlformats.org/officeDocument/2006/relationships/hyperlink" Target="https://carteldeltaco.com.au/" TargetMode="External" Id="rId1830" /><Relationship Type="http://schemas.openxmlformats.org/officeDocument/2006/relationships/hyperlink" Target="https://www.google.com/maps/search/?api=1&amp;query=Cartel+del+Taco+79+Merthyr+Road" TargetMode="External" Id="rId1831" /><Relationship Type="http://schemas.openxmlformats.org/officeDocument/2006/relationships/hyperlink" Target="https://www.instagram.com/chuthephat_bris" TargetMode="External" Id="rId1832" /><Relationship Type="http://schemas.openxmlformats.org/officeDocument/2006/relationships/hyperlink" Target="https://www.facebook.com/ChuthePhat" TargetMode="External" Id="rId1833" /><Relationship Type="http://schemas.openxmlformats.org/officeDocument/2006/relationships/hyperlink" Target="https://chuthephat.com.au/" TargetMode="External" Id="rId1834" /><Relationship Type="http://schemas.openxmlformats.org/officeDocument/2006/relationships/hyperlink" Target="https://www.google.com/maps/search/?api=1&amp;query=Chu+the+Phat+109+Melbourne+Street+South+Brisbane" TargetMode="External" Id="rId1835" /><Relationship Type="http://schemas.openxmlformats.org/officeDocument/2006/relationships/hyperlink" Target="https://www.instagram.com/costasseafood" TargetMode="External" Id="rId1836" /><Relationship Type="http://schemas.openxmlformats.org/officeDocument/2006/relationships/hyperlink" Target="https://www.facebook.com/costasseafood" TargetMode="External" Id="rId1837" /><Relationship Type="http://schemas.openxmlformats.org/officeDocument/2006/relationships/hyperlink" Target="https://www.costasseafood.com.au/" TargetMode="External" Id="rId1838" /><Relationship Type="http://schemas.openxmlformats.org/officeDocument/2006/relationships/hyperlink" Target="https://www.google.com/maps/search/?api=1&amp;query=Costa%27s+Seafood+Cafe+108+Old+Cleveland+Road" TargetMode="External" Id="rId1839" /><Relationship Type="http://schemas.openxmlformats.org/officeDocument/2006/relationships/hyperlink" Target="https://www.instagram.com/davidsmasterpotqld" TargetMode="External" Id="rId1840" /><Relationship Type="http://schemas.openxmlformats.org/officeDocument/2006/relationships/hyperlink" Target="https://www.facebook.com/103381278317726" TargetMode="External" Id="rId1841" /><Relationship Type="http://schemas.openxmlformats.org/officeDocument/2006/relationships/hyperlink" Target="https://www.davidsmasterpot.com.au/" TargetMode="External" Id="rId1842" /><Relationship Type="http://schemas.openxmlformats.org/officeDocument/2006/relationships/hyperlink" Target="https://www.google.com/maps/search/?api=1&amp;query=David%27s+Master+Pot+%E5%A4%A7%E5%91%B3%E9%BA%BB%E8%BE%A3%E7%83%AB%28Brisbane+One-+QLD%29+-+Malatang%2C+hotpot+1+Cordelia+Street" TargetMode="External" Id="rId1843" /><Relationship Type="http://schemas.openxmlformats.org/officeDocument/2006/relationships/hyperlink" Target="https://www.instagram.com/dosahutau" TargetMode="External" Id="rId1844" /><Relationship Type="http://schemas.openxmlformats.org/officeDocument/2006/relationships/hyperlink" Target="https://www.facebook.com/dosahutofficial" TargetMode="External" Id="rId1845" /><Relationship Type="http://schemas.openxmlformats.org/officeDocument/2006/relationships/hyperlink" Target="https://www.dosahut.net.au/indian-restaurant-stafford/" TargetMode="External" Id="rId1846" /><Relationship Type="http://schemas.openxmlformats.org/officeDocument/2006/relationships/hyperlink" Target="https://www.google.com/maps/search/?api=1&amp;query=Dosa+Hut+Indian+Multi+Cuisine+240+Stafford+Road+Stafford" TargetMode="External" Id="rId1847" /><Relationship Type="http://schemas.openxmlformats.org/officeDocument/2006/relationships/hyperlink" Target="https://www.instagram.com/icarusmygreek" TargetMode="External" Id="rId1848" /><Relationship Type="http://schemas.openxmlformats.org/officeDocument/2006/relationships/hyperlink" Target="https://www.facebook.com/icarusmygreek" TargetMode="External" Id="rId1849" /><Relationship Type="http://schemas.openxmlformats.org/officeDocument/2006/relationships/hyperlink" Target="https://icarusrestaurant.com.au" TargetMode="External" Id="rId1850" /><Relationship Type="http://schemas.openxmlformats.org/officeDocument/2006/relationships/hyperlink" Target="https://www.google.com/maps/search/?api=1&amp;query=Icarus+235+Sinnamon+Road+Jindalee" TargetMode="External" Id="rId1851" /><Relationship Type="http://schemas.openxmlformats.org/officeDocument/2006/relationships/hyperlink" Target="https://www.instagram.com/illagomangohill" TargetMode="External" Id="rId1852" /><Relationship Type="http://schemas.openxmlformats.org/officeDocument/2006/relationships/hyperlink" Target="https://www.facebook.com/illagomangohill" TargetMode="External" Id="rId1853" /><Relationship Type="http://schemas.openxmlformats.org/officeDocument/2006/relationships/hyperlink" Target="https://www.illago.au/" TargetMode="External" Id="rId1854" /><Relationship Type="http://schemas.openxmlformats.org/officeDocument/2006/relationships/hyperlink" Target="https://www.google.com/maps/search/?api=1&amp;query=Il+Lago+Italian" TargetMode="External" Id="rId1855" /><Relationship Type="http://schemas.openxmlformats.org/officeDocument/2006/relationships/hyperlink" Target="https://www.instagram.com/lanternlotus" TargetMode="External" Id="rId1856" /><Relationship Type="http://schemas.openxmlformats.org/officeDocument/2006/relationships/hyperlink" Target="https://www.lanternlotus.com.au/" TargetMode="External" Id="rId1857" /><Relationship Type="http://schemas.openxmlformats.org/officeDocument/2006/relationships/hyperlink" Target="https://www.google.com/maps/search/?api=1&amp;query=Lantern+%26+Lotus+321+Montague+Road" TargetMode="External" Id="rId1858" /><Relationship Type="http://schemas.openxmlformats.org/officeDocument/2006/relationships/hyperlink" Target="https://www.instagram.com/lemakexpress" TargetMode="External" Id="rId1859" /><Relationship Type="http://schemas.openxmlformats.org/officeDocument/2006/relationships/hyperlink" Target="https://www.facebook.com/2350099321672846" TargetMode="External" Id="rId1860" /><Relationship Type="http://schemas.openxmlformats.org/officeDocument/2006/relationships/hyperlink" Target="https://lemak.com.au/" TargetMode="External" Id="rId1861" /><Relationship Type="http://schemas.openxmlformats.org/officeDocument/2006/relationships/hyperlink" Target="https://www.google.com/maps/search/?api=1&amp;query=Lemak+53+Lytton+Road" TargetMode="External" Id="rId1862" /><Relationship Type="http://schemas.openxmlformats.org/officeDocument/2006/relationships/hyperlink" Target="https://www.instagram.com/lemakexpress" TargetMode="External" Id="rId1863" /><Relationship Type="http://schemas.openxmlformats.org/officeDocument/2006/relationships/hyperlink" Target="https://www.facebook.com/2350099321672846" TargetMode="External" Id="rId1864" /><Relationship Type="http://schemas.openxmlformats.org/officeDocument/2006/relationships/hyperlink" Target="https://lemak.com.au/" TargetMode="External" Id="rId1865" /><Relationship Type="http://schemas.openxmlformats.org/officeDocument/2006/relationships/hyperlink" Target="https://www.google.com/maps/search/?api=1&amp;query=Lemark" TargetMode="External" Id="rId1866" /><Relationship Type="http://schemas.openxmlformats.org/officeDocument/2006/relationships/hyperlink" Target="https://www.instagram.com/tasteofshanghai" TargetMode="External" Id="rId1867" /><Relationship Type="http://schemas.openxmlformats.org/officeDocument/2006/relationships/hyperlink" Target="https://www.facebook.com/tasteofshanghaiaus" TargetMode="External" Id="rId1868" /><Relationship Type="http://schemas.openxmlformats.org/officeDocument/2006/relationships/hyperlink" Target="https://tasteofshanghai.com.au/lilong-2/" TargetMode="External" Id="rId1869" /><Relationship Type="http://schemas.openxmlformats.org/officeDocument/2006/relationships/hyperlink" Target="https://www.google.com/maps/search/?api=1&amp;query=Lilong+West+End+79+Boundary+Street" TargetMode="External" Id="rId1870" /><Relationship Type="http://schemas.openxmlformats.org/officeDocument/2006/relationships/hyperlink" Target="https://www.instagram.com/littlereddumpling" TargetMode="External" Id="rId1871" /><Relationship Type="http://schemas.openxmlformats.org/officeDocument/2006/relationships/hyperlink" Target="https://www.facebook.com/LittleRedDumpling" TargetMode="External" Id="rId1872" /><Relationship Type="http://schemas.openxmlformats.org/officeDocument/2006/relationships/hyperlink" Target="https://www.littlereddumpling.com.au/" TargetMode="External" Id="rId1873" /><Relationship Type="http://schemas.openxmlformats.org/officeDocument/2006/relationships/hyperlink" Target="https://www.google.com/maps/search/?api=1&amp;query=Little+Red+Dumpling" TargetMode="External" Id="rId1874" /><Relationship Type="http://schemas.openxmlformats.org/officeDocument/2006/relationships/hyperlink" Target="https://www.instagram.com/maltdining" TargetMode="External" Id="rId1875" /><Relationship Type="http://schemas.openxmlformats.org/officeDocument/2006/relationships/hyperlink" Target="https://www.facebook.com/maltdining" TargetMode="External" Id="rId1876" /><Relationship Type="http://schemas.openxmlformats.org/officeDocument/2006/relationships/hyperlink" Target="https://www.maltdining.com.au/" TargetMode="External" Id="rId1877" /><Relationship Type="http://schemas.openxmlformats.org/officeDocument/2006/relationships/hyperlink" Target="https://www.google.com/maps/search/?api=1&amp;query=Malt+Dining+28+Market+Street" TargetMode="External" Id="rId1878" /><Relationship Type="http://schemas.openxmlformats.org/officeDocument/2006/relationships/hyperlink" Target="https://www.instagram.com/marlowebne" TargetMode="External" Id="rId1879" /><Relationship Type="http://schemas.openxmlformats.org/officeDocument/2006/relationships/hyperlink" Target="https://www.facebook.com/friendsoffriendsgroup" TargetMode="External" Id="rId1880" /><Relationship Type="http://schemas.openxmlformats.org/officeDocument/2006/relationships/hyperlink" Target="https://www.marlowebne.com.au/" TargetMode="External" Id="rId1881" /><Relationship Type="http://schemas.openxmlformats.org/officeDocument/2006/relationships/hyperlink" Target="https://www.google.com/maps/search/?api=1&amp;query=Marlowe+Restaurant+105+Melbourne+Street" TargetMode="External" Id="rId1882" /><Relationship Type="http://schemas.openxmlformats.org/officeDocument/2006/relationships/hyperlink" Target="http://www.facebook.com/pages/Maru-Korean-Restaurant/170697606348616" TargetMode="External" Id="rId1883" /><Relationship Type="http://schemas.openxmlformats.org/officeDocument/2006/relationships/hyperlink" Target="https://marukoreanbbq.weebly.com/" TargetMode="External" Id="rId1884" /><Relationship Type="http://schemas.openxmlformats.org/officeDocument/2006/relationships/hyperlink" Target="https://www.google.com/maps/search/?api=1&amp;query=Maru+157+Elizabeth+Street" TargetMode="External" Id="rId1885" /><Relationship Type="http://schemas.openxmlformats.org/officeDocument/2006/relationships/hyperlink" Target="https://www.instagram.com/mono.dining" TargetMode="External" Id="rId1886" /><Relationship Type="http://schemas.openxmlformats.org/officeDocument/2006/relationships/hyperlink" Target="https://www.facebook.com/wix" TargetMode="External" Id="rId1887" /><Relationship Type="http://schemas.openxmlformats.org/officeDocument/2006/relationships/hyperlink" Target="https://www.monodining.com.au/" TargetMode="External" Id="rId1888" /><Relationship Type="http://schemas.openxmlformats.org/officeDocument/2006/relationships/hyperlink" Target="https://www.google.com/maps/search/?api=1&amp;query=Mono+Dining+55+Railway+Terrace+Milton" TargetMode="External" Id="rId1889" /><Relationship Type="http://schemas.openxmlformats.org/officeDocument/2006/relationships/hyperlink" Target="https://www.instagram.com/newfarmseafoodmarket" TargetMode="External" Id="rId1890" /><Relationship Type="http://schemas.openxmlformats.org/officeDocument/2006/relationships/hyperlink" Target="https://www.facebook.com/newfarmseafoodmarket" TargetMode="External" Id="rId1891" /><Relationship Type="http://schemas.openxmlformats.org/officeDocument/2006/relationships/hyperlink" Target="http://newfarmseafood.com.au/kitchen" TargetMode="External" Id="rId1892" /><Relationship Type="http://schemas.openxmlformats.org/officeDocument/2006/relationships/hyperlink" Target="https://www.google.com/maps/search/?api=1&amp;query=New+Farm+Seafood+85+Merthyr+Road" TargetMode="External" Id="rId1893" /><Relationship Type="http://schemas.openxmlformats.org/officeDocument/2006/relationships/hyperlink" Target="https://www.instagram.com/ofanospizza" TargetMode="External" Id="rId1894" /><Relationship Type="http://schemas.openxmlformats.org/officeDocument/2006/relationships/hyperlink" Target="https://www.facebook.com/profile.php" TargetMode="External" Id="rId1895" /><Relationship Type="http://schemas.openxmlformats.org/officeDocument/2006/relationships/hyperlink" Target="https://ofanospizza.com.au/" TargetMode="External" Id="rId1896" /><Relationship Type="http://schemas.openxmlformats.org/officeDocument/2006/relationships/hyperlink" Target="https://www.google.com/maps/search/?api=1&amp;query=Offano%27s+Pizza+18+Aminya+Street+Mansfield" TargetMode="External" Id="rId1897" /><Relationship Type="http://schemas.openxmlformats.org/officeDocument/2006/relationships/hyperlink" Target="https://www.instagram.com/ottobrisbane" TargetMode="External" Id="rId1898" /><Relationship Type="http://schemas.openxmlformats.org/officeDocument/2006/relationships/hyperlink" Target="https://www.facebook.com/ottoristorantebrisbane" TargetMode="External" Id="rId1899" /><Relationship Type="http://schemas.openxmlformats.org/officeDocument/2006/relationships/hyperlink" Target="https://ottoristorante.com.au/brisbane/" TargetMode="External" Id="rId1900" /><Relationship Type="http://schemas.openxmlformats.org/officeDocument/2006/relationships/hyperlink" Target="https://www.google.com/maps/search/?api=1&amp;query=Otto+Osteria" TargetMode="External" Id="rId1901" /><Relationship Type="http://schemas.openxmlformats.org/officeDocument/2006/relationships/hyperlink" Target="https://www.instagram.com/ottobrisbane" TargetMode="External" Id="rId1902" /><Relationship Type="http://schemas.openxmlformats.org/officeDocument/2006/relationships/hyperlink" Target="https://www.facebook.com/ottoristorantebrisbane" TargetMode="External" Id="rId1903" /><Relationship Type="http://schemas.openxmlformats.org/officeDocument/2006/relationships/hyperlink" Target="https://ottoristorante.com.au/brisbane" TargetMode="External" Id="rId1904" /><Relationship Type="http://schemas.openxmlformats.org/officeDocument/2006/relationships/hyperlink" Target="https://www.google.com/maps/search/?api=1&amp;query=Otto+Ristorante+Stanley+Street" TargetMode="External" Id="rId1905" /><Relationship Type="http://schemas.openxmlformats.org/officeDocument/2006/relationships/hyperlink" Target="https://www.instagram.com/pappadamscapestone" TargetMode="External" Id="rId1906" /><Relationship Type="http://schemas.openxmlformats.org/officeDocument/2006/relationships/hyperlink" Target="https://www.facebook.com/Pappadams-113401011126327" TargetMode="External" Id="rId1907" /><Relationship Type="http://schemas.openxmlformats.org/officeDocument/2006/relationships/hyperlink" Target="https://www.pappadams.com.au/" TargetMode="External" Id="rId1908" /><Relationship Type="http://schemas.openxmlformats.org/officeDocument/2006/relationships/hyperlink" Target="https://www.google.com/maps/search/?api=1&amp;query=Pappadams+Indian+Restaurant" TargetMode="External" Id="rId1909" /><Relationship Type="http://schemas.openxmlformats.org/officeDocument/2006/relationships/hyperlink" Target="https://www.facebook.com/petrichorcoffee" TargetMode="External" Id="rId1910" /><Relationship Type="http://schemas.openxmlformats.org/officeDocument/2006/relationships/hyperlink" Target="https://petrichorandco.com/" TargetMode="External" Id="rId1911" /><Relationship Type="http://schemas.openxmlformats.org/officeDocument/2006/relationships/hyperlink" Target="https://www.google.com/maps/search/?api=1&amp;query=Petrichor+%26+Co+33+Racecourse+Road+Hamilton" TargetMode="External" Id="rId1912" /><Relationship Type="http://schemas.openxmlformats.org/officeDocument/2006/relationships/hyperlink" Target="https://www.instagram.com/plentywestend/" TargetMode="External" Id="rId1913" /><Relationship Type="http://schemas.openxmlformats.org/officeDocument/2006/relationships/hyperlink" Target="https://www.facebook.com/plentywestend/" TargetMode="External" Id="rId1914" /><Relationship Type="http://schemas.openxmlformats.org/officeDocument/2006/relationships/hyperlink" Target="https://plentywestend.com" TargetMode="External" Id="rId1915" /><Relationship Type="http://schemas.openxmlformats.org/officeDocument/2006/relationships/hyperlink" Target="https://www.google.com/maps/search/?api=1&amp;query=Plenty+284+Montague+Road+West+End" TargetMode="External" Id="rId1916" /><Relationship Type="http://schemas.openxmlformats.org/officeDocument/2006/relationships/hyperlink" Target="https://www.instagram.com/pompokoramen" TargetMode="External" Id="rId1917" /><Relationship Type="http://schemas.openxmlformats.org/officeDocument/2006/relationships/hyperlink" Target="https://www.facebook.com/profile.php" TargetMode="External" Id="rId1918" /><Relationship Type="http://schemas.openxmlformats.org/officeDocument/2006/relationships/hyperlink" Target="https://www.pompokoramen.com.au/" TargetMode="External" Id="rId1919" /><Relationship Type="http://schemas.openxmlformats.org/officeDocument/2006/relationships/hyperlink" Target="https://www.google.com/maps/search/?api=1&amp;query=Pompoko+Ramen+%C2%A014-20+Eva+Street" TargetMode="External" Id="rId1920" /><Relationship Type="http://schemas.openxmlformats.org/officeDocument/2006/relationships/hyperlink" Target="https://www.facebook.com/punjabcurryclubwellingtonpoint/" TargetMode="External" Id="rId1921" /><Relationship Type="http://schemas.openxmlformats.org/officeDocument/2006/relationships/hyperlink" Target="https://punjabcurryclub.com.au/" TargetMode="External" Id="rId1922" /><Relationship Type="http://schemas.openxmlformats.org/officeDocument/2006/relationships/hyperlink" Target="https://www.google.com/maps/search/?api=1&amp;query=Punjab+Curry+Club+391+Main+Road+Wellington+Point" TargetMode="External" Id="rId1923" /><Relationship Type="http://schemas.openxmlformats.org/officeDocument/2006/relationships/hyperlink" Target="https://www.instagram.com/rashays" TargetMode="External" Id="rId1924" /><Relationship Type="http://schemas.openxmlformats.org/officeDocument/2006/relationships/hyperlink" Target="https://www.facebook.com/rashayscasualdining" TargetMode="External" Id="rId1925" /><Relationship Type="http://schemas.openxmlformats.org/officeDocument/2006/relationships/hyperlink" Target="https://rashays.com/find-us/restaurants/underwood/" TargetMode="External" Id="rId1926" /><Relationship Type="http://schemas.openxmlformats.org/officeDocument/2006/relationships/hyperlink" Target="https://www.google.com/maps/search/?api=1&amp;query=Rashays+Underwood" TargetMode="External" Id="rId1927" /><Relationship Type="http://schemas.openxmlformats.org/officeDocument/2006/relationships/hyperlink" Target="https://www.instagram.com/redlandssportingclub" TargetMode="External" Id="rId1928" /><Relationship Type="http://schemas.openxmlformats.org/officeDocument/2006/relationships/hyperlink" Target="https://www.facebook.com/RedlandsBocce" TargetMode="External" Id="rId1929" /><Relationship Type="http://schemas.openxmlformats.org/officeDocument/2006/relationships/hyperlink" Target="https://www.redlandssportingclub.com.au/" TargetMode="External" Id="rId1930" /><Relationship Type="http://schemas.openxmlformats.org/officeDocument/2006/relationships/hyperlink" Target="https://www.google.com/maps/search/?api=1&amp;query=Redlands+Sporting+Club+Anson+Road" TargetMode="External" Id="rId1931" /><Relationship Type="http://schemas.openxmlformats.org/officeDocument/2006/relationships/hyperlink" Target="https://www.instagram.com/tartufo_brisbane" TargetMode="External" Id="rId1932" /><Relationship Type="http://schemas.openxmlformats.org/officeDocument/2006/relationships/hyperlink" Target="https://www.facebook.com/tartufobrisbane" TargetMode="External" Id="rId1933" /><Relationship Type="http://schemas.openxmlformats.org/officeDocument/2006/relationships/hyperlink" Target="https://tartufo.com.au/" TargetMode="External" Id="rId1934" /><Relationship Type="http://schemas.openxmlformats.org/officeDocument/2006/relationships/hyperlink" Target="https://www.google.com/maps/search/?api=1&amp;query=Ristorante+Tartufo+1000+Ann+Street" TargetMode="External" Id="rId1935" /><Relationship Type="http://schemas.openxmlformats.org/officeDocument/2006/relationships/hyperlink" Target="https://www.instagram.com/seoulbistroau" TargetMode="External" Id="rId1936" /><Relationship Type="http://schemas.openxmlformats.org/officeDocument/2006/relationships/hyperlink" Target="https://www.facebook.com/seoul.bistro.australia" TargetMode="External" Id="rId1937" /><Relationship Type="http://schemas.openxmlformats.org/officeDocument/2006/relationships/hyperlink" Target="https://seoulbistro.com.au/" TargetMode="External" Id="rId1938" /><Relationship Type="http://schemas.openxmlformats.org/officeDocument/2006/relationships/hyperlink" Target="https://www.google.com/maps/search/?api=1&amp;query=Seoul+Bistro+158+Station+Road" TargetMode="External" Id="rId1939" /><Relationship Type="http://schemas.openxmlformats.org/officeDocument/2006/relationships/hyperlink" Target="https://www.instagram.com/smokeymoobrisbane" TargetMode="External" Id="rId1940" /><Relationship Type="http://schemas.openxmlformats.org/officeDocument/2006/relationships/hyperlink" Target="https://www.facebook.com/Smokeymoobrisbane" TargetMode="External" Id="rId1941" /><Relationship Type="http://schemas.openxmlformats.org/officeDocument/2006/relationships/hyperlink" Target="https://smokeymoo.com.au/" TargetMode="External" Id="rId1942" /><Relationship Type="http://schemas.openxmlformats.org/officeDocument/2006/relationships/hyperlink" Target="https://www.google.com/maps/search/?api=1&amp;query=Smokey+Moo+68+Longland+Street" TargetMode="External" Id="rId1943" /><Relationship Type="http://schemas.openxmlformats.org/officeDocument/2006/relationships/hyperlink" Target="http://instagram.com/indimex_brisbane" TargetMode="External" Id="rId1944" /><Relationship Type="http://schemas.openxmlformats.org/officeDocument/2006/relationships/hyperlink" Target="https://www.facebook.com/Indimex.Aus" TargetMode="External" Id="rId1945" /><Relationship Type="http://schemas.openxmlformats.org/officeDocument/2006/relationships/hyperlink" Target="https://www.indimex.com.au" TargetMode="External" Id="rId1946" /><Relationship Type="http://schemas.openxmlformats.org/officeDocument/2006/relationships/hyperlink" Target="https://www.google.com/maps/search/?api=1&amp;query=Soo+Delhi+401+Logan+Road+Stones+Corner" TargetMode="External" Id="rId1947" /><Relationship Type="http://schemas.openxmlformats.org/officeDocument/2006/relationships/hyperlink" Target="https://www.instagram.com/southside_restaurant/" TargetMode="External" Id="rId1948" /><Relationship Type="http://schemas.openxmlformats.org/officeDocument/2006/relationships/hyperlink" Target="https://www.facebook.com/friendsoffriendsgroup" TargetMode="External" Id="rId1949" /><Relationship Type="http://schemas.openxmlformats.org/officeDocument/2006/relationships/hyperlink" Target="https://www.southside-restaurant.com.au/" TargetMode="External" Id="rId1950" /><Relationship Type="http://schemas.openxmlformats.org/officeDocument/2006/relationships/hyperlink" Target="https://www.google.com/maps/search/?api=1&amp;query=Southside+Restaurant+63+Melbourne+Street+South+Brisbane" TargetMode="External" Id="rId1951" /><Relationship Type="http://schemas.openxmlformats.org/officeDocument/2006/relationships/hyperlink" Target="https://www.instagram.com/sugo_tu_pizza" TargetMode="External" Id="rId1952" /><Relationship Type="http://schemas.openxmlformats.org/officeDocument/2006/relationships/hyperlink" Target="https://www.facebook.com/sugotupizza" TargetMode="External" Id="rId1953" /><Relationship Type="http://schemas.openxmlformats.org/officeDocument/2006/relationships/hyperlink" Target="http://www.sugomi.com.au/" TargetMode="External" Id="rId1954" /><Relationship Type="http://schemas.openxmlformats.org/officeDocument/2006/relationships/hyperlink" Target="https://www.google.com/maps/search/?api=1&amp;query=Sugo+Mi+190+Oxford+Street+Bulimba" TargetMode="External" Id="rId1955" /><Relationship Type="http://schemas.openxmlformats.org/officeDocument/2006/relationships/hyperlink" Target="https://www.facebook.com/pages/Sushi-Kotobuki/157072508488" TargetMode="External" Id="rId1956" /><Relationship Type="http://schemas.openxmlformats.org/officeDocument/2006/relationships/hyperlink" Target="https://sushikotobuki.com.au/sushikotobuki" TargetMode="External" Id="rId1957" /><Relationship Type="http://schemas.openxmlformats.org/officeDocument/2006/relationships/hyperlink" Target="https://www.google.com/maps/search/?api=1&amp;query=Sushi+Kotobuki+53+Lytton+Road" TargetMode="External" Id="rId1958" /><Relationship Type="http://schemas.openxmlformats.org/officeDocument/2006/relationships/hyperlink" Target="https://www.instagram.com/sushitrainaus" TargetMode="External" Id="rId1959" /><Relationship Type="http://schemas.openxmlformats.org/officeDocument/2006/relationships/hyperlink" Target="https://www.facebook.com/sushitrainaus" TargetMode="External" Id="rId1960" /><Relationship Type="http://schemas.openxmlformats.org/officeDocument/2006/relationships/hyperlink" Target="https://www.sushitrain.com.au/" TargetMode="External" Id="rId1961" /><Relationship Type="http://schemas.openxmlformats.org/officeDocument/2006/relationships/hyperlink" Target="https://www.google.com/maps/search/?api=1&amp;query=Sushi+Train+Sunnybank" TargetMode="External" Id="rId1962" /><Relationship Type="http://schemas.openxmlformats.org/officeDocument/2006/relationships/hyperlink" Target="https://www.instagram.com/tarbouche_mezza_bar" TargetMode="External" Id="rId1963" /><Relationship Type="http://schemas.openxmlformats.org/officeDocument/2006/relationships/hyperlink" Target="https://www.facebook.com/TarboucheMezzaBar" TargetMode="External" Id="rId1964" /><Relationship Type="http://schemas.openxmlformats.org/officeDocument/2006/relationships/hyperlink" Target="https://www.tarbouche.com.au/" TargetMode="External" Id="rId1965" /><Relationship Type="http://schemas.openxmlformats.org/officeDocument/2006/relationships/hyperlink" Target="https://www.google.com/maps/search/?api=1&amp;query=Tarbouche+Mezza+Bar+56+Boundary+Street" TargetMode="External" Id="rId1966" /><Relationship Type="http://schemas.openxmlformats.org/officeDocument/2006/relationships/hyperlink" Target="https://www.instagram.com/tarosramen" TargetMode="External" Id="rId1967" /><Relationship Type="http://schemas.openxmlformats.org/officeDocument/2006/relationships/hyperlink" Target="https://www.facebook.com/tarosramen" TargetMode="External" Id="rId1968" /><Relationship Type="http://schemas.openxmlformats.org/officeDocument/2006/relationships/hyperlink" Target="https://taros.com.au/" TargetMode="External" Id="rId1969" /><Relationship Type="http://schemas.openxmlformats.org/officeDocument/2006/relationships/hyperlink" Target="https://www.google.com/maps/search/?api=1&amp;query=Taro%27s+Ramen+480+Queen+Street" TargetMode="External" Id="rId1970" /><Relationship Type="http://schemas.openxmlformats.org/officeDocument/2006/relationships/hyperlink" Target="https://www.instagram.com/tarosramen" TargetMode="External" Id="rId1971" /><Relationship Type="http://schemas.openxmlformats.org/officeDocument/2006/relationships/hyperlink" Target="https://www.facebook.com/tarosramen" TargetMode="External" Id="rId1972" /><Relationship Type="http://schemas.openxmlformats.org/officeDocument/2006/relationships/hyperlink" Target="https://taros.com.au/" TargetMode="External" Id="rId1973" /><Relationship Type="http://schemas.openxmlformats.org/officeDocument/2006/relationships/hyperlink" Target="https://www.google.com/maps/search/?api=1&amp;query=Taro%27s+Ramen+154+Melbourne+Street" TargetMode="External" Id="rId1974" /><Relationship Type="http://schemas.openxmlformats.org/officeDocument/2006/relationships/hyperlink" Target="https://www.instagram.com/thaiantique_carindale" TargetMode="External" Id="rId1975" /><Relationship Type="http://schemas.openxmlformats.org/officeDocument/2006/relationships/hyperlink" Target="https://www.facebook.com/ThaiAntique" TargetMode="External" Id="rId1976" /><Relationship Type="http://schemas.openxmlformats.org/officeDocument/2006/relationships/hyperlink" Target="https://www.thaiantique.com.au/" TargetMode="External" Id="rId1977" /><Relationship Type="http://schemas.openxmlformats.org/officeDocument/2006/relationships/hyperlink" Target="https://www.google.com/maps/search/?api=1&amp;query=Thai+Antique+Restaurant+141+Winstanley+Street" TargetMode="External" Id="rId1978" /><Relationship Type="http://schemas.openxmlformats.org/officeDocument/2006/relationships/hyperlink" Target="https://www.facebook.com/thaidaisyhill" TargetMode="External" Id="rId1979" /><Relationship Type="http://schemas.openxmlformats.org/officeDocument/2006/relationships/hyperlink" Target="https://www.thaidaisyhill.com.au/" TargetMode="External" Id="rId1980" /><Relationship Type="http://schemas.openxmlformats.org/officeDocument/2006/relationships/hyperlink" Target="https://www.google.com/maps/search/?api=1&amp;query=Thai+Daisy+Hill+Restaurant+3-5+Cupania+Street+Daisy+Hill" TargetMode="External" Id="rId1981" /><Relationship Type="http://schemas.openxmlformats.org/officeDocument/2006/relationships/hyperlink" Target="https://www.instagram.com/theburrowwestend" TargetMode="External" Id="rId1982" /><Relationship Type="http://schemas.openxmlformats.org/officeDocument/2006/relationships/hyperlink" Target="https://www.facebook.com/theburrowwestend" TargetMode="External" Id="rId1983" /><Relationship Type="http://schemas.openxmlformats.org/officeDocument/2006/relationships/hyperlink" Target="https://theburrowwestend.com.au/" TargetMode="External" Id="rId1984" /><Relationship Type="http://schemas.openxmlformats.org/officeDocument/2006/relationships/hyperlink" Target="https://www.google.com/maps/search/?api=1&amp;query=The+Burrow+52+Russell+Street" TargetMode="External" Id="rId1985" /><Relationship Type="http://schemas.openxmlformats.org/officeDocument/2006/relationships/hyperlink" Target="https://www.facebook.com/thegodfatherpizza.com.au" TargetMode="External" Id="rId1986" /><Relationship Type="http://schemas.openxmlformats.org/officeDocument/2006/relationships/hyperlink" Target="https://www.thegodfatherpizza.com.au/" TargetMode="External" Id="rId1987" /><Relationship Type="http://schemas.openxmlformats.org/officeDocument/2006/relationships/hyperlink" Target="https://www.google.com/maps/search/?api=1&amp;query=The+Godfathers+338+Waterworks+Road+Ashgrove" TargetMode="External" Id="rId1988" /><Relationship Type="http://schemas.openxmlformats.org/officeDocument/2006/relationships/hyperlink" Target="https://www.instagram.com/thegrovekitchenbar" TargetMode="External" Id="rId1989" /><Relationship Type="http://schemas.openxmlformats.org/officeDocument/2006/relationships/hyperlink" Target="https://www.facebook.com/TheGroveKitchenBar" TargetMode="External" Id="rId1990" /><Relationship Type="http://schemas.openxmlformats.org/officeDocument/2006/relationships/hyperlink" Target="https://thegrovekitchenbar.com.au/" TargetMode="External" Id="rId1991" /><Relationship Type="http://schemas.openxmlformats.org/officeDocument/2006/relationships/hyperlink" Target="https://www.google.com/maps/search/?api=1&amp;query=The+Grove+Kitchen+%2B+Bar+101+Valley+Way+Mount+Cotton" TargetMode="External" Id="rId1992" /><Relationship Type="http://schemas.openxmlformats.org/officeDocument/2006/relationships/hyperlink" Target="https://www.instagram.com/thekomoredcliffe" TargetMode="External" Id="rId1993" /><Relationship Type="http://schemas.openxmlformats.org/officeDocument/2006/relationships/hyperlink" Target="https://www.facebook.com/thekomoredcliffe" TargetMode="External" Id="rId1994" /><Relationship Type="http://schemas.openxmlformats.org/officeDocument/2006/relationships/hyperlink" Target="https://www.thekomo.com.au/" TargetMode="External" Id="rId1995" /><Relationship Type="http://schemas.openxmlformats.org/officeDocument/2006/relationships/hyperlink" Target="https://www.google.com/maps/search/?api=1&amp;query=The+Komo+99+Marine+Parade+Redcliffe" TargetMode="External" Id="rId1996" /><Relationship Type="http://schemas.openxmlformats.org/officeDocument/2006/relationships/hyperlink" Target="https://www.instagram.com/thelexbrisbane" TargetMode="External" Id="rId1997" /><Relationship Type="http://schemas.openxmlformats.org/officeDocument/2006/relationships/hyperlink" Target="https://www.facebook.com/TheLexBrisbane" TargetMode="External" Id="rId1998" /><Relationship Type="http://schemas.openxmlformats.org/officeDocument/2006/relationships/hyperlink" Target="https://www.thelexbrisbane.com/" TargetMode="External" Id="rId1999" /><Relationship Type="http://schemas.openxmlformats.org/officeDocument/2006/relationships/hyperlink" Target="https://www.google.com/maps/search/?api=1&amp;query=The+Lex+81+North+Quay" TargetMode="External" Id="rId2000" /><Relationship Type="http://schemas.openxmlformats.org/officeDocument/2006/relationships/hyperlink" Target="https://www.instagram.com/the_rustic_olive" TargetMode="External" Id="rId2001" /><Relationship Type="http://schemas.openxmlformats.org/officeDocument/2006/relationships/hyperlink" Target="https://www.facebook.com/therusticolive" TargetMode="External" Id="rId2002" /><Relationship Type="http://schemas.openxmlformats.org/officeDocument/2006/relationships/hyperlink" Target="https://www.therusticolive.com/" TargetMode="External" Id="rId2003" /><Relationship Type="http://schemas.openxmlformats.org/officeDocument/2006/relationships/hyperlink" Target="https://www.google.com/maps/search/?api=1&amp;query=The+Rustic+Olive+75+Redcliffe+Parade+Redcliffe" TargetMode="External" Id="rId2004" /><Relationship Type="http://schemas.openxmlformats.org/officeDocument/2006/relationships/hyperlink" Target="https://www.instagram.com/tigereyebar" TargetMode="External" Id="rId2005" /><Relationship Type="http://schemas.openxmlformats.org/officeDocument/2006/relationships/hyperlink" Target="https://www.facebook.com/TigerEyeBar" TargetMode="External" Id="rId2006" /><Relationship Type="http://schemas.openxmlformats.org/officeDocument/2006/relationships/hyperlink" Target="https://tigereyebar.com.au/" TargetMode="External" Id="rId2007" /><Relationship Type="http://schemas.openxmlformats.org/officeDocument/2006/relationships/hyperlink" Target="https://www.google.com/maps/search/?api=1&amp;query=Tiger+Eye" TargetMode="External" Id="rId2008" /><Relationship Type="http://schemas.openxmlformats.org/officeDocument/2006/relationships/hyperlink" Target="https://www.instagram.com/vegerama" TargetMode="External" Id="rId2009" /><Relationship Type="http://schemas.openxmlformats.org/officeDocument/2006/relationships/hyperlink" Target="https://www.facebook.com/VegeRama" TargetMode="External" Id="rId2010" /><Relationship Type="http://schemas.openxmlformats.org/officeDocument/2006/relationships/hyperlink" Target="https://www.vegerama.com.au" TargetMode="External" Id="rId2011" /><Relationship Type="http://schemas.openxmlformats.org/officeDocument/2006/relationships/hyperlink" Target="https://www.google.com/maps/search/?api=1&amp;query=Vege+Rama+241+Adelaide+Street" TargetMode="External" Id="rId2012" /><Relationship Type="http://schemas.openxmlformats.org/officeDocument/2006/relationships/hyperlink" Target="https://instagram.com/warasushi.official" TargetMode="External" Id="rId2013" /><Relationship Type="http://schemas.openxmlformats.org/officeDocument/2006/relationships/hyperlink" Target="https://www.facebook.com/warasushi" TargetMode="External" Id="rId2014" /><Relationship Type="http://schemas.openxmlformats.org/officeDocument/2006/relationships/hyperlink" Target="https://www.warasushi.com.au/" TargetMode="External" Id="rId2015" /><Relationship Type="http://schemas.openxmlformats.org/officeDocument/2006/relationships/hyperlink" Target="https://www.google.com/maps/search/?api=1&amp;query=Wara+Sushi" TargetMode="External" Id="rId2016" /><Relationship Type="http://schemas.openxmlformats.org/officeDocument/2006/relationships/hyperlink" Target="https://www.facebook.com/login" TargetMode="External" Id="rId2017" /><Relationship Type="http://schemas.openxmlformats.org/officeDocument/2006/relationships/hyperlink" Target="www.bobachicken.com" TargetMode="External" Id="rId2018" /><Relationship Type="http://schemas.openxmlformats.org/officeDocument/2006/relationships/hyperlink" Target="https://www.google.com/maps/search/?api=1&amp;query=Boba+Chicken+57+Musk+Avenue+Kelvin+Grove" TargetMode="External" Id="rId2019" /><Relationship Type="http://schemas.openxmlformats.org/officeDocument/2006/relationships/hyperlink" Target="https://www.instagram.com/countryfriedchickenofficial" TargetMode="External" Id="rId2020" /><Relationship Type="http://schemas.openxmlformats.org/officeDocument/2006/relationships/hyperlink" Target="http://www.facebook.com/CountryFriedChickenServices" TargetMode="External" Id="rId2021" /><Relationship Type="http://schemas.openxmlformats.org/officeDocument/2006/relationships/hyperlink" Target="https://www.countryfriedchicken.com" TargetMode="External" Id="rId2022" /><Relationship Type="http://schemas.openxmlformats.org/officeDocument/2006/relationships/hyperlink" Target="https://www.google.com/maps/search/?api=1&amp;query=Country+Fried+Chicken+25+Brisbane+Road+Dinmore" TargetMode="External" Id="rId2023" /><Relationship Type="http://schemas.openxmlformats.org/officeDocument/2006/relationships/hyperlink" Target="https://www.facebook.com/fishiesonvienna/" TargetMode="External" Id="rId2024" /><Relationship Type="http://schemas.openxmlformats.org/officeDocument/2006/relationships/hyperlink" Target="http://www.fishies.com.au/" TargetMode="External" Id="rId2025" /><Relationship Type="http://schemas.openxmlformats.org/officeDocument/2006/relationships/hyperlink" Target="https://www.google.com/maps/search/?api=1&amp;query=Fishies+on+Vienna+195+Vienna+Road+Alexandra+Hills" TargetMode="External" Id="rId2026" /><Relationship Type="http://schemas.openxmlformats.org/officeDocument/2006/relationships/hyperlink" Target="https://www.instagram.com/marketburgersamford" TargetMode="External" Id="rId2027" /><Relationship Type="http://schemas.openxmlformats.org/officeDocument/2006/relationships/hyperlink" Target="https://www.facebook.com/MainStMarketBurger" TargetMode="External" Id="rId2028" /><Relationship Type="http://schemas.openxmlformats.org/officeDocument/2006/relationships/hyperlink" Target="https://marketburger.com.au/" TargetMode="External" Id="rId2029" /><Relationship Type="http://schemas.openxmlformats.org/officeDocument/2006/relationships/hyperlink" Target="https://www.google.com/maps/search/?api=1&amp;query=Main+St+Market+Burger+23+Main+Street+Samford+Village" TargetMode="External" Id="rId2030" /><Relationship Type="http://schemas.openxmlformats.org/officeDocument/2006/relationships/hyperlink" Target="https://www.instagram.com/moofreeburgers/" TargetMode="External" Id="rId2031" /><Relationship Type="http://schemas.openxmlformats.org/officeDocument/2006/relationships/hyperlink" Target="https://www.facebook.com/moofreeburgers/" TargetMode="External" Id="rId2032" /><Relationship Type="http://schemas.openxmlformats.org/officeDocument/2006/relationships/hyperlink" Target="https://moofreeburgers.com.au/" TargetMode="External" Id="rId2033" /><Relationship Type="http://schemas.openxmlformats.org/officeDocument/2006/relationships/hyperlink" Target="https://www.google.com/maps/search/?api=1&amp;query=Moo-Free+Burgers+53+Endeavour+Boulevard+North+Lakes" TargetMode="External" Id="rId2034" /><Relationship Type="http://schemas.openxmlformats.org/officeDocument/2006/relationships/hyperlink" Target="https://www.instagram.com/thefarmshackfernyhills" TargetMode="External" Id="rId2035" /><Relationship Type="http://schemas.openxmlformats.org/officeDocument/2006/relationships/hyperlink" Target="https://www.facebook.com/TheFarmShack1" TargetMode="External" Id="rId2036" /><Relationship Type="http://schemas.openxmlformats.org/officeDocument/2006/relationships/hyperlink" Target="https://thefarmshack.com.au/" TargetMode="External" Id="rId2037" /><Relationship Type="http://schemas.openxmlformats.org/officeDocument/2006/relationships/hyperlink" Target="https://www.google.com/maps/search/?api=1&amp;query=The+Farm+Shack+170+Patricks+Road+Ferny+Hills" TargetMode="External" Id="rId2038" /><Relationship Type="http://schemas.openxmlformats.org/officeDocument/2006/relationships/hyperlink" Target="https://www.facebook.com/ZorbasPizzaAndPasta" TargetMode="External" Id="rId2039" /><Relationship Type="http://schemas.openxmlformats.org/officeDocument/2006/relationships/hyperlink" Target="https://www.zorbas.com.au/" TargetMode="External" Id="rId2040" /><Relationship Type="http://schemas.openxmlformats.org/officeDocument/2006/relationships/hyperlink" Target="https://www.google.com/maps/search/?api=1&amp;query=Zorba%E2%80%99s+Pizza+114+Hornibrook+Esplanade+Clontarf" TargetMode="External" Id="rId2041" /><Relationship Type="http://schemas.openxmlformats.org/officeDocument/2006/relationships/hyperlink" Target="https://www.instagram.com/sacredskintattoo" TargetMode="External" Id="rId2042" /><Relationship Type="http://schemas.openxmlformats.org/officeDocument/2006/relationships/hyperlink" Target="https://www.facebook.com/SacredSkin" TargetMode="External" Id="rId2043" /><Relationship Type="http://schemas.openxmlformats.org/officeDocument/2006/relationships/hyperlink" Target="https://www.sacredskin.com.au/" TargetMode="External" Id="rId2044" /><Relationship Type="http://schemas.openxmlformats.org/officeDocument/2006/relationships/hyperlink" Target="https://www.google.com/maps/search/?api=1&amp;query=Sacred+Skin+Tattoo+Logan+Road+Stones+Corner" TargetMode="External" Id="rId2045" /><Relationship Type="http://schemas.openxmlformats.org/officeDocument/2006/relationships/hyperlink" Target="https://www.instagram.com/bakerscopainting" TargetMode="External" Id="rId2046" /><Relationship Type="http://schemas.openxmlformats.org/officeDocument/2006/relationships/hyperlink" Target="https://www.facebook.com/BakersCoPaintingDecorating" TargetMode="External" Id="rId2047" /><Relationship Type="http://schemas.openxmlformats.org/officeDocument/2006/relationships/hyperlink" Target="https://bakersco.com.au/" TargetMode="External" Id="rId2048" /><Relationship Type="http://schemas.openxmlformats.org/officeDocument/2006/relationships/hyperlink" Target="https://www.google.com/maps/search/?api=1&amp;query=Bakers+%26+Co+Painting+And+Decorating+404+Samford+Road+Gaythorne" TargetMode="External" Id="rId2049" /><Relationship Type="http://schemas.openxmlformats.org/officeDocument/2006/relationships/hyperlink" Target="https://www.instagram.com/garsdenandclarke" TargetMode="External" Id="rId2050" /><Relationship Type="http://schemas.openxmlformats.org/officeDocument/2006/relationships/hyperlink" Target="https://www.facebook.com/garsdenandclarke" TargetMode="External" Id="rId2051" /><Relationship Type="http://schemas.openxmlformats.org/officeDocument/2006/relationships/hyperlink" Target="https://garsdenclarke.com.au/" TargetMode="External" Id="rId2052" /><Relationship Type="http://schemas.openxmlformats.org/officeDocument/2006/relationships/hyperlink" Target="https://www.google.com/maps/search/?api=1&amp;query=Garsden+%26+Clarke+Kitchens+36+Smith+Street+Capalaba" TargetMode="External" Id="rId2053" /><Relationship Type="http://schemas.openxmlformats.org/officeDocument/2006/relationships/hyperlink" Target="https://www.instagram.com/slicksbarbershop4670" TargetMode="External" Id="rId2054" /><Relationship Type="http://schemas.openxmlformats.org/officeDocument/2006/relationships/hyperlink" Target="https://www.facebook.com/slicksbarbershop4670" TargetMode="External" Id="rId2055" /><Relationship Type="http://schemas.openxmlformats.org/officeDocument/2006/relationships/hyperlink" Target="https://www.slicksbarbershop.com.au/" TargetMode="External" Id="rId2056" /><Relationship Type="http://schemas.openxmlformats.org/officeDocument/2006/relationships/hyperlink" Target="https://www.google.com/maps/search/?api=1&amp;query=Slicks+Barbershop" TargetMode="External" Id="rId2057" /><Relationship Type="http://schemas.openxmlformats.org/officeDocument/2006/relationships/hyperlink" Target="https://www.instagram.com/lancemorehotels" TargetMode="External" Id="rId2058" /><Relationship Type="http://schemas.openxmlformats.org/officeDocument/2006/relationships/hyperlink" Target="https://www.lancemore.com.au/alamanda" TargetMode="External" Id="rId2059" /><Relationship Type="http://schemas.openxmlformats.org/officeDocument/2006/relationships/hyperlink" Target="https://www.google.com/maps/search/?api=1&amp;query=Alamanda+Palm+Cove+by+Lancemore+1+Veivers+Road" TargetMode="External" Id="rId2060" /><Relationship Type="http://schemas.openxmlformats.org/officeDocument/2006/relationships/hyperlink" Target="https://www.facebook.com/cairnsholidayaccommodation" TargetMode="External" Id="rId2061" /><Relationship Type="http://schemas.openxmlformats.org/officeDocument/2006/relationships/hyperlink" Target="https://www.cairnsholidaylodge.com.au" TargetMode="External" Id="rId2062" /><Relationship Type="http://schemas.openxmlformats.org/officeDocument/2006/relationships/hyperlink" Target="https://www.google.com/maps/search/?api=1&amp;query=Cairns+Holiday+Lodge" TargetMode="External" Id="rId2063" /><Relationship Type="http://schemas.openxmlformats.org/officeDocument/2006/relationships/hyperlink" Target="https://www.instagram.com/getawaycairns" TargetMode="External" Id="rId2064" /><Relationship Type="http://schemas.openxmlformats.org/officeDocument/2006/relationships/hyperlink" Target="https://www.facebook.com/GetawayOnGrafton" TargetMode="External" Id="rId2065" /><Relationship Type="http://schemas.openxmlformats.org/officeDocument/2006/relationships/hyperlink" Target="https://www.getawaycairns.com.au/" TargetMode="External" Id="rId2066" /><Relationship Type="http://schemas.openxmlformats.org/officeDocument/2006/relationships/hyperlink" Target="https://www.google.com/maps/search/?api=1&amp;query=Getaway+on+Grafton+157-159+Grafton+Street+Cairns+City" TargetMode="External" Id="rId2067" /><Relationship Type="http://schemas.openxmlformats.org/officeDocument/2006/relationships/hyperlink" Target="https://www.instagram.com/pacifichotelcairns" TargetMode="External" Id="rId2068" /><Relationship Type="http://schemas.openxmlformats.org/officeDocument/2006/relationships/hyperlink" Target="https://www.facebook.com/PacificHotelCairns" TargetMode="External" Id="rId2069" /><Relationship Type="http://schemas.openxmlformats.org/officeDocument/2006/relationships/hyperlink" Target="https://pacifichotelcairns.com.au/" TargetMode="External" Id="rId2070" /><Relationship Type="http://schemas.openxmlformats.org/officeDocument/2006/relationships/hyperlink" Target="https://www.google.com/maps/search/?api=1&amp;query=Pacific+Hotel+Cairns" TargetMode="External" Id="rId2071" /><Relationship Type="http://schemas.openxmlformats.org/officeDocument/2006/relationships/hyperlink" Target="https://www.facebook.com/Palm-Royale-Cairns-412706668819983" TargetMode="External" Id="rId2072" /><Relationship Type="http://schemas.openxmlformats.org/officeDocument/2006/relationships/hyperlink" Target="https://palmroyale.com.au/" TargetMode="External" Id="rId2073" /><Relationship Type="http://schemas.openxmlformats.org/officeDocument/2006/relationships/hyperlink" Target="https://www.google.com/maps/search/?api=1&amp;query=Palm+Royale+Cairns+7-11+Chester+Court+Manunda" TargetMode="External" Id="rId2074" /><Relationship Type="http://schemas.openxmlformats.org/officeDocument/2006/relationships/hyperlink" Target="https://www.instagram.com/heritagecairns" TargetMode="External" Id="rId2075" /><Relationship Type="http://schemas.openxmlformats.org/officeDocument/2006/relationships/hyperlink" Target="http://www.heritagecairns.com.au/" TargetMode="External" Id="rId2076" /><Relationship Type="http://schemas.openxmlformats.org/officeDocument/2006/relationships/hyperlink" Target="https://www.google.com/maps/search/?api=1&amp;query=Tropical+Heritage+Cairns+8+Minnie+Street" TargetMode="External" Id="rId2077" /><Relationship Type="http://schemas.openxmlformats.org/officeDocument/2006/relationships/hyperlink" Target="https://instagram.com/thefoxsmallbar" TargetMode="External" Id="rId2078" /><Relationship Type="http://schemas.openxmlformats.org/officeDocument/2006/relationships/hyperlink" Target="https://www.facebook.com/TheFoxSmallBar" TargetMode="External" Id="rId2079" /><Relationship Type="http://schemas.openxmlformats.org/officeDocument/2006/relationships/hyperlink" Target="https://www.thefoxsmallbar.com.au/" TargetMode="External" Id="rId2080" /><Relationship Type="http://schemas.openxmlformats.org/officeDocument/2006/relationships/hyperlink" Target="https://www.google.com/maps/search/?api=1&amp;query=The+Fox+9+Kamerunga+Road" TargetMode="External" Id="rId2081" /><Relationship Type="http://schemas.openxmlformats.org/officeDocument/2006/relationships/hyperlink" Target="https://www.instagram.com/threewolvescairns" TargetMode="External" Id="rId2082" /><Relationship Type="http://schemas.openxmlformats.org/officeDocument/2006/relationships/hyperlink" Target="https://www.facebook.com/threewolvescairns" TargetMode="External" Id="rId2083" /><Relationship Type="http://schemas.openxmlformats.org/officeDocument/2006/relationships/hyperlink" Target="https://www.threewolves.com.au/" TargetMode="External" Id="rId2084" /><Relationship Type="http://schemas.openxmlformats.org/officeDocument/2006/relationships/hyperlink" Target="https://www.google.com/maps/search/?api=1&amp;query=Three+Wolves+Bank+Lane" TargetMode="External" Id="rId2085" /><Relationship Type="http://schemas.openxmlformats.org/officeDocument/2006/relationships/hyperlink" Target="https://www.instagram.com/woreetavern" TargetMode="External" Id="rId2086" /><Relationship Type="http://schemas.openxmlformats.org/officeDocument/2006/relationships/hyperlink" Target="https://www.facebook.com/WoreeTavern" TargetMode="External" Id="rId2087" /><Relationship Type="http://schemas.openxmlformats.org/officeDocument/2006/relationships/hyperlink" Target="https://www.woreetavern.com.au/" TargetMode="External" Id="rId2088" /><Relationship Type="http://schemas.openxmlformats.org/officeDocument/2006/relationships/hyperlink" Target="https://www.google.com/maps/search/?api=1&amp;query=Woree+Tavern" TargetMode="External" Id="rId2089" /><Relationship Type="http://schemas.openxmlformats.org/officeDocument/2006/relationships/hyperlink" Target="http://instagram.com/mama_coco" TargetMode="External" Id="rId2090" /><Relationship Type="http://schemas.openxmlformats.org/officeDocument/2006/relationships/hyperlink" Target="https://www.facebook.com/mamacococafe" TargetMode="External" Id="rId2091" /><Relationship Type="http://schemas.openxmlformats.org/officeDocument/2006/relationships/hyperlink" Target="http://www.mamacoco.com.au" TargetMode="External" Id="rId2092" /><Relationship Type="http://schemas.openxmlformats.org/officeDocument/2006/relationships/hyperlink" Target="https://www.google.com/maps/search/?api=1&amp;query=Mama+Coco+196+Mulgrave+Road" TargetMode="External" Id="rId2093" /><Relationship Type="http://schemas.openxmlformats.org/officeDocument/2006/relationships/hyperlink" Target="https://www.instagram.com/wharfonecairns" TargetMode="External" Id="rId2094" /><Relationship Type="http://schemas.openxmlformats.org/officeDocument/2006/relationships/hyperlink" Target="https://www.facebook.com/wharfonecafe" TargetMode="External" Id="rId2095" /><Relationship Type="http://schemas.openxmlformats.org/officeDocument/2006/relationships/hyperlink" Target="https://wharfonecafe.com.au/" TargetMode="External" Id="rId2096" /><Relationship Type="http://schemas.openxmlformats.org/officeDocument/2006/relationships/hyperlink" Target="https://www.google.com/maps/search/?api=1&amp;query=Wharf+One+Cafe" TargetMode="External" Id="rId2097" /><Relationship Type="http://schemas.openxmlformats.org/officeDocument/2006/relationships/hyperlink" Target="https://www.instagram.com/korfitnesshealth" TargetMode="External" Id="rId2098" /><Relationship Type="http://schemas.openxmlformats.org/officeDocument/2006/relationships/hyperlink" Target="https://www.korfitness.com.au/" TargetMode="External" Id="rId2099" /><Relationship Type="http://schemas.openxmlformats.org/officeDocument/2006/relationships/hyperlink" Target="https://www.google.com/maps/search/?api=1&amp;query=Kor+Fitness+%26+Health" TargetMode="External" Id="rId2100" /><Relationship Type="http://schemas.openxmlformats.org/officeDocument/2006/relationships/hyperlink" Target="https://www.instagram.com/fnq_stump_grinding" TargetMode="External" Id="rId2101" /><Relationship Type="http://schemas.openxmlformats.org/officeDocument/2006/relationships/hyperlink" Target="https://fnqstumpgrinding.com.au/" TargetMode="External" Id="rId2102" /><Relationship Type="http://schemas.openxmlformats.org/officeDocument/2006/relationships/hyperlink" Target="https://www.google.com/maps/search/?api=1&amp;query=FNQ+Stump+Grinding+45+Palmerston+Street+Aeroglen" TargetMode="External" Id="rId2103" /><Relationship Type="http://schemas.openxmlformats.org/officeDocument/2006/relationships/hyperlink" Target="https://instagram.com/watergardensnursery" TargetMode="External" Id="rId2104" /><Relationship Type="http://schemas.openxmlformats.org/officeDocument/2006/relationships/hyperlink" Target="https://www.facebook.com/Watergardens-Nursery-160690125682350" TargetMode="External" Id="rId2105" /><Relationship Type="http://schemas.openxmlformats.org/officeDocument/2006/relationships/hyperlink" Target="https://watergardensnursery.com" TargetMode="External" Id="rId2106" /><Relationship Type="http://schemas.openxmlformats.org/officeDocument/2006/relationships/hyperlink" Target="https://www.google.com/maps/search/?api=1&amp;query=Watergardens+Nursery+1055+Captain+Cook+Highway" TargetMode="External" Id="rId2107" /><Relationship Type="http://schemas.openxmlformats.org/officeDocument/2006/relationships/hyperlink" Target="https://www.facebook.com/smithfieldcentraldoctors" TargetMode="External" Id="rId2108" /><Relationship Type="http://schemas.openxmlformats.org/officeDocument/2006/relationships/hyperlink" Target="https://smithfielddoctors.com.au/" TargetMode="External" Id="rId2109" /><Relationship Type="http://schemas.openxmlformats.org/officeDocument/2006/relationships/hyperlink" Target="https://www.google.com/maps/search/?api=1&amp;query=Smithfield+Central+Doctors+7-11+Mount+Milman+Drive" TargetMode="External" Id="rId2110" /><Relationship Type="http://schemas.openxmlformats.org/officeDocument/2006/relationships/hyperlink" Target="https://www.instagram.com/hksrussellofficial" TargetMode="External" Id="rId2111" /><Relationship Type="http://schemas.openxmlformats.org/officeDocument/2006/relationships/hyperlink" Target="https://www.facebook.com/hksrussell" TargetMode="External" Id="rId2112" /><Relationship Type="http://schemas.openxmlformats.org/officeDocument/2006/relationships/hyperlink" Target="https://hksrussell.com/" TargetMode="External" Id="rId2113" /><Relationship Type="http://schemas.openxmlformats.org/officeDocument/2006/relationships/hyperlink" Target="https://www.google.com/maps/search/?api=1&amp;query=HKS+Russell+101-103+Mulgrave+Road+Parramatta+Park" TargetMode="External" Id="rId2114" /><Relationship Type="http://schemas.openxmlformats.org/officeDocument/2006/relationships/hyperlink" Target="https://www.instagram.com/neaterhomescairns" TargetMode="External" Id="rId2115" /><Relationship Type="http://schemas.openxmlformats.org/officeDocument/2006/relationships/hyperlink" Target="https://www.facebook.com/NeaterHomesCairns" TargetMode="External" Id="rId2116" /><Relationship Type="http://schemas.openxmlformats.org/officeDocument/2006/relationships/hyperlink" Target="https://www.neaterhomesnq.com.au/" TargetMode="External" Id="rId2117" /><Relationship Type="http://schemas.openxmlformats.org/officeDocument/2006/relationships/hyperlink" Target="https://www.google.com/maps/search/?api=1&amp;query=Neater+Homes+129+Sheridan+Street+Cairns+City" TargetMode="External" Id="rId2118" /><Relationship Type="http://schemas.openxmlformats.org/officeDocument/2006/relationships/hyperlink" Target="https://www.instagram.com/bayvillageretreat" TargetMode="External" Id="rId2119" /><Relationship Type="http://schemas.openxmlformats.org/officeDocument/2006/relationships/hyperlink" Target="https://www.facebook.com/bayvillageretreat" TargetMode="External" Id="rId2120" /><Relationship Type="http://schemas.openxmlformats.org/officeDocument/2006/relationships/hyperlink" Target="https://www.bayvillage.com.au/bayleaf" TargetMode="External" Id="rId2121" /><Relationship Type="http://schemas.openxmlformats.org/officeDocument/2006/relationships/hyperlink" Target="https://www.google.com/maps/search/?api=1&amp;query=Bayleaf" TargetMode="External" Id="rId2122" /><Relationship Type="http://schemas.openxmlformats.org/officeDocument/2006/relationships/hyperlink" Target="https://www.instagram.com/bushfirecairns" TargetMode="External" Id="rId2123" /><Relationship Type="http://schemas.openxmlformats.org/officeDocument/2006/relationships/hyperlink" Target="https://www.facebook.com/BushfireCairns" TargetMode="External" Id="rId2124" /><Relationship Type="http://schemas.openxmlformats.org/officeDocument/2006/relationships/hyperlink" Target="https://bushfirecairns.com/" TargetMode="External" Id="rId2125" /><Relationship Type="http://schemas.openxmlformats.org/officeDocument/2006/relationships/hyperlink" Target="https://www.google.com/maps/search/?api=1&amp;query=Bushfire+Flame+Grill" TargetMode="External" Id="rId2126" /><Relationship Type="http://schemas.openxmlformats.org/officeDocument/2006/relationships/hyperlink" Target="http://instagram.com/jimmysburger_co" TargetMode="External" Id="rId2127" /><Relationship Type="http://schemas.openxmlformats.org/officeDocument/2006/relationships/hyperlink" Target="https://www.facebook.com/jimmysburgerco" TargetMode="External" Id="rId2128" /><Relationship Type="http://schemas.openxmlformats.org/officeDocument/2006/relationships/hyperlink" Target="http://www.jimmysburgerco.com/" TargetMode="External" Id="rId2129" /><Relationship Type="http://schemas.openxmlformats.org/officeDocument/2006/relationships/hyperlink" Target="https://www.google.com/maps/search/?api=1&amp;query=Jimmys+66+Shields+Street" TargetMode="External" Id="rId2130" /><Relationship Type="http://schemas.openxmlformats.org/officeDocument/2006/relationships/hyperlink" Target="https://www.instagram.com/palooka.cairns" TargetMode="External" Id="rId2131" /><Relationship Type="http://schemas.openxmlformats.org/officeDocument/2006/relationships/hyperlink" Target="https://palooka.com.au/" TargetMode="External" Id="rId2132" /><Relationship Type="http://schemas.openxmlformats.org/officeDocument/2006/relationships/hyperlink" Target="https://www.google.com/maps/search/?api=1&amp;query=Palooka+7+Kamerunga+Road" TargetMode="External" Id="rId2133" /><Relationship Type="http://schemas.openxmlformats.org/officeDocument/2006/relationships/hyperlink" Target="https://www.instagram.com/perrottas.cairns" TargetMode="External" Id="rId2134" /><Relationship Type="http://schemas.openxmlformats.org/officeDocument/2006/relationships/hyperlink" Target="https://www.facebook.com/perrottas.cairns" TargetMode="External" Id="rId2135" /><Relationship Type="http://schemas.openxmlformats.org/officeDocument/2006/relationships/hyperlink" Target="https://www.perrottasatg.com" TargetMode="External" Id="rId2136" /><Relationship Type="http://schemas.openxmlformats.org/officeDocument/2006/relationships/hyperlink" Target="https://www.google.com/maps/search/?api=1&amp;query=Perrotta%E2%80%99s+at+the+Gallery" TargetMode="External" Id="rId2137" /><Relationship Type="http://schemas.openxmlformats.org/officeDocument/2006/relationships/hyperlink" Target="https://www.facebook.com/BeachHouseTrinity" TargetMode="External" Id="rId2138" /><Relationship Type="http://schemas.openxmlformats.org/officeDocument/2006/relationships/hyperlink" Target="https://www.beachhousetrinity.com.au/" TargetMode="External" Id="rId2139" /><Relationship Type="http://schemas.openxmlformats.org/officeDocument/2006/relationships/hyperlink" Target="https://www.google.com/maps/search/?api=1&amp;query=The+Beach+House+at+Trinity+Beach" TargetMode="External" Id="rId2140" /><Relationship Type="http://schemas.openxmlformats.org/officeDocument/2006/relationships/hyperlink" Target="https://www.instagram.com/royalbluetattoo" TargetMode="External" Id="rId2141" /><Relationship Type="http://schemas.openxmlformats.org/officeDocument/2006/relationships/hyperlink" Target="https://www.royalbluetattoo.com.au/" TargetMode="External" Id="rId2142" /><Relationship Type="http://schemas.openxmlformats.org/officeDocument/2006/relationships/hyperlink" Target="https://www.google.com/maps/search/?api=1&amp;query=Royal+Tattoo" TargetMode="External" Id="rId2143" /><Relationship Type="http://schemas.openxmlformats.org/officeDocument/2006/relationships/hyperlink" Target="https://www.instagram.com/cag_australia" TargetMode="External" Id="rId2144" /><Relationship Type="http://schemas.openxmlformats.org/officeDocument/2006/relationships/hyperlink" Target="https://www.facebook.com/GladstoneCentralApartmentHotels" TargetMode="External" Id="rId2145" /><Relationship Type="http://schemas.openxmlformats.org/officeDocument/2006/relationships/hyperlink" Target="https://www.curtiscentralapartments.com.au/" TargetMode="External" Id="rId2146" /><Relationship Type="http://schemas.openxmlformats.org/officeDocument/2006/relationships/hyperlink" Target="https://www.google.com/maps/search/?api=1&amp;query=Curtis+Central+Apartments+30+Goondoon+Street" TargetMode="External" Id="rId2147" /><Relationship Type="http://schemas.openxmlformats.org/officeDocument/2006/relationships/hyperlink" Target="https://www.instagram.com/cag_australia" TargetMode="External" Id="rId2148" /><Relationship Type="http://schemas.openxmlformats.org/officeDocument/2006/relationships/hyperlink" Target="https://www.facebook.com/GladstoneCentralApartmentHotels" TargetMode="External" Id="rId2149" /><Relationship Type="http://schemas.openxmlformats.org/officeDocument/2006/relationships/hyperlink" Target="https://www.gladstonecitycentral.com.au/" TargetMode="External" Id="rId2150" /><Relationship Type="http://schemas.openxmlformats.org/officeDocument/2006/relationships/hyperlink" Target="https://www.google.com/maps/search/?api=1&amp;query=Gladstone+City+Central+Apartment+Hotel+66+Oaka+Lane" TargetMode="External" Id="rId2151" /><Relationship Type="http://schemas.openxmlformats.org/officeDocument/2006/relationships/hyperlink" Target="https://www.instagram.com/cag_australia" TargetMode="External" Id="rId2152" /><Relationship Type="http://schemas.openxmlformats.org/officeDocument/2006/relationships/hyperlink" Target="https://www.facebook.com/GladstoneCentralApartmentHotels" TargetMode="External" Id="rId2153" /><Relationship Type="http://schemas.openxmlformats.org/officeDocument/2006/relationships/hyperlink" Target="https://www.gladstonedowntowncentral.com.au/" TargetMode="External" Id="rId2154" /><Relationship Type="http://schemas.openxmlformats.org/officeDocument/2006/relationships/hyperlink" Target="https://www.google.com/maps/search/?api=1&amp;query=Gladstone+Downtown+Central+39-43+Bramston+Street" TargetMode="External" Id="rId2155" /><Relationship Type="http://schemas.openxmlformats.org/officeDocument/2006/relationships/hyperlink" Target="https://www.instagram.com/coffeeonoaka" TargetMode="External" Id="rId2156" /><Relationship Type="http://schemas.openxmlformats.org/officeDocument/2006/relationships/hyperlink" Target="https://www.facebook.com/61555035516159" TargetMode="External" Id="rId2157" /><Relationship Type="http://schemas.openxmlformats.org/officeDocument/2006/relationships/hyperlink" Target="https://www.coffeeonoaka.com.au/" TargetMode="External" Id="rId2158" /><Relationship Type="http://schemas.openxmlformats.org/officeDocument/2006/relationships/hyperlink" Target="https://www.google.com/maps/search/?api=1&amp;query=Coffee+on+Oaka+2+Oaka+Lane" TargetMode="External" Id="rId2159" /><Relationship Type="http://schemas.openxmlformats.org/officeDocument/2006/relationships/hyperlink" Target="https://www.instagram.com/bayswater.tweed.motel" TargetMode="External" Id="rId2160" /><Relationship Type="http://schemas.openxmlformats.org/officeDocument/2006/relationships/hyperlink" Target="https://www.facebook.com/bayswatertweedmotel" TargetMode="External" Id="rId2161" /><Relationship Type="http://schemas.openxmlformats.org/officeDocument/2006/relationships/hyperlink" Target="https://www.bayswatertweed.com.au/" TargetMode="External" Id="rId2162" /><Relationship Type="http://schemas.openxmlformats.org/officeDocument/2006/relationships/hyperlink" Target="https://www.google.com/maps/search/?api=1&amp;query=Bayswater+Tweed+129+Wharf+Street" TargetMode="External" Id="rId2163" /><Relationship Type="http://schemas.openxmlformats.org/officeDocument/2006/relationships/hyperlink" Target="https://instagram.com/wix" TargetMode="External" Id="rId2164" /><Relationship Type="http://schemas.openxmlformats.org/officeDocument/2006/relationships/hyperlink" Target="https://www.facebook.com/pages/Blue-pelican-motel-TWEED-HEADS/155153954530130" TargetMode="External" Id="rId2165" /><Relationship Type="http://schemas.openxmlformats.org/officeDocument/2006/relationships/hyperlink" Target="https://www.bluepelicanmotel.com.au/" TargetMode="External" Id="rId2166" /><Relationship Type="http://schemas.openxmlformats.org/officeDocument/2006/relationships/hyperlink" Target="https://www.google.com/maps/search/?api=1&amp;query=Blue+Pelican+Motel+115+Wharf+Street" TargetMode="External" Id="rId2167" /><Relationship Type="http://schemas.openxmlformats.org/officeDocument/2006/relationships/hyperlink" Target="https://www.instagram.com/coastbreakz" TargetMode="External" Id="rId2168" /><Relationship Type="http://schemas.openxmlformats.org/officeDocument/2006/relationships/hyperlink" Target="https://www.facebook.com/Burleigh-Surf-Beachfront-Apartments-101129500003773" TargetMode="External" Id="rId2169" /><Relationship Type="http://schemas.openxmlformats.org/officeDocument/2006/relationships/hyperlink" Target="https://www.burleighsurf.com.au/" TargetMode="External" Id="rId2170" /><Relationship Type="http://schemas.openxmlformats.org/officeDocument/2006/relationships/hyperlink" Target="https://www.google.com/maps/search/?api=1&amp;query=Burleigh+Surf+238+The+Esplanade" TargetMode="External" Id="rId2171" /><Relationship Type="http://schemas.openxmlformats.org/officeDocument/2006/relationships/hyperlink" Target="https://www.facebook.com/CooksEndeavourTweed" TargetMode="External" Id="rId2172" /><Relationship Type="http://schemas.openxmlformats.org/officeDocument/2006/relationships/hyperlink" Target="https://cooksendeavourmotorinn.com.au/" TargetMode="External" Id="rId2173" /><Relationship Type="http://schemas.openxmlformats.org/officeDocument/2006/relationships/hyperlink" Target="https://www.google.com/maps/search/?api=1&amp;query=Cook%27s+Endeavour+Motor+Inn+26-28+Frances+Street" TargetMode="External" Id="rId2174" /><Relationship Type="http://schemas.openxmlformats.org/officeDocument/2006/relationships/hyperlink" Target="https://www.facebook.com/coolangatta.sands" TargetMode="External" Id="rId2175" /><Relationship Type="http://schemas.openxmlformats.org/officeDocument/2006/relationships/hyperlink" Target="https://www.coolangattasandshotel.com.au/" TargetMode="External" Id="rId2176" /><Relationship Type="http://schemas.openxmlformats.org/officeDocument/2006/relationships/hyperlink" Target="https://www.google.com/maps/search/?api=1&amp;query=Coolangatta+Sands+Hotel+1+Griffith+Street+Coolangatta" TargetMode="External" Id="rId2177" /><Relationship Type="http://schemas.openxmlformats.org/officeDocument/2006/relationships/hyperlink" Target="https://www.facebook.com/Diamond-Sands-Resort-115663753841" TargetMode="External" Id="rId2178" /><Relationship Type="http://schemas.openxmlformats.org/officeDocument/2006/relationships/hyperlink" Target="https://diamondsands.com.au/" TargetMode="External" Id="rId2179" /><Relationship Type="http://schemas.openxmlformats.org/officeDocument/2006/relationships/hyperlink" Target="https://www.google.com/maps/search/?api=1&amp;query=Diamond+Sands+Resort+2320+Gold+Coast+Highway" TargetMode="External" Id="rId2180" /><Relationship Type="http://schemas.openxmlformats.org/officeDocument/2006/relationships/hyperlink" Target="https://www.facebook.com/goldenrivierabeachresorttugun" TargetMode="External" Id="rId2181" /><Relationship Type="http://schemas.openxmlformats.org/officeDocument/2006/relationships/hyperlink" Target="https://www.goldenriviera.com.au/" TargetMode="External" Id="rId2182" /><Relationship Type="http://schemas.openxmlformats.org/officeDocument/2006/relationships/hyperlink" Target="https://www.google.com/maps/search/?api=1&amp;query=Golden+Riviera" TargetMode="External" Id="rId2183" /><Relationship Type="http://schemas.openxmlformats.org/officeDocument/2006/relationships/hyperlink" Target="https://www.instagram.com/theislandgoldcoast" TargetMode="External" Id="rId2184" /><Relationship Type="http://schemas.openxmlformats.org/officeDocument/2006/relationships/hyperlink" Target="islander.com.au" TargetMode="External" Id="rId2185" /><Relationship Type="http://schemas.openxmlformats.org/officeDocument/2006/relationships/hyperlink" Target="https://www.google.com/maps/search/?api=1&amp;query=Islander+Resort+Hotel+3128+Surfers+Paradise+Boulevard+Surfers+Paradise" TargetMode="External" Id="rId2186" /><Relationship Type="http://schemas.openxmlformats.org/officeDocument/2006/relationships/hyperlink" Target="https://www.instagram.com/marinershores" TargetMode="External" Id="rId2187" /><Relationship Type="http://schemas.openxmlformats.org/officeDocument/2006/relationships/hyperlink" Target="https://www.facebook.com/MarinerShoresResort" TargetMode="External" Id="rId2188" /><Relationship Type="http://schemas.openxmlformats.org/officeDocument/2006/relationships/hyperlink" Target="https://marinershores.com.au" TargetMode="External" Id="rId2189" /><Relationship Type="http://schemas.openxmlformats.org/officeDocument/2006/relationships/hyperlink" Target="https://www.google.com/maps/search/?api=1&amp;query=Mariner+Shores+260+The+Esplanade+Miami" TargetMode="External" Id="rId2190" /><Relationship Type="http://schemas.openxmlformats.org/officeDocument/2006/relationships/hyperlink" Target="https://instagram.com/meridiantower" TargetMode="External" Id="rId2191" /><Relationship Type="http://schemas.openxmlformats.org/officeDocument/2006/relationships/hyperlink" Target="https://facebook.com/KirraCoolangatta" TargetMode="External" Id="rId2192" /><Relationship Type="http://schemas.openxmlformats.org/officeDocument/2006/relationships/hyperlink" Target="https://meridiantower.com.au/" TargetMode="External" Id="rId2193" /><Relationship Type="http://schemas.openxmlformats.org/officeDocument/2006/relationships/hyperlink" Target="https://www.google.com/maps/search/?api=1&amp;query=Meridian+Tower+6+Coyne+Street+Coolangatta" TargetMode="External" Id="rId2194" /><Relationship Type="http://schemas.openxmlformats.org/officeDocument/2006/relationships/hyperlink" Target="https://www.facebook.com/NirvanaByTheSea" TargetMode="External" Id="rId2195" /><Relationship Type="http://schemas.openxmlformats.org/officeDocument/2006/relationships/hyperlink" Target="https://nirvanabythesea.com.au/" TargetMode="External" Id="rId2196" /><Relationship Type="http://schemas.openxmlformats.org/officeDocument/2006/relationships/hyperlink" Target="https://www.google.com/maps/search/?api=1&amp;query=Nirvana+by+the+Sea" TargetMode="External" Id="rId2197" /><Relationship Type="http://schemas.openxmlformats.org/officeDocument/2006/relationships/hyperlink" Target="https://www.instagram.com/paradisegroveburleigh" TargetMode="External" Id="rId2198" /><Relationship Type="http://schemas.openxmlformats.org/officeDocument/2006/relationships/hyperlink" Target="https://www.facebook.com/paradisegroveburleigh" TargetMode="External" Id="rId2199" /><Relationship Type="http://schemas.openxmlformats.org/officeDocument/2006/relationships/hyperlink" Target="https://www.paradisegrove.com.au/contact" TargetMode="External" Id="rId2200" /><Relationship Type="http://schemas.openxmlformats.org/officeDocument/2006/relationships/hyperlink" Target="https://www.google.com/maps/search/?api=1&amp;query=Paradise+Grove+Holiday+Apartments+7+West+Burleigh+Road+Burleigh+Heads" TargetMode="External" Id="rId2201" /><Relationship Type="http://schemas.openxmlformats.org/officeDocument/2006/relationships/hyperlink" Target="https://www.instagram.com/sandcastlesonthegc" TargetMode="External" Id="rId2202" /><Relationship Type="http://schemas.openxmlformats.org/officeDocument/2006/relationships/hyperlink" Target="https://www.facebook.com/sandcastlesonthebroadwater" TargetMode="External" Id="rId2203" /><Relationship Type="http://schemas.openxmlformats.org/officeDocument/2006/relationships/hyperlink" Target="https://sandcastles.com.au/" TargetMode="External" Id="rId2204" /><Relationship Type="http://schemas.openxmlformats.org/officeDocument/2006/relationships/hyperlink" Target="https://www.google.com/maps/search/?api=1&amp;query=Sandcastles+On+The+Broadwater+392-398+Marine+Parade" TargetMode="External" Id="rId2205" /><Relationship Type="http://schemas.openxmlformats.org/officeDocument/2006/relationships/hyperlink" Target="https://www.instagram.com/thegrandhotellabrador" TargetMode="External" Id="rId2206" /><Relationship Type="http://schemas.openxmlformats.org/officeDocument/2006/relationships/hyperlink" Target="https://www.facebook.com/thegrandhotelgc" TargetMode="External" Id="rId2207" /><Relationship Type="http://schemas.openxmlformats.org/officeDocument/2006/relationships/hyperlink" Target="https://thegrandhotel.com.au/" TargetMode="External" Id="rId2208" /><Relationship Type="http://schemas.openxmlformats.org/officeDocument/2006/relationships/hyperlink" Target="https://www.google.com/maps/search/?api=1&amp;query=The+Grand+Hotel+360+Marine+Parade" TargetMode="External" Id="rId2209" /><Relationship Type="http://schemas.openxmlformats.org/officeDocument/2006/relationships/hyperlink" Target="https://www.instagram.com/langhamgoldcoast" TargetMode="External" Id="rId2210" /><Relationship Type="http://schemas.openxmlformats.org/officeDocument/2006/relationships/hyperlink" Target="https://www.facebook.com/TheLanghamGoldCoast" TargetMode="External" Id="rId2211" /><Relationship Type="http://schemas.openxmlformats.org/officeDocument/2006/relationships/hyperlink" Target="https://www.langhamhotels.com/en/the-langham/gold-coast/" TargetMode="External" Id="rId2212" /><Relationship Type="http://schemas.openxmlformats.org/officeDocument/2006/relationships/hyperlink" Target="https://www.google.com/maps/search/?api=1&amp;query=The+Langham+%26+Jewel+Residences+38+Old+Burleigh+Road" TargetMode="External" Id="rId2213" /><Relationship Type="http://schemas.openxmlformats.org/officeDocument/2006/relationships/hyperlink" Target="https://www.instagram.com/villasdelamer" TargetMode="External" Id="rId2214" /><Relationship Type="http://schemas.openxmlformats.org/officeDocument/2006/relationships/hyperlink" Target="https://www.facebook.com/VillasDeLaMer" TargetMode="External" Id="rId2215" /><Relationship Type="http://schemas.openxmlformats.org/officeDocument/2006/relationships/hyperlink" Target="https://www.villasdelamer.com.au/" TargetMode="External" Id="rId2216" /><Relationship Type="http://schemas.openxmlformats.org/officeDocument/2006/relationships/hyperlink" Target="https://www.google.com/maps/search/?api=1&amp;query=Villas+de+La+Mer+6+Northcliffe+Terrace" TargetMode="External" Id="rId2217" /><Relationship Type="http://schemas.openxmlformats.org/officeDocument/2006/relationships/hyperlink" Target="https://www.instagram.com/wallabyhotel" TargetMode="External" Id="rId2218" /><Relationship Type="http://schemas.openxmlformats.org/officeDocument/2006/relationships/hyperlink" Target="https://www.facebook.com/thewallabyhotel" TargetMode="External" Id="rId2219" /><Relationship Type="http://schemas.openxmlformats.org/officeDocument/2006/relationships/hyperlink" Target="https://www.wallabyhotel.com.au/" TargetMode="External" Id="rId2220" /><Relationship Type="http://schemas.openxmlformats.org/officeDocument/2006/relationships/hyperlink" Target="https://www.google.com/maps/search/?api=1&amp;query=Wallaby+Hotel+45+Railway+Street+Mudgeeraba" TargetMode="External" Id="rId2221" /><Relationship Type="http://schemas.openxmlformats.org/officeDocument/2006/relationships/hyperlink" Target="https://www.instagram.com/wix" TargetMode="External" Id="rId2222" /><Relationship Type="http://schemas.openxmlformats.org/officeDocument/2006/relationships/hyperlink" Target="https://www.facebook.com/wix" TargetMode="External" Id="rId2223" /><Relationship Type="http://schemas.openxmlformats.org/officeDocument/2006/relationships/hyperlink" Target="https://www.plus-space.com.au/" TargetMode="External" Id="rId2224" /><Relationship Type="http://schemas.openxmlformats.org/officeDocument/2006/relationships/hyperlink" Target="https://www.google.com/maps/search/?api=1&amp;query=%2B+space" TargetMode="External" Id="rId2225" /><Relationship Type="http://schemas.openxmlformats.org/officeDocument/2006/relationships/hyperlink" Target="https://www.facebook.com/akashahealingofficial" TargetMode="External" Id="rId2226" /><Relationship Type="http://schemas.openxmlformats.org/officeDocument/2006/relationships/hyperlink" Target="https://akashahealinghaven.com.au/" TargetMode="External" Id="rId2227" /><Relationship Type="http://schemas.openxmlformats.org/officeDocument/2006/relationships/hyperlink" Target="https://www.google.com/maps/search/?api=1&amp;query=AKASHA+Healing+Haven" TargetMode="External" Id="rId2228" /><Relationship Type="http://schemas.openxmlformats.org/officeDocument/2006/relationships/hyperlink" Target="https://www.facebook.com/AtlasChiroOz" TargetMode="External" Id="rId2229" /><Relationship Type="http://schemas.openxmlformats.org/officeDocument/2006/relationships/hyperlink" Target="https://www.atlaschiro.com.au/" TargetMode="External" Id="rId2230" /><Relationship Type="http://schemas.openxmlformats.org/officeDocument/2006/relationships/hyperlink" Target="https://www.google.com/maps/search/?api=1&amp;query=Atlas+Chiropractic" TargetMode="External" Id="rId2231" /><Relationship Type="http://schemas.openxmlformats.org/officeDocument/2006/relationships/hyperlink" Target="https://www.facebook.com/Tweed-Heads-Chiropractic-Centre-692374367566777" TargetMode="External" Id="rId2232" /><Relationship Type="http://schemas.openxmlformats.org/officeDocument/2006/relationships/hyperlink" Target="https://bundallchiropractic.com.au/" TargetMode="External" Id="rId2233" /><Relationship Type="http://schemas.openxmlformats.org/officeDocument/2006/relationships/hyperlink" Target="https://www.google.com/maps/search/?api=1&amp;query=Bundall+Chiropractic" TargetMode="External" Id="rId2234" /><Relationship Type="http://schemas.openxmlformats.org/officeDocument/2006/relationships/hyperlink" Target="https://www.instagram.com/coastalchiroandwellbeing" TargetMode="External" Id="rId2235" /><Relationship Type="http://schemas.openxmlformats.org/officeDocument/2006/relationships/hyperlink" Target="https://www.facebook.com/pages/Coastal-Chiropractic-Wellbeing/210732182419075" TargetMode="External" Id="rId2236" /><Relationship Type="http://schemas.openxmlformats.org/officeDocument/2006/relationships/hyperlink" Target="http://www.coastalchiro.com.au/" TargetMode="External" Id="rId2237" /><Relationship Type="http://schemas.openxmlformats.org/officeDocument/2006/relationships/hyperlink" Target="https://www.google.com/maps/search/?api=1&amp;query=Coastal+Chiropractic" TargetMode="External" Id="rId2238" /><Relationship Type="http://schemas.openxmlformats.org/officeDocument/2006/relationships/hyperlink" Target="https://www.instagram.com/coastal_osteopathy_tugun" TargetMode="External" Id="rId2239" /><Relationship Type="http://schemas.openxmlformats.org/officeDocument/2006/relationships/hyperlink" Target="https://www.facebook.com/coastalosteopathytugun" TargetMode="External" Id="rId2240" /><Relationship Type="http://schemas.openxmlformats.org/officeDocument/2006/relationships/hyperlink" Target="https://tugunfamilyhealth.com.au/" TargetMode="External" Id="rId2241" /><Relationship Type="http://schemas.openxmlformats.org/officeDocument/2006/relationships/hyperlink" Target="https://www.google.com/maps/search/?api=1&amp;query=Coastal+Osteopathy+and+Family+Health+Clinic" TargetMode="External" Id="rId2242" /><Relationship Type="http://schemas.openxmlformats.org/officeDocument/2006/relationships/hyperlink" Target="https://www.instagram.com/empoweringwellnessburleigh" TargetMode="External" Id="rId2243" /><Relationship Type="http://schemas.openxmlformats.org/officeDocument/2006/relationships/hyperlink" Target="https://www.facebook.com/burleighheadschiropractic" TargetMode="External" Id="rId2244" /><Relationship Type="http://schemas.openxmlformats.org/officeDocument/2006/relationships/hyperlink" Target="https://www.empoweringwellness.com.au/" TargetMode="External" Id="rId2245" /><Relationship Type="http://schemas.openxmlformats.org/officeDocument/2006/relationships/hyperlink" Target="https://www.google.com/maps/search/?api=1&amp;query=Empowering+Wellness" TargetMode="External" Id="rId2246" /><Relationship Type="http://schemas.openxmlformats.org/officeDocument/2006/relationships/hyperlink" Target="https://www.instagram.com/goldcoastchiropractor" TargetMode="External" Id="rId2247" /><Relationship Type="http://schemas.openxmlformats.org/officeDocument/2006/relationships/hyperlink" Target="https://www.facebook.com/HinterlandChiropractic" TargetMode="External" Id="rId2248" /><Relationship Type="http://schemas.openxmlformats.org/officeDocument/2006/relationships/hyperlink" Target="https://goldcoastchiropractor.com/" TargetMode="External" Id="rId2249" /><Relationship Type="http://schemas.openxmlformats.org/officeDocument/2006/relationships/hyperlink" Target="https://www.google.com/maps/search/?api=1&amp;query=Gold+Coast+HInterland+Chiropractic+7+Price+Street+Nerang" TargetMode="External" Id="rId2250" /><Relationship Type="http://schemas.openxmlformats.org/officeDocument/2006/relationships/hyperlink" Target="https://www.instagram.com/life_synergy" TargetMode="External" Id="rId2251" /><Relationship Type="http://schemas.openxmlformats.org/officeDocument/2006/relationships/hyperlink" Target="https://www.facebook.com/lifesynergy" TargetMode="External" Id="rId2252" /><Relationship Type="http://schemas.openxmlformats.org/officeDocument/2006/relationships/hyperlink" Target="https://www.lifesynergy.com.au/" TargetMode="External" Id="rId2253" /><Relationship Type="http://schemas.openxmlformats.org/officeDocument/2006/relationships/hyperlink" Target="https://www.google.com/maps/search/?api=1&amp;query=Life+Synergy+Acupuncture+Naturopathy+Nutrition" TargetMode="External" Id="rId2254" /><Relationship Type="http://schemas.openxmlformats.org/officeDocument/2006/relationships/hyperlink" Target="https://www.facebook.com/GlenelgChiro" TargetMode="External" Id="rId2255" /><Relationship Type="http://schemas.openxmlformats.org/officeDocument/2006/relationships/hyperlink" Target="https://www.mermaidrobinachiro.com.au" TargetMode="External" Id="rId2256" /><Relationship Type="http://schemas.openxmlformats.org/officeDocument/2006/relationships/hyperlink" Target="https://www.google.com/maps/search/?api=1&amp;query=Mermaid+Robina+Family+Chiropractic+Markeri+Street+Mermaid+Waters" TargetMode="External" Id="rId2257" /><Relationship Type="http://schemas.openxmlformats.org/officeDocument/2006/relationships/hyperlink" Target="https://www.instagram.com/8lalandscapearchitecture/" TargetMode="External" Id="rId2258" /><Relationship Type="http://schemas.openxmlformats.org/officeDocument/2006/relationships/hyperlink" Target="https://www.facebook.com/8LALandscapeArchitecture/" TargetMode="External" Id="rId2259" /><Relationship Type="http://schemas.openxmlformats.org/officeDocument/2006/relationships/hyperlink" Target="https://8la.com.au/" TargetMode="External" Id="rId2260" /><Relationship Type="http://schemas.openxmlformats.org/officeDocument/2006/relationships/hyperlink" Target="https://www.google.com/maps/search/?api=1&amp;query=8LA+19+Philippine+Parade" TargetMode="External" Id="rId2261" /><Relationship Type="http://schemas.openxmlformats.org/officeDocument/2006/relationships/hyperlink" Target="http://www.instagram.com/horners.bakery" TargetMode="External" Id="rId2262" /><Relationship Type="http://schemas.openxmlformats.org/officeDocument/2006/relationships/hyperlink" Target="http://www.facebook.com/hornersofsorrento" TargetMode="External" Id="rId2263" /><Relationship Type="http://schemas.openxmlformats.org/officeDocument/2006/relationships/hyperlink" Target="https://www.horners.com.au/" TargetMode="External" Id="rId2264" /><Relationship Type="http://schemas.openxmlformats.org/officeDocument/2006/relationships/hyperlink" Target="https://www.google.com/maps/search/?api=1&amp;query=Horner%27s+of+Sorrento" TargetMode="External" Id="rId2265" /><Relationship Type="http://schemas.openxmlformats.org/officeDocument/2006/relationships/hyperlink" Target="http://www.instagram.com/harbourvuetavern" TargetMode="External" Id="rId2266" /><Relationship Type="http://schemas.openxmlformats.org/officeDocument/2006/relationships/hyperlink" Target="http://www.facebook.com/harbourvuetavern" TargetMode="External" Id="rId2267" /><Relationship Type="http://schemas.openxmlformats.org/officeDocument/2006/relationships/hyperlink" Target="https://harbourvuetavern.com.au/" TargetMode="External" Id="rId2268" /><Relationship Type="http://schemas.openxmlformats.org/officeDocument/2006/relationships/hyperlink" Target="https://www.google.com/maps/search/?api=1&amp;query=HarbourVue+Tavern+941+Harbour+Village+Parade+Coomera" TargetMode="External" Id="rId2269" /><Relationship Type="http://schemas.openxmlformats.org/officeDocument/2006/relationships/hyperlink" Target="https://www.instagram.com/hotelcbd" TargetMode="External" Id="rId2270" /><Relationship Type="http://schemas.openxmlformats.org/officeDocument/2006/relationships/hyperlink" Target="https://www.facebook.com/varsitylakeshotelcbd" TargetMode="External" Id="rId2271" /><Relationship Type="http://schemas.openxmlformats.org/officeDocument/2006/relationships/hyperlink" Target="https://hotelcbd.net.au/" TargetMode="External" Id="rId2272" /><Relationship Type="http://schemas.openxmlformats.org/officeDocument/2006/relationships/hyperlink" Target="https://www.google.com/maps/search/?api=1&amp;query=Hotel+CBD" TargetMode="External" Id="rId2273" /><Relationship Type="http://schemas.openxmlformats.org/officeDocument/2006/relationships/hyperlink" Target="https://www.instagram.com/mermaidbeachtavern" TargetMode="External" Id="rId2274" /><Relationship Type="http://schemas.openxmlformats.org/officeDocument/2006/relationships/hyperlink" Target="https://www.facebook.com/mermaidbeachtavern" TargetMode="External" Id="rId2275" /><Relationship Type="http://schemas.openxmlformats.org/officeDocument/2006/relationships/hyperlink" Target="https://mermaidbeachtavern.com.au/" TargetMode="External" Id="rId2276" /><Relationship Type="http://schemas.openxmlformats.org/officeDocument/2006/relationships/hyperlink" Target="https://www.google.com/maps/search/?api=1&amp;query=Mermaid+Beach+Tavern+2500+Gold+Coast+Highway" TargetMode="External" Id="rId2277" /><Relationship Type="http://schemas.openxmlformats.org/officeDocument/2006/relationships/hyperlink" Target="https://www.instagram.com/rqstavern_robina" TargetMode="External" Id="rId2278" /><Relationship Type="http://schemas.openxmlformats.org/officeDocument/2006/relationships/hyperlink" Target="https://www.facebook.com/rqstavern" TargetMode="External" Id="rId2279" /><Relationship Type="http://schemas.openxmlformats.org/officeDocument/2006/relationships/hyperlink" Target="https://www.mcguireshotels.com.au/rqs-robina/" TargetMode="External" Id="rId2280" /><Relationship Type="http://schemas.openxmlformats.org/officeDocument/2006/relationships/hyperlink" Target="https://www.google.com/maps/search/?api=1&amp;query=RQ%27s+Tavern+361+Robina+Parkway+Robina" TargetMode="External" Id="rId2281" /><Relationship Type="http://schemas.openxmlformats.org/officeDocument/2006/relationships/hyperlink" Target="https://www.instagram.com/theqasouthport" TargetMode="External" Id="rId2282" /><Relationship Type="http://schemas.openxmlformats.org/officeDocument/2006/relationships/hyperlink" Target="https://www.facebook.com/qasouthport" TargetMode="External" Id="rId2283" /><Relationship Type="http://schemas.openxmlformats.org/officeDocument/2006/relationships/hyperlink" Target="https://theqa.com.au/" TargetMode="External" Id="rId2284" /><Relationship Type="http://schemas.openxmlformats.org/officeDocument/2006/relationships/hyperlink" Target="https://www.google.com/maps/search/?api=1&amp;query=The+Queen%27s+Arm+Hotel+133+Queen+Street" TargetMode="External" Id="rId2285" /><Relationship Type="http://schemas.openxmlformats.org/officeDocument/2006/relationships/hyperlink" Target="https://www.instagram.com/varsitylakestavern" TargetMode="External" Id="rId2286" /><Relationship Type="http://schemas.openxmlformats.org/officeDocument/2006/relationships/hyperlink" Target="http://www.facebook.com/Varsitylakestavern" TargetMode="External" Id="rId2287" /><Relationship Type="http://schemas.openxmlformats.org/officeDocument/2006/relationships/hyperlink" Target="https://www.varsitylakestavern.com.au/" TargetMode="External" Id="rId2288" /><Relationship Type="http://schemas.openxmlformats.org/officeDocument/2006/relationships/hyperlink" Target="https://www.google.com/maps/search/?api=1&amp;query=Varsity+Lakes+Tavern" TargetMode="External" Id="rId2289" /><Relationship Type="http://schemas.openxmlformats.org/officeDocument/2006/relationships/hyperlink" Target="https://www.instagram.com/cabello_hairandbeautybar" TargetMode="External" Id="rId2290" /><Relationship Type="http://schemas.openxmlformats.org/officeDocument/2006/relationships/hyperlink" Target="https://www.facebook.com/cabellohairandbeautybar" TargetMode="External" Id="rId2291" /><Relationship Type="http://schemas.openxmlformats.org/officeDocument/2006/relationships/hyperlink" Target="https://www.cabellohairandbeautybar.com/" TargetMode="External" Id="rId2292" /><Relationship Type="http://schemas.openxmlformats.org/officeDocument/2006/relationships/hyperlink" Target="https://www.google.com/maps/search/?api=1&amp;query=Cabello" TargetMode="External" Id="rId2293" /><Relationship Type="http://schemas.openxmlformats.org/officeDocument/2006/relationships/hyperlink" Target="https://www.instagram.com/cocomoussehair" TargetMode="External" Id="rId2294" /><Relationship Type="http://schemas.openxmlformats.org/officeDocument/2006/relationships/hyperlink" Target="https://www.facebook.com/CocomousseHair" TargetMode="External" Id="rId2295" /><Relationship Type="http://schemas.openxmlformats.org/officeDocument/2006/relationships/hyperlink" Target="https://cocomousse.com.au/" TargetMode="External" Id="rId2296" /><Relationship Type="http://schemas.openxmlformats.org/officeDocument/2006/relationships/hyperlink" Target="https://www.google.com/maps/search/?api=1&amp;query=CocoMousse" TargetMode="External" Id="rId2297" /><Relationship Type="http://schemas.openxmlformats.org/officeDocument/2006/relationships/hyperlink" Target="https://instagram.com/jstreetbarbers" TargetMode="External" Id="rId2298" /><Relationship Type="http://schemas.openxmlformats.org/officeDocument/2006/relationships/hyperlink" Target="https://facebook.com/JStreetBarbers" TargetMode="External" Id="rId2299" /><Relationship Type="http://schemas.openxmlformats.org/officeDocument/2006/relationships/hyperlink" Target="https://jstreetbarbers.com" TargetMode="External" Id="rId2300" /><Relationship Type="http://schemas.openxmlformats.org/officeDocument/2006/relationships/hyperlink" Target="https://www.google.com/maps/search/?api=1&amp;query=J+Street+Barbers+50+James+Street" TargetMode="External" Id="rId2301" /><Relationship Type="http://schemas.openxmlformats.org/officeDocument/2006/relationships/hyperlink" Target="https://www.instagram.com/roseandcrown_hair" TargetMode="External" Id="rId2302" /><Relationship Type="http://schemas.openxmlformats.org/officeDocument/2006/relationships/hyperlink" Target="https://www.facebook.com/roseandcrownhair" TargetMode="External" Id="rId2303" /><Relationship Type="http://schemas.openxmlformats.org/officeDocument/2006/relationships/hyperlink" Target="https://www.roseandcrownhair.com.au/" TargetMode="External" Id="rId2304" /><Relationship Type="http://schemas.openxmlformats.org/officeDocument/2006/relationships/hyperlink" Target="https://www.google.com/maps/search/?api=1&amp;query=Rose+%26+Crown+Hair+6+Fifth+Avenue" TargetMode="External" Id="rId2305" /><Relationship Type="http://schemas.openxmlformats.org/officeDocument/2006/relationships/hyperlink" Target="https://www.instagram.com/beyondbeautyinternational" TargetMode="External" Id="rId2306" /><Relationship Type="http://schemas.openxmlformats.org/officeDocument/2006/relationships/hyperlink" Target="https://www.facebook.com/BeyondBeautyInternational" TargetMode="External" Id="rId2307" /><Relationship Type="http://schemas.openxmlformats.org/officeDocument/2006/relationships/hyperlink" Target="https://www.beyondbeauty.com.au/" TargetMode="External" Id="rId2308" /><Relationship Type="http://schemas.openxmlformats.org/officeDocument/2006/relationships/hyperlink" Target="https://www.google.com/maps/search/?api=1&amp;query=Beyond+Beauty" TargetMode="External" Id="rId2309" /><Relationship Type="http://schemas.openxmlformats.org/officeDocument/2006/relationships/hyperlink" Target="https://www.instagram.com/blushbeautyandskin" TargetMode="External" Id="rId2310" /><Relationship Type="http://schemas.openxmlformats.org/officeDocument/2006/relationships/hyperlink" Target="https://www.facebook.com/blushbeautysalonsqld" TargetMode="External" Id="rId2311" /><Relationship Type="http://schemas.openxmlformats.org/officeDocument/2006/relationships/hyperlink" Target="https://www.blushbeautysalons.com.au/" TargetMode="External" Id="rId2312" /><Relationship Type="http://schemas.openxmlformats.org/officeDocument/2006/relationships/hyperlink" Target="https://www.google.com/maps/search/?api=1&amp;query=Blush+Beauty+%26+Skin+Salon" TargetMode="External" Id="rId2313" /><Relationship Type="http://schemas.openxmlformats.org/officeDocument/2006/relationships/hyperlink" Target="https://www.instagram.com/ecobysonya" TargetMode="External" Id="rId2314" /><Relationship Type="http://schemas.openxmlformats.org/officeDocument/2006/relationships/hyperlink" Target="https://www.facebook.com/EcoTanAus" TargetMode="External" Id="rId2315" /><Relationship Type="http://schemas.openxmlformats.org/officeDocument/2006/relationships/hyperlink" Target="https://ecotan.com.au/" TargetMode="External" Id="rId2316" /><Relationship Type="http://schemas.openxmlformats.org/officeDocument/2006/relationships/hyperlink" Target="https://www.google.com/maps/search/?api=1&amp;query=ECO+Tan" TargetMode="External" Id="rId2317" /><Relationship Type="http://schemas.openxmlformats.org/officeDocument/2006/relationships/hyperlink" Target="https://www.instagram.com/elysium_APlaceOfBeauty" TargetMode="External" Id="rId2318" /><Relationship Type="http://schemas.openxmlformats.org/officeDocument/2006/relationships/hyperlink" Target="https://www.facebook.com/elysiumburleigh" TargetMode="External" Id="rId2319" /><Relationship Type="http://schemas.openxmlformats.org/officeDocument/2006/relationships/hyperlink" Target="https://www.elysiumbeauty.com.au" TargetMode="External" Id="rId2320" /><Relationship Type="http://schemas.openxmlformats.org/officeDocument/2006/relationships/hyperlink" Target="https://www.google.com/maps/search/?api=1&amp;query=Elysium+A+Place+Of+Beauty" TargetMode="External" Id="rId2321" /><Relationship Type="http://schemas.openxmlformats.org/officeDocument/2006/relationships/hyperlink" Target="https://www.instagram.com/krowndaesthetics" TargetMode="External" Id="rId2322" /><Relationship Type="http://schemas.openxmlformats.org/officeDocument/2006/relationships/hyperlink" Target="https://www.facebook.com/KrowndAesthetics" TargetMode="External" Id="rId2323" /><Relationship Type="http://schemas.openxmlformats.org/officeDocument/2006/relationships/hyperlink" Target="https://www.krownd.com.au/" TargetMode="External" Id="rId2324" /><Relationship Type="http://schemas.openxmlformats.org/officeDocument/2006/relationships/hyperlink" Target="https://www.google.com/maps/search/?api=1&amp;query=Krownd+Men%E2%80%99s+Aesthetic+Clinic" TargetMode="External" Id="rId2325" /><Relationship Type="http://schemas.openxmlformats.org/officeDocument/2006/relationships/hyperlink" Target="https://www.instagram.com/rejuv_goldcoast" TargetMode="External" Id="rId2326" /><Relationship Type="http://schemas.openxmlformats.org/officeDocument/2006/relationships/hyperlink" Target="https://www.facebook.com/rejuvhealthandbeauty" TargetMode="External" Id="rId2327" /><Relationship Type="http://schemas.openxmlformats.org/officeDocument/2006/relationships/hyperlink" Target="https://www.rejuv.clinic/" TargetMode="External" Id="rId2328" /><Relationship Type="http://schemas.openxmlformats.org/officeDocument/2006/relationships/hyperlink" Target="https://www.google.com/maps/search/?api=1&amp;query=Rejuv+Health+%26+Beauty" TargetMode="External" Id="rId2329" /><Relationship Type="http://schemas.openxmlformats.org/officeDocument/2006/relationships/hyperlink" Target="https://www.instagram.com/sculpted_peach_gc" TargetMode="External" Id="rId2330" /><Relationship Type="http://schemas.openxmlformats.org/officeDocument/2006/relationships/hyperlink" Target="https://www.facebook.com/profile.php" TargetMode="External" Id="rId2331" /><Relationship Type="http://schemas.openxmlformats.org/officeDocument/2006/relationships/hyperlink" Target="https://www.sculptedpeach.com.au/" TargetMode="External" Id="rId2332" /><Relationship Type="http://schemas.openxmlformats.org/officeDocument/2006/relationships/hyperlink" Target="https://www.google.com/maps/search/?api=1&amp;query=Sculpted+Peach" TargetMode="External" Id="rId2333" /><Relationship Type="http://schemas.openxmlformats.org/officeDocument/2006/relationships/hyperlink" Target="https://www.instagram.com/skinclinicrobina" TargetMode="External" Id="rId2334" /><Relationship Type="http://schemas.openxmlformats.org/officeDocument/2006/relationships/hyperlink" Target="https://www.facebook.com/skincancerclinicrobina" TargetMode="External" Id="rId2335" /><Relationship Type="http://schemas.openxmlformats.org/officeDocument/2006/relationships/hyperlink" Target="https://www.skinclinicgoldcoast.com.au/" TargetMode="External" Id="rId2336" /><Relationship Type="http://schemas.openxmlformats.org/officeDocument/2006/relationships/hyperlink" Target="https://www.google.com/maps/search/?api=1&amp;query=Skin+Clinic+Robina+232+Waterfront+Place+Robina" TargetMode="External" Id="rId2337" /><Relationship Type="http://schemas.openxmlformats.org/officeDocument/2006/relationships/hyperlink" Target="http://instagram.com/sugarme_baby" TargetMode="External" Id="rId2338" /><Relationship Type="http://schemas.openxmlformats.org/officeDocument/2006/relationships/hyperlink" Target="https://www.facebook.com/sugarmebaby" TargetMode="External" Id="rId2339" /><Relationship Type="http://schemas.openxmlformats.org/officeDocument/2006/relationships/hyperlink" Target="http://www.sugarmebaby.com.au/home/" TargetMode="External" Id="rId2340" /><Relationship Type="http://schemas.openxmlformats.org/officeDocument/2006/relationships/hyperlink" Target="https://www.google.com/maps/search/?api=1&amp;query=Sugar+Me+Baby" TargetMode="External" Id="rId2341" /><Relationship Type="http://schemas.openxmlformats.org/officeDocument/2006/relationships/hyperlink" Target="https://www.instagram.com/handonmyheart_" TargetMode="External" Id="rId2342" /><Relationship Type="http://schemas.openxmlformats.org/officeDocument/2006/relationships/hyperlink" Target="https://www.facebook.com/handonmyheart" TargetMode="External" Id="rId2343" /><Relationship Type="http://schemas.openxmlformats.org/officeDocument/2006/relationships/hyperlink" Target="https://www.handonmyheart.com/pages/our-store" TargetMode="External" Id="rId2344" /><Relationship Type="http://schemas.openxmlformats.org/officeDocument/2006/relationships/hyperlink" Target="https://www.google.com/maps/search/?api=1&amp;query=Hand+On+My+Heart+15+Palm+Beach+Avenue" TargetMode="External" Id="rId2345" /><Relationship Type="http://schemas.openxmlformats.org/officeDocument/2006/relationships/hyperlink" Target="https://www.instagram.com/onenightstanddesignerhire" TargetMode="External" Id="rId2346" /><Relationship Type="http://schemas.openxmlformats.org/officeDocument/2006/relationships/hyperlink" Target="https://onenightstanddesignerhire.com/" TargetMode="External" Id="rId2347" /><Relationship Type="http://schemas.openxmlformats.org/officeDocument/2006/relationships/hyperlink" Target="https://www.google.com/maps/search/?api=1&amp;query=One+Night+Stand+Designer+Dress+Hire" TargetMode="External" Id="rId2348" /><Relationship Type="http://schemas.openxmlformats.org/officeDocument/2006/relationships/hyperlink" Target="https://www.instagram.com/rosaandmarysbridal" TargetMode="External" Id="rId2349" /><Relationship Type="http://schemas.openxmlformats.org/officeDocument/2006/relationships/hyperlink" Target="https://www.facebook.com/Rosaandmarybridal" TargetMode="External" Id="rId2350" /><Relationship Type="http://schemas.openxmlformats.org/officeDocument/2006/relationships/hyperlink" Target="https://rosaandmarybridal.com.au/" TargetMode="External" Id="rId2351" /><Relationship Type="http://schemas.openxmlformats.org/officeDocument/2006/relationships/hyperlink" Target="https://www.google.com/maps/search/?api=1&amp;query=Rosa+%26+Mary%27s+Bridal+Shop" TargetMode="External" Id="rId2352" /><Relationship Type="http://schemas.openxmlformats.org/officeDocument/2006/relationships/hyperlink" Target="https://www.instagram.com/theshoecollectiveaus" TargetMode="External" Id="rId2353" /><Relationship Type="http://schemas.openxmlformats.org/officeDocument/2006/relationships/hyperlink" Target="https://theshoecollective.com.au/" TargetMode="External" Id="rId2354" /><Relationship Type="http://schemas.openxmlformats.org/officeDocument/2006/relationships/hyperlink" Target="https://www.google.com/maps/search/?api=1&amp;query=The+Shoe+Collective" TargetMode="External" Id="rId2355" /><Relationship Type="http://schemas.openxmlformats.org/officeDocument/2006/relationships/hyperlink" Target="https://www.instagram.com/BSKTcafe" TargetMode="External" Id="rId2356" /><Relationship Type="http://schemas.openxmlformats.org/officeDocument/2006/relationships/hyperlink" Target="https://www.facebook.com/BSKTcafe" TargetMode="External" Id="rId2357" /><Relationship Type="http://schemas.openxmlformats.org/officeDocument/2006/relationships/hyperlink" Target="https://bskt.com.au/" TargetMode="External" Id="rId2358" /><Relationship Type="http://schemas.openxmlformats.org/officeDocument/2006/relationships/hyperlink" Target="https://www.google.com/maps/search/?api=1&amp;query=BSKT" TargetMode="External" Id="rId2359" /><Relationship Type="http://schemas.openxmlformats.org/officeDocument/2006/relationships/hyperlink" Target="http://instagram.com/bumblescafe" TargetMode="External" Id="rId2360" /><Relationship Type="http://schemas.openxmlformats.org/officeDocument/2006/relationships/hyperlink" Target="https://facebook.com/bumblesbluehouse" TargetMode="External" Id="rId2361" /><Relationship Type="http://schemas.openxmlformats.org/officeDocument/2006/relationships/hyperlink" Target="https://www.bumblescafe.com/" TargetMode="External" Id="rId2362" /><Relationship Type="http://schemas.openxmlformats.org/officeDocument/2006/relationships/hyperlink" Target="https://www.google.com/maps/search/?api=1&amp;query=Bumbles+Cafe+19+River+Drive+Surfers+Paradise" TargetMode="External" Id="rId2363" /><Relationship Type="http://schemas.openxmlformats.org/officeDocument/2006/relationships/hyperlink" Target="https://www.instagram.com/adorecoffeeroasters" TargetMode="External" Id="rId2364" /><Relationship Type="http://schemas.openxmlformats.org/officeDocument/2006/relationships/hyperlink" Target="https://www.facebook.com/AdoreCoffeeRoasters" TargetMode="External" Id="rId2365" /><Relationship Type="http://schemas.openxmlformats.org/officeDocument/2006/relationships/hyperlink" Target="https://coffeegalleria.com.au/" TargetMode="External" Id="rId2366" /><Relationship Type="http://schemas.openxmlformats.org/officeDocument/2006/relationships/hyperlink" Target="https://www.google.com/maps/search/?api=1&amp;query=Coffee+Galleria" TargetMode="External" Id="rId2367" /><Relationship Type="http://schemas.openxmlformats.org/officeDocument/2006/relationships/hyperlink" Target="https://www.instagram.com/groundingcafe" TargetMode="External" Id="rId2368" /><Relationship Type="http://schemas.openxmlformats.org/officeDocument/2006/relationships/hyperlink" Target="https://www.facebook.com/GroundingCafe" TargetMode="External" Id="rId2369" /><Relationship Type="http://schemas.openxmlformats.org/officeDocument/2006/relationships/hyperlink" Target="https://www.grounding.cafe/" TargetMode="External" Id="rId2370" /><Relationship Type="http://schemas.openxmlformats.org/officeDocument/2006/relationships/hyperlink" Target="https://www.google.com/maps/search/?api=1&amp;query=Grounding+Cafe+3168+Surfers+Paradise+Boulevard+Surfers+Paradise" TargetMode="External" Id="rId2371" /><Relationship Type="http://schemas.openxmlformats.org/officeDocument/2006/relationships/hyperlink" Target="https://www.instagram.com/littlemermaid.goldcoast" TargetMode="External" Id="rId2372" /><Relationship Type="http://schemas.openxmlformats.org/officeDocument/2006/relationships/hyperlink" Target="https://www.facebook.com/LittleMermaidGC" TargetMode="External" Id="rId2373" /><Relationship Type="http://schemas.openxmlformats.org/officeDocument/2006/relationships/hyperlink" Target="https://littlemermaidgc.com.au/" TargetMode="External" Id="rId2374" /><Relationship Type="http://schemas.openxmlformats.org/officeDocument/2006/relationships/hyperlink" Target="https://www.google.com/maps/search/?api=1&amp;query=Little+Mermaid" TargetMode="External" Id="rId2375" /><Relationship Type="http://schemas.openxmlformats.org/officeDocument/2006/relationships/hyperlink" Target="https://www.facebook.com/olympiccircuitcafe" TargetMode="External" Id="rId2376" /><Relationship Type="http://schemas.openxmlformats.org/officeDocument/2006/relationships/hyperlink" Target="https://olympiccircuitcafe.com/" TargetMode="External" Id="rId2377" /><Relationship Type="http://schemas.openxmlformats.org/officeDocument/2006/relationships/hyperlink" Target="https://www.google.com/maps/search/?api=1&amp;query=Olympic+Circuit+Cafe+7+Olympic+Circuit+Southport" TargetMode="External" Id="rId2378" /><Relationship Type="http://schemas.openxmlformats.org/officeDocument/2006/relationships/hyperlink" Target="https://www.facebook.com/senzanomeitalian" TargetMode="External" Id="rId2379" /><Relationship Type="http://schemas.openxmlformats.org/officeDocument/2006/relationships/hyperlink" Target="https://www.senzanome.com.au/" TargetMode="External" Id="rId2380" /><Relationship Type="http://schemas.openxmlformats.org/officeDocument/2006/relationships/hyperlink" Target="https://www.google.com/maps/search/?api=1&amp;query=Senza+Nome+Italian+20+Tedder+Avenue+Main+Beach" TargetMode="External" Id="rId2381" /><Relationship Type="http://schemas.openxmlformats.org/officeDocument/2006/relationships/hyperlink" Target="https://instagram.com/stellarossanerang" TargetMode="External" Id="rId2382" /><Relationship Type="http://schemas.openxmlformats.org/officeDocument/2006/relationships/hyperlink" Target="https://facebook.com/stellarossanerang" TargetMode="External" Id="rId2383" /><Relationship Type="http://schemas.openxmlformats.org/officeDocument/2006/relationships/hyperlink" Target="https://stellarossa.com.au" TargetMode="External" Id="rId2384" /><Relationship Type="http://schemas.openxmlformats.org/officeDocument/2006/relationships/hyperlink" Target="https://www.google.com/maps/search/?api=1&amp;query=Stellarossa+Nerang" TargetMode="External" Id="rId2385" /><Relationship Type="http://schemas.openxmlformats.org/officeDocument/2006/relationships/hyperlink" Target="https://www.instagram.com/kurrawasurf" TargetMode="External" Id="rId2386" /><Relationship Type="http://schemas.openxmlformats.org/officeDocument/2006/relationships/hyperlink" Target="https://www.facebook.com/KurrawaSurf" TargetMode="External" Id="rId2387" /><Relationship Type="http://schemas.openxmlformats.org/officeDocument/2006/relationships/hyperlink" Target="https://www.kurrawasurf.com.au/tower-28-cafe" TargetMode="External" Id="rId2388" /><Relationship Type="http://schemas.openxmlformats.org/officeDocument/2006/relationships/hyperlink" Target="https://www.google.com/maps/search/?api=1&amp;query=Tower+28+Cafe" TargetMode="External" Id="rId2389" /><Relationship Type="http://schemas.openxmlformats.org/officeDocument/2006/relationships/hyperlink" Target="https://www.instagram.com/golfcarsaustralia" TargetMode="External" Id="rId2390" /><Relationship Type="http://schemas.openxmlformats.org/officeDocument/2006/relationships/hyperlink" Target="https://www.facebook.com/Golf-Cars-Australia-105342011885600" TargetMode="External" Id="rId2391" /><Relationship Type="http://schemas.openxmlformats.org/officeDocument/2006/relationships/hyperlink" Target="https://www.golfcarsaustralia.com.au/" TargetMode="External" Id="rId2392" /><Relationship Type="http://schemas.openxmlformats.org/officeDocument/2006/relationships/hyperlink" Target="https://www.google.com/maps/search/?api=1&amp;query=Golf+Cars+Australia" TargetMode="External" Id="rId2393" /><Relationship Type="http://schemas.openxmlformats.org/officeDocument/2006/relationships/hyperlink" Target="https://www.instagram.com/vonbibraautogroup" TargetMode="External" Id="rId2394" /><Relationship Type="http://schemas.openxmlformats.org/officeDocument/2006/relationships/hyperlink" Target="https://www.facebook.com/vonBibraAutoGroup" TargetMode="External" Id="rId2395" /><Relationship Type="http://schemas.openxmlformats.org/officeDocument/2006/relationships/hyperlink" Target="https://www.vonbibra.com.au/" TargetMode="External" Id="rId2396" /><Relationship Type="http://schemas.openxmlformats.org/officeDocument/2006/relationships/hyperlink" Target="https://www.google.com/maps/search/?api=1&amp;query=Von+Bibra+Ferry+Road+Used+Cars+83+Ferry+Road+Southport" TargetMode="External" Id="rId2397" /><Relationship Type="http://schemas.openxmlformats.org/officeDocument/2006/relationships/hyperlink" Target="https://www.instagram.com/vonbibraautogroup" TargetMode="External" Id="rId2398" /><Relationship Type="http://schemas.openxmlformats.org/officeDocument/2006/relationships/hyperlink" Target="https://www.facebook.com/vonBibraAutoGroup" TargetMode="External" Id="rId2399" /><Relationship Type="http://schemas.openxmlformats.org/officeDocument/2006/relationships/hyperlink" Target="https://www.vonbibra.com.au/" TargetMode="External" Id="rId2400" /><Relationship Type="http://schemas.openxmlformats.org/officeDocument/2006/relationships/hyperlink" Target="https://www.google.com/maps/search/?api=1&amp;query=Von+Bibra+Robina+14+Brabham+Circuit+Robina" TargetMode="External" Id="rId2401" /><Relationship Type="http://schemas.openxmlformats.org/officeDocument/2006/relationships/hyperlink" Target="https://www.instagram.com/vonbibraautogroup" TargetMode="External" Id="rId2402" /><Relationship Type="http://schemas.openxmlformats.org/officeDocument/2006/relationships/hyperlink" Target="https://www.facebook.com/vonBibraAutoGroup" TargetMode="External" Id="rId2403" /><Relationship Type="http://schemas.openxmlformats.org/officeDocument/2006/relationships/hyperlink" Target="https://www.vonbibra.com.au/" TargetMode="External" Id="rId2404" /><Relationship Type="http://schemas.openxmlformats.org/officeDocument/2006/relationships/hyperlink" Target="https://www.google.com/maps/search/?api=1&amp;query=Von+Bibra+Robina+7-11+Brabham+Circuit+Robina" TargetMode="External" Id="rId2405" /><Relationship Type="http://schemas.openxmlformats.org/officeDocument/2006/relationships/hyperlink" Target="https://instagram.com/Benowaandbenowahillselc" TargetMode="External" Id="rId2406" /><Relationship Type="http://schemas.openxmlformats.org/officeDocument/2006/relationships/hyperlink" Target="https://www.facebook.com/people/Benowa-Hills-Early-Learning-Centre/100057676358993" TargetMode="External" Id="rId2407" /><Relationship Type="http://schemas.openxmlformats.org/officeDocument/2006/relationships/hyperlink" Target="https://www.benowahillsearlylearning.com.au/" TargetMode="External" Id="rId2408" /><Relationship Type="http://schemas.openxmlformats.org/officeDocument/2006/relationships/hyperlink" Target="https://www.google.com/maps/search/?api=1&amp;query=Benowa+Hills+Early+Learning+Centre" TargetMode="External" Id="rId2409" /><Relationship Type="http://schemas.openxmlformats.org/officeDocument/2006/relationships/hyperlink" Target="https://www.facebook.com/BundallEducationandCareCentre" TargetMode="External" Id="rId2410" /><Relationship Type="http://schemas.openxmlformats.org/officeDocument/2006/relationships/hyperlink" Target="https://bundalleec.com.au/" TargetMode="External" Id="rId2411" /><Relationship Type="http://schemas.openxmlformats.org/officeDocument/2006/relationships/hyperlink" Target="https://www.google.com/maps/search/?api=1&amp;query=Bundall+Early+Education+Centre+92+Slatyer+Avenue+Bundall" TargetMode="External" Id="rId2412" /><Relationship Type="http://schemas.openxmlformats.org/officeDocument/2006/relationships/hyperlink" Target="https://www.instagram.com/goodstartrobinagroves" TargetMode="External" Id="rId2413" /><Relationship Type="http://schemas.openxmlformats.org/officeDocument/2006/relationships/hyperlink" Target="https://www.facebook.com/goodstartel" TargetMode="External" Id="rId2414" /><Relationship Type="http://schemas.openxmlformats.org/officeDocument/2006/relationships/hyperlink" Target="https://www.goodstart.org.au/centres/robina-groves" TargetMode="External" Id="rId2415" /><Relationship Type="http://schemas.openxmlformats.org/officeDocument/2006/relationships/hyperlink" Target="https://www.google.com/maps/search/?api=1&amp;query=Goodstart+Early+Learning+Robina+Groves+508+Christine+Avenue+Robina" TargetMode="External" Id="rId2416" /><Relationship Type="http://schemas.openxmlformats.org/officeDocument/2006/relationships/hyperlink" Target="https://www.instagram.com/harmonyearlyeducation" TargetMode="External" Id="rId2417" /><Relationship Type="http://schemas.openxmlformats.org/officeDocument/2006/relationships/hyperlink" Target="https://www.facebook.com/harmonyearlyeducation" TargetMode="External" Id="rId2418" /><Relationship Type="http://schemas.openxmlformats.org/officeDocument/2006/relationships/hyperlink" Target="https://harmonylearning.com.au/our-centres/" TargetMode="External" Id="rId2419" /><Relationship Type="http://schemas.openxmlformats.org/officeDocument/2006/relationships/hyperlink" Target="https://www.google.com/maps/search/?api=1&amp;query=Harmony+Early+Education+471+Scottsdale+Drive" TargetMode="External" Id="rId2420" /><Relationship Type="http://schemas.openxmlformats.org/officeDocument/2006/relationships/hyperlink" Target="https://www.instagram.com/harmony.hopeisland" TargetMode="External" Id="rId2421" /><Relationship Type="http://schemas.openxmlformats.org/officeDocument/2006/relationships/hyperlink" Target="https://www.facebook.com/profile.php" TargetMode="External" Id="rId2422" /><Relationship Type="http://schemas.openxmlformats.org/officeDocument/2006/relationships/hyperlink" Target="https://harmonylearning.com.au/our-centres/hope-island/" TargetMode="External" Id="rId2423" /><Relationship Type="http://schemas.openxmlformats.org/officeDocument/2006/relationships/hyperlink" Target="https://www.google.com/maps/search/?api=1&amp;query=Harmony+Hope+Island+12+Halcyon+Way+Hope+Island" TargetMode="External" Id="rId2424" /><Relationship Type="http://schemas.openxmlformats.org/officeDocument/2006/relationships/hyperlink" Target="https://www.instagram.com/kidson4th" TargetMode="External" Id="rId2425" /><Relationship Type="http://schemas.openxmlformats.org/officeDocument/2006/relationships/hyperlink" Target="https://www.facebook.com/kidson4th/" TargetMode="External" Id="rId2426" /><Relationship Type="http://schemas.openxmlformats.org/officeDocument/2006/relationships/hyperlink" Target="http://www.kidson4th.com.au/" TargetMode="External" Id="rId2427" /><Relationship Type="http://schemas.openxmlformats.org/officeDocument/2006/relationships/hyperlink" Target="https://www.google.com/maps/search/?api=1&amp;query=Kids+on+4th+18+Fourth+Avenue" TargetMode="External" Id="rId2428" /><Relationship Type="http://schemas.openxmlformats.org/officeDocument/2006/relationships/hyperlink" Target="https://www.instagram.com/gourmet_meats_gold_coast" TargetMode="External" Id="rId2429" /><Relationship Type="http://schemas.openxmlformats.org/officeDocument/2006/relationships/hyperlink" Target="https://www.facebook.com/profile.php" TargetMode="External" Id="rId2430" /><Relationship Type="http://schemas.openxmlformats.org/officeDocument/2006/relationships/hyperlink" Target="https://nobbysbeachmeats.com.au/" TargetMode="External" Id="rId2431" /><Relationship Type="http://schemas.openxmlformats.org/officeDocument/2006/relationships/hyperlink" Target="https://www.google.com/maps/search/?api=1&amp;query=Nobbys+Beach+Gourmet+Meats" TargetMode="External" Id="rId2432" /><Relationship Type="http://schemas.openxmlformats.org/officeDocument/2006/relationships/hyperlink" Target="https://www.instagram.com/sommwinestore" TargetMode="External" Id="rId2433" /><Relationship Type="http://schemas.openxmlformats.org/officeDocument/2006/relationships/hyperlink" Target="https://www.facebook.com/sommwinestoregc" TargetMode="External" Id="rId2434" /><Relationship Type="http://schemas.openxmlformats.org/officeDocument/2006/relationships/hyperlink" Target="https://sommwinestore.com.au/" TargetMode="External" Id="rId2435" /><Relationship Type="http://schemas.openxmlformats.org/officeDocument/2006/relationships/hyperlink" Target="https://www.google.com/maps/search/?api=1&amp;query=Somm+Wine+Store" TargetMode="External" Id="rId2436" /><Relationship Type="http://schemas.openxmlformats.org/officeDocument/2006/relationships/hyperlink" Target="https://www.instagram.com/superbutcheraus" TargetMode="External" Id="rId2437" /><Relationship Type="http://schemas.openxmlformats.org/officeDocument/2006/relationships/hyperlink" Target="https://www.facebook.com/SuperButcherAustralia" TargetMode="External" Id="rId2438" /><Relationship Type="http://schemas.openxmlformats.org/officeDocument/2006/relationships/hyperlink" Target="https://superbutcher.com.au/pages/super-butcher-mermaid-beach" TargetMode="External" Id="rId2439" /><Relationship Type="http://schemas.openxmlformats.org/officeDocument/2006/relationships/hyperlink" Target="https://www.google.com/maps/search/?api=1&amp;query=Super+Butcher" TargetMode="External" Id="rId2440" /><Relationship Type="http://schemas.openxmlformats.org/officeDocument/2006/relationships/hyperlink" Target="https://www.instagram.com/burleigh_dental_studio" TargetMode="External" Id="rId2441" /><Relationship Type="http://schemas.openxmlformats.org/officeDocument/2006/relationships/hyperlink" Target="https://facebook.com/burleighdentalstudio" TargetMode="External" Id="rId2442" /><Relationship Type="http://schemas.openxmlformats.org/officeDocument/2006/relationships/hyperlink" Target="https://burleighdentalstudio.com.au/" TargetMode="External" Id="rId2443" /><Relationship Type="http://schemas.openxmlformats.org/officeDocument/2006/relationships/hyperlink" Target="https://www.google.com/maps/search/?api=1&amp;query=Burleigh+Dental+Studio" TargetMode="External" Id="rId2444" /><Relationship Type="http://schemas.openxmlformats.org/officeDocument/2006/relationships/hyperlink" Target="https://www.instagram.com/miamionedental" TargetMode="External" Id="rId2445" /><Relationship Type="http://schemas.openxmlformats.org/officeDocument/2006/relationships/hyperlink" Target="https://www.facebook.com/maimionedental" TargetMode="External" Id="rId2446" /><Relationship Type="http://schemas.openxmlformats.org/officeDocument/2006/relationships/hyperlink" Target="https://miamionedental.com.au" TargetMode="External" Id="rId2447" /><Relationship Type="http://schemas.openxmlformats.org/officeDocument/2006/relationships/hyperlink" Target="https://www.google.com/maps/search/?api=1&amp;query=Miami+One+Dental" TargetMode="External" Id="rId2448" /><Relationship Type="http://schemas.openxmlformats.org/officeDocument/2006/relationships/hyperlink" Target="https://www.instagram.com/varsitysmiles" TargetMode="External" Id="rId2449" /><Relationship Type="http://schemas.openxmlformats.org/officeDocument/2006/relationships/hyperlink" Target="https://www.facebook.com/VarsitySmiles" TargetMode="External" Id="rId2450" /><Relationship Type="http://schemas.openxmlformats.org/officeDocument/2006/relationships/hyperlink" Target="https://www.varsitysmiles.com.au/" TargetMode="External" Id="rId2451" /><Relationship Type="http://schemas.openxmlformats.org/officeDocument/2006/relationships/hyperlink" Target="https://www.google.com/maps/search/?api=1&amp;query=Varsity+Smiles" TargetMode="External" Id="rId2452" /><Relationship Type="http://schemas.openxmlformats.org/officeDocument/2006/relationships/hyperlink" Target="https://www.instagram.com/fifthavenueflorist/" TargetMode="External" Id="rId2453" /><Relationship Type="http://schemas.openxmlformats.org/officeDocument/2006/relationships/hyperlink" Target="https://www.facebook.com/FifthAveFlorist" TargetMode="External" Id="rId2454" /><Relationship Type="http://schemas.openxmlformats.org/officeDocument/2006/relationships/hyperlink" Target="https://fifthavenueflorist.com.au/" TargetMode="External" Id="rId2455" /><Relationship Type="http://schemas.openxmlformats.org/officeDocument/2006/relationships/hyperlink" Target="https://www.google.com/maps/search/?api=1&amp;query=Fifth+Avenue+Florist" TargetMode="External" Id="rId2456" /><Relationship Type="http://schemas.openxmlformats.org/officeDocument/2006/relationships/hyperlink" Target="https://www.instagram.com/convenient_comm_furniture_" TargetMode="External" Id="rId2457" /><Relationship Type="http://schemas.openxmlformats.org/officeDocument/2006/relationships/hyperlink" Target="https://www.facebook.com/ConvenientInteriors" TargetMode="External" Id="rId2458" /><Relationship Type="http://schemas.openxmlformats.org/officeDocument/2006/relationships/hyperlink" Target="https://www.convenientinteriors.com.au/" TargetMode="External" Id="rId2459" /><Relationship Type="http://schemas.openxmlformats.org/officeDocument/2006/relationships/hyperlink" Target="https://www.google.com/maps/search/?api=1&amp;query=Convenient+Interiors+19+Warehouse+Road" TargetMode="External" Id="rId2460" /><Relationship Type="http://schemas.openxmlformats.org/officeDocument/2006/relationships/hyperlink" Target="http://www.instagram.com/craftenterprises" TargetMode="External" Id="rId2461" /><Relationship Type="http://schemas.openxmlformats.org/officeDocument/2006/relationships/hyperlink" Target="https://www.facebook.com/CraftEnterprises" TargetMode="External" Id="rId2462" /><Relationship Type="http://schemas.openxmlformats.org/officeDocument/2006/relationships/hyperlink" Target="https://craftenterprises.com.au/" TargetMode="External" Id="rId2463" /><Relationship Type="http://schemas.openxmlformats.org/officeDocument/2006/relationships/hyperlink" Target="https://www.google.com/maps/search/?api=1&amp;query=Craft+Enterprises" TargetMode="External" Id="rId2464" /><Relationship Type="http://schemas.openxmlformats.org/officeDocument/2006/relationships/hyperlink" Target="https://www.instagram.com/gather.store" TargetMode="External" Id="rId2465" /><Relationship Type="http://schemas.openxmlformats.org/officeDocument/2006/relationships/hyperlink" Target="https://www.facebook.com/gather.store" TargetMode="External" Id="rId2466" /><Relationship Type="http://schemas.openxmlformats.org/officeDocument/2006/relationships/hyperlink" Target="https://www.gatheraustralia.com.au/" TargetMode="External" Id="rId2467" /><Relationship Type="http://schemas.openxmlformats.org/officeDocument/2006/relationships/hyperlink" Target="https://www.google.com/maps/search/?api=1&amp;query=Gather" TargetMode="External" Id="rId2468" /><Relationship Type="http://schemas.openxmlformats.org/officeDocument/2006/relationships/hyperlink" Target="https://www.instagram.com/globe_interiors_qld" TargetMode="External" Id="rId2469" /><Relationship Type="http://schemas.openxmlformats.org/officeDocument/2006/relationships/hyperlink" Target="https://www.facebook.com/globeinteriorsqld" TargetMode="External" Id="rId2470" /><Relationship Type="http://schemas.openxmlformats.org/officeDocument/2006/relationships/hyperlink" Target="https://www.globeinteriors.com.au/" TargetMode="External" Id="rId2471" /><Relationship Type="http://schemas.openxmlformats.org/officeDocument/2006/relationships/hyperlink" Target="https://www.google.com/maps/search/?api=1&amp;query=Globe+Interiors" TargetMode="External" Id="rId2472" /><Relationship Type="http://schemas.openxmlformats.org/officeDocument/2006/relationships/hyperlink" Target="https://instagram.com/misomisoburleigh" TargetMode="External" Id="rId2473" /><Relationship Type="http://schemas.openxmlformats.org/officeDocument/2006/relationships/hyperlink" Target="https://facebook.com/people/Miso-Miso-Burleigh/100067219482975" TargetMode="External" Id="rId2474" /><Relationship Type="http://schemas.openxmlformats.org/officeDocument/2006/relationships/hyperlink" Target="https://misomisoburleigh.com" TargetMode="External" Id="rId2475" /><Relationship Type="http://schemas.openxmlformats.org/officeDocument/2006/relationships/hyperlink" Target="https://www.google.com/maps/search/?api=1&amp;query=Miso+Miso+50+James+Street" TargetMode="External" Id="rId2476" /><Relationship Type="http://schemas.openxmlformats.org/officeDocument/2006/relationships/hyperlink" Target="https://www.instagram.com/curtain_wonderland_ins" TargetMode="External" Id="rId2477" /><Relationship Type="http://schemas.openxmlformats.org/officeDocument/2006/relationships/hyperlink" Target="https://www.facebook.com/CurtainWonderlandOfficial" TargetMode="External" Id="rId2478" /><Relationship Type="http://schemas.openxmlformats.org/officeDocument/2006/relationships/hyperlink" Target="https://www.curtainwonderland.com.au/" TargetMode="External" Id="rId2479" /><Relationship Type="http://schemas.openxmlformats.org/officeDocument/2006/relationships/hyperlink" Target="https://www.google.com/maps/search/?api=1&amp;query=Curtain+Wonderland" TargetMode="External" Id="rId2480" /><Relationship Type="http://schemas.openxmlformats.org/officeDocument/2006/relationships/hyperlink" Target="https://www.instagram.com/ctj.jewellery" TargetMode="External" Id="rId2481" /><Relationship Type="http://schemas.openxmlformats.org/officeDocument/2006/relationships/hyperlink" Target="https://www.facebook.com/ctj.jewellery.au" TargetMode="External" Id="rId2482" /><Relationship Type="http://schemas.openxmlformats.org/officeDocument/2006/relationships/hyperlink" Target="https://ctj.com.au/" TargetMode="External" Id="rId2483" /><Relationship Type="http://schemas.openxmlformats.org/officeDocument/2006/relationships/hyperlink" Target="https://www.google.com/maps/search/?api=1&amp;query=CTJ" TargetMode="External" Id="rId2484" /><Relationship Type="http://schemas.openxmlformats.org/officeDocument/2006/relationships/hyperlink" Target="https://www.instagram.com/lovelarajewellery" TargetMode="External" Id="rId2485" /><Relationship Type="http://schemas.openxmlformats.org/officeDocument/2006/relationships/hyperlink" Target="https://www.facebook.com/Love-Lara-Jewellery-191476280881144" TargetMode="External" Id="rId2486" /><Relationship Type="http://schemas.openxmlformats.org/officeDocument/2006/relationships/hyperlink" Target="https://lovelarajewellery.com.au/" TargetMode="External" Id="rId2487" /><Relationship Type="http://schemas.openxmlformats.org/officeDocument/2006/relationships/hyperlink" Target="https://www.google.com/maps/search/?api=1&amp;query=Love+Lara+Jewellers" TargetMode="External" Id="rId2488" /><Relationship Type="http://schemas.openxmlformats.org/officeDocument/2006/relationships/hyperlink" Target="https://www.facebook.com/ashmorelandscapeandgardensupplies" TargetMode="External" Id="rId2489" /><Relationship Type="http://schemas.openxmlformats.org/officeDocument/2006/relationships/hyperlink" Target="https://ashmoregardenworld.com/" TargetMode="External" Id="rId2490" /><Relationship Type="http://schemas.openxmlformats.org/officeDocument/2006/relationships/hyperlink" Target="https://www.google.com/maps/search/?api=1&amp;query=Ashmore+Garden+World+Ashmore+Road" TargetMode="External" Id="rId2491" /><Relationship Type="http://schemas.openxmlformats.org/officeDocument/2006/relationships/hyperlink" Target="https://www.instagram.com/currumbinrsl" TargetMode="External" Id="rId2492" /><Relationship Type="http://schemas.openxmlformats.org/officeDocument/2006/relationships/hyperlink" Target="https://www.facebook.com/CurrumbinRSLClub" TargetMode="External" Id="rId2493" /><Relationship Type="http://schemas.openxmlformats.org/officeDocument/2006/relationships/hyperlink" Target="https://www.currumbinrsl.com.au/labocca/" TargetMode="External" Id="rId2494" /><Relationship Type="http://schemas.openxmlformats.org/officeDocument/2006/relationships/hyperlink" Target="https://www.google.com/maps/search/?api=1&amp;query=La+Bocca" TargetMode="External" Id="rId2495" /><Relationship Type="http://schemas.openxmlformats.org/officeDocument/2006/relationships/hyperlink" Target="https://www.instagram.com/tommytopsmassage" TargetMode="External" Id="rId2496" /><Relationship Type="http://schemas.openxmlformats.org/officeDocument/2006/relationships/hyperlink" Target="https://www.facebook.com/tommytopsmassage" TargetMode="External" Id="rId2497" /><Relationship Type="http://schemas.openxmlformats.org/officeDocument/2006/relationships/hyperlink" Target="http://tommytops.com/" TargetMode="External" Id="rId2498" /><Relationship Type="http://schemas.openxmlformats.org/officeDocument/2006/relationships/hyperlink" Target="https://www.google.com/maps/search/?api=1&amp;query=Tommytops+Massage" TargetMode="External" Id="rId2499" /><Relationship Type="http://schemas.openxmlformats.org/officeDocument/2006/relationships/hyperlink" Target="https://www.instagram.com/coastwideservicecentre" TargetMode="External" Id="rId2500" /><Relationship Type="http://schemas.openxmlformats.org/officeDocument/2006/relationships/hyperlink" Target="https://www.facebook.com/coastwiderwc/" TargetMode="External" Id="rId2501" /><Relationship Type="http://schemas.openxmlformats.org/officeDocument/2006/relationships/hyperlink" Target="https://www.coastwiderwc.com.au/" TargetMode="External" Id="rId2502" /><Relationship Type="http://schemas.openxmlformats.org/officeDocument/2006/relationships/hyperlink" Target="https://www.google.com/maps/search/?api=1&amp;query=Coastwide+Service+Centre+8+Reichert+Drive+Molendinar" TargetMode="External" Id="rId2503" /><Relationship Type="http://schemas.openxmlformats.org/officeDocument/2006/relationships/hyperlink" Target="https://www.facebook.com/DonnellyEngineering" TargetMode="External" Id="rId2504" /><Relationship Type="http://schemas.openxmlformats.org/officeDocument/2006/relationships/hyperlink" Target="https://www.donnellyengineering.com.au/" TargetMode="External" Id="rId2505" /><Relationship Type="http://schemas.openxmlformats.org/officeDocument/2006/relationships/hyperlink" Target="https://www.google.com/maps/search/?api=1&amp;query=Donnelly+Engineering" TargetMode="External" Id="rId2506" /><Relationship Type="http://schemas.openxmlformats.org/officeDocument/2006/relationships/hyperlink" Target="https://www.instagram.com/wgbwgroup" TargetMode="External" Id="rId2507" /><Relationship Type="http://schemas.openxmlformats.org/officeDocument/2006/relationships/hyperlink" Target="https://www.facebook.com/WGBWGroup" TargetMode="External" Id="rId2508" /><Relationship Type="http://schemas.openxmlformats.org/officeDocument/2006/relationships/hyperlink" Target="https://www.maxbutts.com.au/contact-us.htm" TargetMode="External" Id="rId2509" /><Relationship Type="http://schemas.openxmlformats.org/officeDocument/2006/relationships/hyperlink" Target="https://www.google.com/maps/search/?api=1&amp;query=Max+Butts+Auto+Body+Works" TargetMode="External" Id="rId2510" /><Relationship Type="http://schemas.openxmlformats.org/officeDocument/2006/relationships/hyperlink" Target="https://www.instagram.com/ntechmekanix" TargetMode="External" Id="rId2511" /><Relationship Type="http://schemas.openxmlformats.org/officeDocument/2006/relationships/hyperlink" Target="https://www.facebook.com/NTECHMekanix" TargetMode="External" Id="rId2512" /><Relationship Type="http://schemas.openxmlformats.org/officeDocument/2006/relationships/hyperlink" Target="https://ntechmekanix.com.au/" TargetMode="External" Id="rId2513" /><Relationship Type="http://schemas.openxmlformats.org/officeDocument/2006/relationships/hyperlink" Target="https://www.google.com/maps/search/?api=1&amp;query=Ntech+Mekanix" TargetMode="External" Id="rId2514" /><Relationship Type="http://schemas.openxmlformats.org/officeDocument/2006/relationships/hyperlink" Target="https://www.instagram.com/smart_auto_electrical" TargetMode="External" Id="rId2515" /><Relationship Type="http://schemas.openxmlformats.org/officeDocument/2006/relationships/hyperlink" Target="https://www.facebook.com/smartautoelectrical" TargetMode="External" Id="rId2516" /><Relationship Type="http://schemas.openxmlformats.org/officeDocument/2006/relationships/hyperlink" Target="https://www.smartautoelectrical.com.au/" TargetMode="External" Id="rId2517" /><Relationship Type="http://schemas.openxmlformats.org/officeDocument/2006/relationships/hyperlink" Target="https://www.google.com/maps/search/?api=1&amp;query=Smart+Auto+Electrical" TargetMode="External" Id="rId2518" /><Relationship Type="http://schemas.openxmlformats.org/officeDocument/2006/relationships/hyperlink" Target="https://www.instagram.com/sommervillesmashrepairs" TargetMode="External" Id="rId2519" /><Relationship Type="http://schemas.openxmlformats.org/officeDocument/2006/relationships/hyperlink" Target="https://www.facebook.com/sommervillesmashrepairs" TargetMode="External" Id="rId2520" /><Relationship Type="http://schemas.openxmlformats.org/officeDocument/2006/relationships/hyperlink" Target="https://sommervillesmashrepairs.com" TargetMode="External" Id="rId2521" /><Relationship Type="http://schemas.openxmlformats.org/officeDocument/2006/relationships/hyperlink" Target="https://www.google.com/maps/search/?api=1&amp;query=Sommerville+Smash+Repairs+12+O%27Shea+Drive" TargetMode="External" Id="rId2522" /><Relationship Type="http://schemas.openxmlformats.org/officeDocument/2006/relationships/hyperlink" Target="https://www.facebook.com/southportbudgettyres" TargetMode="External" Id="rId2523" /><Relationship Type="http://schemas.openxmlformats.org/officeDocument/2006/relationships/hyperlink" Target="https://budgettyressouthport.com/" TargetMode="External" Id="rId2524" /><Relationship Type="http://schemas.openxmlformats.org/officeDocument/2006/relationships/hyperlink" Target="https://www.google.com/maps/search/?api=1&amp;query=Southport+Budget+Tyres+%26+Brakes" TargetMode="External" Id="rId2525" /><Relationship Type="http://schemas.openxmlformats.org/officeDocument/2006/relationships/hyperlink" Target="https://www.facebook.com/southportexhaust" TargetMode="External" Id="rId2526" /><Relationship Type="http://schemas.openxmlformats.org/officeDocument/2006/relationships/hyperlink" Target="https://southportexhaust.com.au/" TargetMode="External" Id="rId2527" /><Relationship Type="http://schemas.openxmlformats.org/officeDocument/2006/relationships/hyperlink" Target="https://www.google.com/maps/search/?api=1&amp;query=Southport+Exhaust" TargetMode="External" Id="rId2528" /><Relationship Type="http://schemas.openxmlformats.org/officeDocument/2006/relationships/hyperlink" Target="https://www.instagram.com/thegaragegoldcoast/" TargetMode="External" Id="rId2529" /><Relationship Type="http://schemas.openxmlformats.org/officeDocument/2006/relationships/hyperlink" Target="https://www.facebook.com/thegaragemiami/" TargetMode="External" Id="rId2530" /><Relationship Type="http://schemas.openxmlformats.org/officeDocument/2006/relationships/hyperlink" Target="https://www.thegaragemiami.com.au/" TargetMode="External" Id="rId2531" /><Relationship Type="http://schemas.openxmlformats.org/officeDocument/2006/relationships/hyperlink" Target="https://www.google.com/maps/search/?api=1&amp;query=The+Garage+18+Pacific+Avenue" TargetMode="External" Id="rId2532" /><Relationship Type="http://schemas.openxmlformats.org/officeDocument/2006/relationships/hyperlink" Target="https://www.facebook.com/wix" TargetMode="External" Id="rId2533" /><Relationship Type="http://schemas.openxmlformats.org/officeDocument/2006/relationships/hyperlink" Target="https://www.threepointgoldcoast.com/" TargetMode="External" Id="rId2534" /><Relationship Type="http://schemas.openxmlformats.org/officeDocument/2006/relationships/hyperlink" Target="https://www.google.com/maps/search/?api=1&amp;query=Three+Point" TargetMode="External" Id="rId2535" /><Relationship Type="http://schemas.openxmlformats.org/officeDocument/2006/relationships/hyperlink" Target="https://www.facebook.com/ashburycosmeticsurgery" TargetMode="External" Id="rId2536" /><Relationship Type="http://schemas.openxmlformats.org/officeDocument/2006/relationships/hyperlink" Target="https://ashburycosmetic.com.au/" TargetMode="External" Id="rId2537" /><Relationship Type="http://schemas.openxmlformats.org/officeDocument/2006/relationships/hyperlink" Target="https://www.google.com/maps/search/?api=1&amp;query=Ashbury+Cosmetics+Gold+Coast" TargetMode="External" Id="rId2538" /><Relationship Type="http://schemas.openxmlformats.org/officeDocument/2006/relationships/hyperlink" Target="https://www.facebook.com/BugalwenaGP" TargetMode="External" Id="rId2539" /><Relationship Type="http://schemas.openxmlformats.org/officeDocument/2006/relationships/hyperlink" Target="https://bnmac.com.au/clinics/bugalwena-general-practice/" TargetMode="External" Id="rId2540" /><Relationship Type="http://schemas.openxmlformats.org/officeDocument/2006/relationships/hyperlink" Target="https://www.google.com/maps/search/?api=1&amp;query=Bugalwena+General+Practice" TargetMode="External" Id="rId2541" /><Relationship Type="http://schemas.openxmlformats.org/officeDocument/2006/relationships/hyperlink" Target="https://www.facebook.com/bundallmedicalcentre" TargetMode="External" Id="rId2542" /><Relationship Type="http://schemas.openxmlformats.org/officeDocument/2006/relationships/hyperlink" Target="https://bundallmedicalcentre.com.au/" TargetMode="External" Id="rId2543" /><Relationship Type="http://schemas.openxmlformats.org/officeDocument/2006/relationships/hyperlink" Target="https://www.google.com/maps/search/?api=1&amp;query=Bundall+Medical+Centre" TargetMode="External" Id="rId2544" /><Relationship Type="http://schemas.openxmlformats.org/officeDocument/2006/relationships/hyperlink" Target="https://www.instagram.com/filtered_faces_aesthetics/" TargetMode="External" Id="rId2545" /><Relationship Type="http://schemas.openxmlformats.org/officeDocument/2006/relationships/hyperlink" Target="https://www.facebook.com/people/filtered_faces_aesthetics/100064212724547/" TargetMode="External" Id="rId2546" /><Relationship Type="http://schemas.openxmlformats.org/officeDocument/2006/relationships/hyperlink" Target="https://filteredfacesaesthetics.com/" TargetMode="External" Id="rId2547" /><Relationship Type="http://schemas.openxmlformats.org/officeDocument/2006/relationships/hyperlink" Target="https://www.google.com/maps/search/?api=1&amp;query=Filtered+Faces+Aesthetics+19+Park+Avenue" TargetMode="External" Id="rId2548" /><Relationship Type="http://schemas.openxmlformats.org/officeDocument/2006/relationships/hyperlink" Target="https://www.instagram.com/medicalonmiami" TargetMode="External" Id="rId2549" /><Relationship Type="http://schemas.openxmlformats.org/officeDocument/2006/relationships/hyperlink" Target="https://www.facebook.com/medicalonmiami" TargetMode="External" Id="rId2550" /><Relationship Type="http://schemas.openxmlformats.org/officeDocument/2006/relationships/hyperlink" Target="https://medicalonmiami.com.au/" TargetMode="External" Id="rId2551" /><Relationship Type="http://schemas.openxmlformats.org/officeDocument/2006/relationships/hyperlink" Target="https://www.google.com/maps/search/?api=1&amp;query=Medical+On+Miami" TargetMode="External" Id="rId2552" /><Relationship Type="http://schemas.openxmlformats.org/officeDocument/2006/relationships/hyperlink" Target="https://www.instagram.com/mermaidcentralmc" TargetMode="External" Id="rId2553" /><Relationship Type="http://schemas.openxmlformats.org/officeDocument/2006/relationships/hyperlink" Target="https://www.facebook.com/mermaidcentralmc" TargetMode="External" Id="rId2554" /><Relationship Type="http://schemas.openxmlformats.org/officeDocument/2006/relationships/hyperlink" Target="https://www.mermaidcentralmedicalclinic.com.au/index.php" TargetMode="External" Id="rId2555" /><Relationship Type="http://schemas.openxmlformats.org/officeDocument/2006/relationships/hyperlink" Target="https://www.google.com/maps/search/?api=1&amp;query=Mermaid+Central+Medical+Clinic+2431+Gold+Coast+Highway+Mermaid+Beach" TargetMode="External" Id="rId2556" /><Relationship Type="http://schemas.openxmlformats.org/officeDocument/2006/relationships/hyperlink" Target="https://www.instagram.com/mygreenmedical" TargetMode="External" Id="rId2557" /><Relationship Type="http://schemas.openxmlformats.org/officeDocument/2006/relationships/hyperlink" Target="https://www.facebook.com/profile.php" TargetMode="External" Id="rId2558" /><Relationship Type="http://schemas.openxmlformats.org/officeDocument/2006/relationships/hyperlink" Target="https://www.mygreenmedical.com.au/location-bundall/" TargetMode="External" Id="rId2559" /><Relationship Type="http://schemas.openxmlformats.org/officeDocument/2006/relationships/hyperlink" Target="https://www.google.com/maps/search/?api=1&amp;query=My+Green+Medical" TargetMode="External" Id="rId2560" /><Relationship Type="http://schemas.openxmlformats.org/officeDocument/2006/relationships/hyperlink" Target="http://instagram.com/optimalhealth_gc" TargetMode="External" Id="rId2561" /><Relationship Type="http://schemas.openxmlformats.org/officeDocument/2006/relationships/hyperlink" Target="https://www.facebook.com/OptimalHealthGc" TargetMode="External" Id="rId2562" /><Relationship Type="http://schemas.openxmlformats.org/officeDocument/2006/relationships/hyperlink" Target="http://www.optimalhealthgc.com.au/" TargetMode="External" Id="rId2563" /><Relationship Type="http://schemas.openxmlformats.org/officeDocument/2006/relationships/hyperlink" Target="https://www.google.com/maps/search/?api=1&amp;query=Optimal+Health+Chiropractic" TargetMode="External" Id="rId2564" /><Relationship Type="http://schemas.openxmlformats.org/officeDocument/2006/relationships/hyperlink" Target="https://www.instagram.com/robinavillagemedicalcentre" TargetMode="External" Id="rId2565" /><Relationship Type="http://schemas.openxmlformats.org/officeDocument/2006/relationships/hyperlink" Target="https://www.facebook.com/100812578168280" TargetMode="External" Id="rId2566" /><Relationship Type="http://schemas.openxmlformats.org/officeDocument/2006/relationships/hyperlink" Target="https://robinavillagemedical.com.au/" TargetMode="External" Id="rId2567" /><Relationship Type="http://schemas.openxmlformats.org/officeDocument/2006/relationships/hyperlink" Target="https://www.google.com/maps/search/?api=1&amp;query=Robina+Village+Medical+Centre" TargetMode="External" Id="rId2568" /><Relationship Type="http://schemas.openxmlformats.org/officeDocument/2006/relationships/hyperlink" Target="https://www.facebook.com/Tamborine-Mountain-Medical-Practice-875436596124506" TargetMode="External" Id="rId2569" /><Relationship Type="http://schemas.openxmlformats.org/officeDocument/2006/relationships/hyperlink" Target="https://www.tmmp.com.au/" TargetMode="External" Id="rId2570" /><Relationship Type="http://schemas.openxmlformats.org/officeDocument/2006/relationships/hyperlink" Target="https://www.google.com/maps/search/?api=1&amp;query=Tamborine+Mountain+Medical+Practice" TargetMode="External" Id="rId2571" /><Relationship Type="http://schemas.openxmlformats.org/officeDocument/2006/relationships/hyperlink" Target="https://www.facebook.com/TheCardiacCtr" TargetMode="External" Id="rId2572" /><Relationship Type="http://schemas.openxmlformats.org/officeDocument/2006/relationships/hyperlink" Target="https://www.cardiac-centre.com.au/" TargetMode="External" Id="rId2573" /><Relationship Type="http://schemas.openxmlformats.org/officeDocument/2006/relationships/hyperlink" Target="https://www.google.com/maps/search/?api=1&amp;query=The+Cardiac+Center" TargetMode="External" Id="rId2574" /><Relationship Type="http://schemas.openxmlformats.org/officeDocument/2006/relationships/hyperlink" Target="https://www.instagram.com/concretecms" TargetMode="External" Id="rId2575" /><Relationship Type="http://schemas.openxmlformats.org/officeDocument/2006/relationships/hyperlink" Target="https://www.facebook.com/concretecms" TargetMode="External" Id="rId2576" /><Relationship Type="http://schemas.openxmlformats.org/officeDocument/2006/relationships/hyperlink" Target="https://www.hopeislandoptometrist.com.au/" TargetMode="External" Id="rId2577" /><Relationship Type="http://schemas.openxmlformats.org/officeDocument/2006/relationships/hyperlink" Target="https://www.google.com/maps/search/?api=1&amp;query=Hope+Island+Optical" TargetMode="External" Id="rId2578" /><Relationship Type="http://schemas.openxmlformats.org/officeDocument/2006/relationships/hyperlink" Target="https://www.instagram.com/vueoptometrists" TargetMode="External" Id="rId2579" /><Relationship Type="http://schemas.openxmlformats.org/officeDocument/2006/relationships/hyperlink" Target="https://www.facebook.com/search/top" TargetMode="External" Id="rId2580" /><Relationship Type="http://schemas.openxmlformats.org/officeDocument/2006/relationships/hyperlink" Target="https://vueoptometrists.com.au/" TargetMode="External" Id="rId2581" /><Relationship Type="http://schemas.openxmlformats.org/officeDocument/2006/relationships/hyperlink" Target="https://www.google.com/maps/search/?api=1&amp;query=Vue+Optometrists+15+Palm+Beach+Avenue" TargetMode="External" Id="rId2582" /><Relationship Type="http://schemas.openxmlformats.org/officeDocument/2006/relationships/hyperlink" Target="https://www.instagram.com/curtisstvets" TargetMode="External" Id="rId2583" /><Relationship Type="http://schemas.openxmlformats.org/officeDocument/2006/relationships/hyperlink" Target="https://www.facebook.com/curtisstreetvets" TargetMode="External" Id="rId2584" /><Relationship Type="http://schemas.openxmlformats.org/officeDocument/2006/relationships/hyperlink" Target="https://curtisstvets.com.au/" TargetMode="External" Id="rId2585" /><Relationship Type="http://schemas.openxmlformats.org/officeDocument/2006/relationships/hyperlink" Target="https://www.google.com/maps/search/?api=1&amp;query=Curtis+Street+Vets" TargetMode="External" Id="rId2586" /><Relationship Type="http://schemas.openxmlformats.org/officeDocument/2006/relationships/hyperlink" Target="https://www.instagram.com/peerless_pooches" TargetMode="External" Id="rId2587" /><Relationship Type="http://schemas.openxmlformats.org/officeDocument/2006/relationships/hyperlink" Target="https://peerlesspooches.com.au/" TargetMode="External" Id="rId2588" /><Relationship Type="http://schemas.openxmlformats.org/officeDocument/2006/relationships/hyperlink" Target="https://www.google.com/maps/search/?api=1&amp;query=Peerless+Pooches+Pet+Parlour" TargetMode="External" Id="rId2589" /><Relationship Type="http://schemas.openxmlformats.org/officeDocument/2006/relationships/hyperlink" Target="https://www.instagram.com/petwellnesscentres" TargetMode="External" Id="rId2590" /><Relationship Type="http://schemas.openxmlformats.org/officeDocument/2006/relationships/hyperlink" Target="https://www.facebook.com/petwellnesscentres" TargetMode="External" Id="rId2591" /><Relationship Type="http://schemas.openxmlformats.org/officeDocument/2006/relationships/hyperlink" Target="https://petwellnesscentres.com.au/" TargetMode="External" Id="rId2592" /><Relationship Type="http://schemas.openxmlformats.org/officeDocument/2006/relationships/hyperlink" Target="https://www.google.com/maps/search/?api=1&amp;query=Pet+Wellness+Centre+Burleigh+Heads" TargetMode="External" Id="rId2593" /><Relationship Type="http://schemas.openxmlformats.org/officeDocument/2006/relationships/hyperlink" Target="https://www.instagram.com/vetcallmudgeeraba" TargetMode="External" Id="rId2594" /><Relationship Type="http://schemas.openxmlformats.org/officeDocument/2006/relationships/hyperlink" Target="https://www.facebook.com/vetcallmudgeeraba" TargetMode="External" Id="rId2595" /><Relationship Type="http://schemas.openxmlformats.org/officeDocument/2006/relationships/hyperlink" Target="https://vetcallmudgeeraba.com.au/" TargetMode="External" Id="rId2596" /><Relationship Type="http://schemas.openxmlformats.org/officeDocument/2006/relationships/hyperlink" Target="https://www.google.com/maps/search/?api=1&amp;query=Vetcall+Mudgeeraba" TargetMode="External" Id="rId2597" /><Relationship Type="http://schemas.openxmlformats.org/officeDocument/2006/relationships/hyperlink" Target="https://www.facebook.com/ActiveHandTherapyGoldCoast" TargetMode="External" Id="rId2598" /><Relationship Type="http://schemas.openxmlformats.org/officeDocument/2006/relationships/hyperlink" Target="https://activehandtherapy.com.au/" TargetMode="External" Id="rId2599" /><Relationship Type="http://schemas.openxmlformats.org/officeDocument/2006/relationships/hyperlink" Target="https://www.google.com/maps/search/?api=1&amp;query=Active+Hand+Therapy+1095+Gold+Coast+Highway" TargetMode="External" Id="rId2600" /><Relationship Type="http://schemas.openxmlformats.org/officeDocument/2006/relationships/hyperlink" Target="https://www.instagram.com/atlantisrc_" TargetMode="External" Id="rId2601" /><Relationship Type="http://schemas.openxmlformats.org/officeDocument/2006/relationships/hyperlink" Target="https://www.facebook.com/atlantisrecoverycentre" TargetMode="External" Id="rId2602" /><Relationship Type="http://schemas.openxmlformats.org/officeDocument/2006/relationships/hyperlink" Target="https://atlantisrc.com.au/" TargetMode="External" Id="rId2603" /><Relationship Type="http://schemas.openxmlformats.org/officeDocument/2006/relationships/hyperlink" Target="https://www.google.com/maps/search/?api=1&amp;query=Atlantis+Recovery+Centre" TargetMode="External" Id="rId2604" /><Relationship Type="http://schemas.openxmlformats.org/officeDocument/2006/relationships/hyperlink" Target="https://www.instagram.com/back_in_motion_bundall" TargetMode="External" Id="rId2605" /><Relationship Type="http://schemas.openxmlformats.org/officeDocument/2006/relationships/hyperlink" Target="https://www.facebook.com/backinmotionbundall" TargetMode="External" Id="rId2606" /><Relationship Type="http://schemas.openxmlformats.org/officeDocument/2006/relationships/hyperlink" Target="https://www.backinmotion.com.au/bundall" TargetMode="External" Id="rId2607" /><Relationship Type="http://schemas.openxmlformats.org/officeDocument/2006/relationships/hyperlink" Target="https://www.google.com/maps/search/?api=1&amp;query=Back+In+Motion+Bundall" TargetMode="External" Id="rId2608" /><Relationship Type="http://schemas.openxmlformats.org/officeDocument/2006/relationships/hyperlink" Target="https://www.instagram.com/bellplacephysiotherapy" TargetMode="External" Id="rId2609" /><Relationship Type="http://schemas.openxmlformats.org/officeDocument/2006/relationships/hyperlink" Target="https://www.facebook.com/BellPlacePhysiotherapy/services" TargetMode="External" Id="rId2610" /><Relationship Type="http://schemas.openxmlformats.org/officeDocument/2006/relationships/hyperlink" Target="https://www.bellplacephysiotherapy.com.au/" TargetMode="External" Id="rId2611" /><Relationship Type="http://schemas.openxmlformats.org/officeDocument/2006/relationships/hyperlink" Target="https://www.google.com/maps/search/?api=1&amp;query=Bell+Place+Physiotherapy" TargetMode="External" Id="rId2612" /><Relationship Type="http://schemas.openxmlformats.org/officeDocument/2006/relationships/hyperlink" Target="https://www.instagram.com/ferry_rd_physio" TargetMode="External" Id="rId2613" /><Relationship Type="http://schemas.openxmlformats.org/officeDocument/2006/relationships/hyperlink" Target="https://www.facebook.com/ferryrdphysio" TargetMode="External" Id="rId2614" /><Relationship Type="http://schemas.openxmlformats.org/officeDocument/2006/relationships/hyperlink" Target="https://www.ferryrdphysio.com.au/" TargetMode="External" Id="rId2615" /><Relationship Type="http://schemas.openxmlformats.org/officeDocument/2006/relationships/hyperlink" Target="https://www.google.com/maps/search/?api=1&amp;query=Ferry+Rd+Physio+andFunctional+Therapies+294+Ferry+Road+Southport" TargetMode="External" Id="rId2616" /><Relationship Type="http://schemas.openxmlformats.org/officeDocument/2006/relationships/hyperlink" Target="http://www.instagram.com/fixmymuscleshq" TargetMode="External" Id="rId2617" /><Relationship Type="http://schemas.openxmlformats.org/officeDocument/2006/relationships/hyperlink" Target="http://www.facebook.com/fixmymuscleshq" TargetMode="External" Id="rId2618" /><Relationship Type="http://schemas.openxmlformats.org/officeDocument/2006/relationships/hyperlink" Target="https://www.fixmymuscles.com.au/" TargetMode="External" Id="rId2619" /><Relationship Type="http://schemas.openxmlformats.org/officeDocument/2006/relationships/hyperlink" Target="https://www.google.com/maps/search/?api=1&amp;query=Fix+My+Muscles" TargetMode="External" Id="rId2620" /><Relationship Type="http://schemas.openxmlformats.org/officeDocument/2006/relationships/hyperlink" Target="https://www.instagram.com/acountinghousegc" TargetMode="External" Id="rId2621" /><Relationship Type="http://schemas.openxmlformats.org/officeDocument/2006/relationships/hyperlink" Target="https://www.facebook.com/acountinghouseqld" TargetMode="External" Id="rId2622" /><Relationship Type="http://schemas.openxmlformats.org/officeDocument/2006/relationships/hyperlink" Target="https://acountinghouse.com/" TargetMode="External" Id="rId2623" /><Relationship Type="http://schemas.openxmlformats.org/officeDocument/2006/relationships/hyperlink" Target="https://www.google.com/maps/search/?api=1&amp;query=A+Counting+House" TargetMode="External" Id="rId2624" /><Relationship Type="http://schemas.openxmlformats.org/officeDocument/2006/relationships/hyperlink" Target="https://www.facebook.com/profile.php" TargetMode="External" Id="rId2625" /><Relationship Type="http://schemas.openxmlformats.org/officeDocument/2006/relationships/hyperlink" Target="https://www.accountingedge.com.au/" TargetMode="External" Id="rId2626" /><Relationship Type="http://schemas.openxmlformats.org/officeDocument/2006/relationships/hyperlink" Target="https://www.google.com/maps/search/?api=1&amp;query=Accounting+Edge" TargetMode="External" Id="rId2627" /><Relationship Type="http://schemas.openxmlformats.org/officeDocument/2006/relationships/hyperlink" Target="https://www.facebook.com/BridglandFindlayAccountingPtyLtd" TargetMode="External" Id="rId2628" /><Relationship Type="http://schemas.openxmlformats.org/officeDocument/2006/relationships/hyperlink" Target="https://www.bridglandfindlayaccounting.com.au/" TargetMode="External" Id="rId2629" /><Relationship Type="http://schemas.openxmlformats.org/officeDocument/2006/relationships/hyperlink" Target="https://www.google.com/maps/search/?api=1&amp;query=Bridgland+Findlay+Accounting" TargetMode="External" Id="rId2630" /><Relationship Type="http://schemas.openxmlformats.org/officeDocument/2006/relationships/hyperlink" Target="https://facebook.com/brownslawyers" TargetMode="External" Id="rId2631" /><Relationship Type="http://schemas.openxmlformats.org/officeDocument/2006/relationships/hyperlink" Target="https://brownslawyers.com.au" TargetMode="External" Id="rId2632" /><Relationship Type="http://schemas.openxmlformats.org/officeDocument/2006/relationships/hyperlink" Target="https://www.google.com/maps/search/?api=1&amp;query=Browns+Lawyers+11+Sunshine+Parade" TargetMode="External" Id="rId2633" /><Relationship Type="http://schemas.openxmlformats.org/officeDocument/2006/relationships/hyperlink" Target="http://www.facebook.com/diamondssolicitors" TargetMode="External" Id="rId2634" /><Relationship Type="http://schemas.openxmlformats.org/officeDocument/2006/relationships/hyperlink" Target="https://www.diamondssolicitors.com.au/contact-us" TargetMode="External" Id="rId2635" /><Relationship Type="http://schemas.openxmlformats.org/officeDocument/2006/relationships/hyperlink" Target="https://www.google.com/maps/search/?api=1&amp;query=Diamonds+Solicitors" TargetMode="External" Id="rId2636" /><Relationship Type="http://schemas.openxmlformats.org/officeDocument/2006/relationships/hyperlink" Target="https://instagram.com/financingproperty" TargetMode="External" Id="rId2637" /><Relationship Type="http://schemas.openxmlformats.org/officeDocument/2006/relationships/hyperlink" Target="https://www.facebook.com/financingproperty" TargetMode="External" Id="rId2638" /><Relationship Type="http://schemas.openxmlformats.org/officeDocument/2006/relationships/hyperlink" Target="https://financingproperty.com.au" TargetMode="External" Id="rId2639" /><Relationship Type="http://schemas.openxmlformats.org/officeDocument/2006/relationships/hyperlink" Target="https://www.google.com/maps/search/?api=1&amp;query=Financing+Property+2098+Gold+Coast+Highway+Miami" TargetMode="External" Id="rId2640" /><Relationship Type="http://schemas.openxmlformats.org/officeDocument/2006/relationships/hyperlink" Target="https://www.instagram.com/oreillyworkplacelaw" TargetMode="External" Id="rId2641" /><Relationship Type="http://schemas.openxmlformats.org/officeDocument/2006/relationships/hyperlink" Target="https://www.facebook.com/oreillyworkplacelaw" TargetMode="External" Id="rId2642" /><Relationship Type="http://schemas.openxmlformats.org/officeDocument/2006/relationships/hyperlink" Target="https://oreillyworkplacelaw.com.au/" TargetMode="External" Id="rId2643" /><Relationship Type="http://schemas.openxmlformats.org/officeDocument/2006/relationships/hyperlink" Target="https://www.google.com/maps/search/?api=1&amp;query=O%E2%80%99Reilly+Workplace+Law" TargetMode="External" Id="rId2644" /><Relationship Type="http://schemas.openxmlformats.org/officeDocument/2006/relationships/hyperlink" Target="http://www.instagram.com/peerlesslaw" TargetMode="External" Id="rId2645" /><Relationship Type="http://schemas.openxmlformats.org/officeDocument/2006/relationships/hyperlink" Target="http://www.facebook.com/peerlesslaw" TargetMode="External" Id="rId2646" /><Relationship Type="http://schemas.openxmlformats.org/officeDocument/2006/relationships/hyperlink" Target="https://www.thepeerless.com.au/" TargetMode="External" Id="rId2647" /><Relationship Type="http://schemas.openxmlformats.org/officeDocument/2006/relationships/hyperlink" Target="https://www.google.com/maps/search/?api=1&amp;query=Peerless+Law+Firm" TargetMode="External" Id="rId2648" /><Relationship Type="http://schemas.openxmlformats.org/officeDocument/2006/relationships/hyperlink" Target="https://www.facebook.com/shipleycrozieraccountants" TargetMode="External" Id="rId2649" /><Relationship Type="http://schemas.openxmlformats.org/officeDocument/2006/relationships/hyperlink" Target="https://shipleycrozier.com.au/" TargetMode="External" Id="rId2650" /><Relationship Type="http://schemas.openxmlformats.org/officeDocument/2006/relationships/hyperlink" Target="https://www.google.com/maps/search/?api=1&amp;query=Shipley+Crozier+Accountants" TargetMode="External" Id="rId2651" /><Relationship Type="http://schemas.openxmlformats.org/officeDocument/2006/relationships/hyperlink" Target="https://www.facebook.com/Chateaux-Group-117144475093593" TargetMode="External" Id="rId2652" /><Relationship Type="http://schemas.openxmlformats.org/officeDocument/2006/relationships/hyperlink" Target="https://www.chateaux.com.au/" TargetMode="External" Id="rId2653" /><Relationship Type="http://schemas.openxmlformats.org/officeDocument/2006/relationships/hyperlink" Target="https://www.google.com/maps/search/?api=1&amp;query=Chateaux+Property+Group+310+Ferry+Road+Southport" TargetMode="External" Id="rId2654" /><Relationship Type="http://schemas.openxmlformats.org/officeDocument/2006/relationships/hyperlink" Target="https://www.instagram.com/ngu_real_estate" TargetMode="External" Id="rId2655" /><Relationship Type="http://schemas.openxmlformats.org/officeDocument/2006/relationships/hyperlink" Target="https://www.facebook.com/ngurealestate" TargetMode="External" Id="rId2656" /><Relationship Type="http://schemas.openxmlformats.org/officeDocument/2006/relationships/hyperlink" Target="https://www.ngugoldcoast.com.au/" TargetMode="External" Id="rId2657" /><Relationship Type="http://schemas.openxmlformats.org/officeDocument/2006/relationships/hyperlink" Target="https://www.google.com/maps/search/?api=1&amp;query=NGU+Real+Estate" TargetMode="External" Id="rId2658" /><Relationship Type="http://schemas.openxmlformats.org/officeDocument/2006/relationships/hyperlink" Target="https://www.instagram.com/ngu_real_estate" TargetMode="External" Id="rId2659" /><Relationship Type="http://schemas.openxmlformats.org/officeDocument/2006/relationships/hyperlink" Target="https://www.facebook.com/ngurealestate" TargetMode="External" Id="rId2660" /><Relationship Type="http://schemas.openxmlformats.org/officeDocument/2006/relationships/hyperlink" Target="https://www.ngurealestate.com.au/gold-coast/" TargetMode="External" Id="rId2661" /><Relationship Type="http://schemas.openxmlformats.org/officeDocument/2006/relationships/hyperlink" Target="https://www.google.com/maps/search/?api=1&amp;query=NGU+Real+Estate+Gold+Coast" TargetMode="External" Id="rId2662" /><Relationship Type="http://schemas.openxmlformats.org/officeDocument/2006/relationships/hyperlink" Target="https://www.instagram.com/prdrealestate" TargetMode="External" Id="rId2663" /><Relationship Type="http://schemas.openxmlformats.org/officeDocument/2006/relationships/hyperlink" Target="https://www.facebook.com/PRDRealEstate" TargetMode="External" Id="rId2664" /><Relationship Type="http://schemas.openxmlformats.org/officeDocument/2006/relationships/hyperlink" Target="https://www.prdcoolangattatweedcoast.com.au/" TargetMode="External" Id="rId2665" /><Relationship Type="http://schemas.openxmlformats.org/officeDocument/2006/relationships/hyperlink" Target="https://www.google.com/maps/search/?api=1&amp;query=PRD+Coolangatta%2FTweed" TargetMode="External" Id="rId2666" /><Relationship Type="http://schemas.openxmlformats.org/officeDocument/2006/relationships/hyperlink" Target="https://www.instagram.com/salt.property/" TargetMode="External" Id="rId2667" /><Relationship Type="http://schemas.openxmlformats.org/officeDocument/2006/relationships/hyperlink" Target="https://www.saltproperties.com.au/" TargetMode="External" Id="rId2668" /><Relationship Type="http://schemas.openxmlformats.org/officeDocument/2006/relationships/hyperlink" Target="https://www.google.com/maps/search/?api=1&amp;query=Salt+Property" TargetMode="External" Id="rId2669" /><Relationship Type="http://schemas.openxmlformats.org/officeDocument/2006/relationships/hyperlink" Target="https://instagram.com/socialrealestateagents" TargetMode="External" Id="rId2670" /><Relationship Type="http://schemas.openxmlformats.org/officeDocument/2006/relationships/hyperlink" Target="https://socialrea.com.au/" TargetMode="External" Id="rId2671" /><Relationship Type="http://schemas.openxmlformats.org/officeDocument/2006/relationships/hyperlink" Target="https://www.google.com/maps/search/?api=1&amp;query=Social+Real+Estate" TargetMode="External" Id="rId2672" /><Relationship Type="http://schemas.openxmlformats.org/officeDocument/2006/relationships/hyperlink" Target="https://www.instagram.com/theagency_realestate" TargetMode="External" Id="rId2673" /><Relationship Type="http://schemas.openxmlformats.org/officeDocument/2006/relationships/hyperlink" Target="https://www.facebook.com/theagencyaustralia" TargetMode="External" Id="rId2674" /><Relationship Type="http://schemas.openxmlformats.org/officeDocument/2006/relationships/hyperlink" Target="https://theagency.com.au/office/10/gold-coast" TargetMode="External" Id="rId2675" /><Relationship Type="http://schemas.openxmlformats.org/officeDocument/2006/relationships/hyperlink" Target="https://www.google.com/maps/search/?api=1&amp;query=The+Agency+11+Palm+Beach+Avenue" TargetMode="External" Id="rId2676" /><Relationship Type="http://schemas.openxmlformats.org/officeDocument/2006/relationships/hyperlink" Target="https://www.instagram.com/tweedcoolangattarealestate" TargetMode="External" Id="rId2677" /><Relationship Type="http://schemas.openxmlformats.org/officeDocument/2006/relationships/hyperlink" Target="https://www.facebook.com/tweedcoolangattarealestate" TargetMode="External" Id="rId2678" /><Relationship Type="http://schemas.openxmlformats.org/officeDocument/2006/relationships/hyperlink" Target="https://www.tcre.net.au/" TargetMode="External" Id="rId2679" /><Relationship Type="http://schemas.openxmlformats.org/officeDocument/2006/relationships/hyperlink" Target="https://www.google.com/maps/search/?api=1&amp;query=Tweed+Coolangatta+Real+Estate" TargetMode="External" Id="rId2680" /><Relationship Type="http://schemas.openxmlformats.org/officeDocument/2006/relationships/hyperlink" Target="https://www.instagram.com/zedrealestate" TargetMode="External" Id="rId2681" /><Relationship Type="http://schemas.openxmlformats.org/officeDocument/2006/relationships/hyperlink" Target="https://www.facebook.com/ZedRealEstate" TargetMode="External" Id="rId2682" /><Relationship Type="http://schemas.openxmlformats.org/officeDocument/2006/relationships/hyperlink" Target="https://zedrealestate.au/gold-coast/" TargetMode="External" Id="rId2683" /><Relationship Type="http://schemas.openxmlformats.org/officeDocument/2006/relationships/hyperlink" Target="https://www.google.com/maps/search/?api=1&amp;query=Z.+Real+Estate" TargetMode="External" Id="rId2684" /><Relationship Type="http://schemas.openxmlformats.org/officeDocument/2006/relationships/hyperlink" Target="https://www.instagram.com/burgerdauthentic" TargetMode="External" Id="rId2685" /><Relationship Type="http://schemas.openxmlformats.org/officeDocument/2006/relationships/hyperlink" Target="https://www.facebook.com/Burgerd01" TargetMode="External" Id="rId2686" /><Relationship Type="http://schemas.openxmlformats.org/officeDocument/2006/relationships/hyperlink" Target="https://burgerd.com.au/" TargetMode="External" Id="rId2687" /><Relationship Type="http://schemas.openxmlformats.org/officeDocument/2006/relationships/hyperlink" Target="https://www.google.com/maps/search/?api=1&amp;query=Burger%27D+Varsity+Lakes" TargetMode="External" Id="rId2688" /><Relationship Type="http://schemas.openxmlformats.org/officeDocument/2006/relationships/hyperlink" Target="https://www.instagram.com/longboardsbar" TargetMode="External" Id="rId2689" /><Relationship Type="http://schemas.openxmlformats.org/officeDocument/2006/relationships/hyperlink" Target="https://www.facebook.com/490206341019620" TargetMode="External" Id="rId2690" /><Relationship Type="http://schemas.openxmlformats.org/officeDocument/2006/relationships/hyperlink" Target="https://longboardsbar.com.au/" TargetMode="External" Id="rId2691" /><Relationship Type="http://schemas.openxmlformats.org/officeDocument/2006/relationships/hyperlink" Target="https://www.google.com/maps/search/?api=1&amp;query=Longboards+Laidback+Eatery+%26+Bar+9+Hamilton+Avenue" TargetMode="External" Id="rId2692" /><Relationship Type="http://schemas.openxmlformats.org/officeDocument/2006/relationships/hyperlink" Target="https://www.instagram.com/mariespizzagc" TargetMode="External" Id="rId2693" /><Relationship Type="http://schemas.openxmlformats.org/officeDocument/2006/relationships/hyperlink" Target="https://www.facebook.com/MariesPizza" TargetMode="External" Id="rId2694" /><Relationship Type="http://schemas.openxmlformats.org/officeDocument/2006/relationships/hyperlink" Target="https://www.mariespizza.com.au/store/mermaid-beach/" TargetMode="External" Id="rId2695" /><Relationship Type="http://schemas.openxmlformats.org/officeDocument/2006/relationships/hyperlink" Target="https://www.google.com/maps/search/?api=1&amp;query=Maries+Pizza+2527+Gold+Coast+Highway" TargetMode="External" Id="rId2696" /><Relationship Type="http://schemas.openxmlformats.org/officeDocument/2006/relationships/hyperlink" Target="https://www.instagram.com/thefishtank_southport" TargetMode="External" Id="rId2697" /><Relationship Type="http://schemas.openxmlformats.org/officeDocument/2006/relationships/hyperlink" Target="https://www.facebook.com/thefishtankonqueenstreet" TargetMode="External" Id="rId2698" /><Relationship Type="http://schemas.openxmlformats.org/officeDocument/2006/relationships/hyperlink" Target="https://www.thefishtank.com.au/" TargetMode="External" Id="rId2699" /><Relationship Type="http://schemas.openxmlformats.org/officeDocument/2006/relationships/hyperlink" Target="https://www.google.com/maps/search/?api=1&amp;query=The+Fish+Tank+28+Dixon+Drive" TargetMode="External" Id="rId2700" /><Relationship Type="http://schemas.openxmlformats.org/officeDocument/2006/relationships/hyperlink" Target="https://www.instagram.com/yomgburgers" TargetMode="External" Id="rId2701" /><Relationship Type="http://schemas.openxmlformats.org/officeDocument/2006/relationships/hyperlink" Target="https://www.facebook.com/yomgburgers" TargetMode="External" Id="rId2702" /><Relationship Type="http://schemas.openxmlformats.org/officeDocument/2006/relationships/hyperlink" Target="https://www.yomg.com.au/elanora/" TargetMode="External" Id="rId2703" /><Relationship Type="http://schemas.openxmlformats.org/officeDocument/2006/relationships/hyperlink" Target="https://www.google.com/maps/search/?api=1&amp;query=Yo+My+Goodness" TargetMode="External" Id="rId2704" /><Relationship Type="http://schemas.openxmlformats.org/officeDocument/2006/relationships/hyperlink" Target="https://www.instagram.com/celebrityinktattoobroadbeach" TargetMode="External" Id="rId2705" /><Relationship Type="http://schemas.openxmlformats.org/officeDocument/2006/relationships/hyperlink" Target="https://www.facebook.com/celebrityinktattoobroadbeach" TargetMode="External" Id="rId2706" /><Relationship Type="http://schemas.openxmlformats.org/officeDocument/2006/relationships/hyperlink" Target="https://www.celebrityink.com/locations/broadbeach/" TargetMode="External" Id="rId2707" /><Relationship Type="http://schemas.openxmlformats.org/officeDocument/2006/relationships/hyperlink" Target="https://www.google.com/maps/search/?api=1&amp;query=Celebrity+Ink" TargetMode="External" Id="rId2708" /><Relationship Type="http://schemas.openxmlformats.org/officeDocument/2006/relationships/hyperlink" Target="https://www.instagram.com/garageink4221" TargetMode="External" Id="rId2709" /><Relationship Type="http://schemas.openxmlformats.org/officeDocument/2006/relationships/hyperlink" Target="https://www.facebook.com/garageink4224" TargetMode="External" Id="rId2710" /><Relationship Type="http://schemas.openxmlformats.org/officeDocument/2006/relationships/hyperlink" Target="https://garageink.com.au/" TargetMode="External" Id="rId2711" /><Relationship Type="http://schemas.openxmlformats.org/officeDocument/2006/relationships/hyperlink" Target="https://www.google.com/maps/search/?api=1&amp;query=Garage+Ink" TargetMode="External" Id="rId2712" /><Relationship Type="http://schemas.openxmlformats.org/officeDocument/2006/relationships/hyperlink" Target="https://www.facebook.com/1349447021843367/videos/311424696286843" TargetMode="External" Id="rId2713" /><Relationship Type="http://schemas.openxmlformats.org/officeDocument/2006/relationships/hyperlink" Target="https://www.allcoastroofing.com.au" TargetMode="External" Id="rId2714" /><Relationship Type="http://schemas.openxmlformats.org/officeDocument/2006/relationships/hyperlink" Target="https://www.google.com/maps/search/?api=1&amp;query=Allcoast+Roofing+41+Murlong+Crescent" TargetMode="External" Id="rId2715" /><Relationship Type="http://schemas.openxmlformats.org/officeDocument/2006/relationships/hyperlink" Target="https://www.instagram.com/clamrocconstructions" TargetMode="External" Id="rId2716" /><Relationship Type="http://schemas.openxmlformats.org/officeDocument/2006/relationships/hyperlink" Target="https://www.facebook.com/ClamrocConstructions" TargetMode="External" Id="rId2717" /><Relationship Type="http://schemas.openxmlformats.org/officeDocument/2006/relationships/hyperlink" Target="https://clamroc.com.au/" TargetMode="External" Id="rId2718" /><Relationship Type="http://schemas.openxmlformats.org/officeDocument/2006/relationships/hyperlink" Target="https://www.google.com/maps/search/?api=1&amp;query=CLAMROC+Constructions" TargetMode="External" Id="rId2719" /><Relationship Type="http://schemas.openxmlformats.org/officeDocument/2006/relationships/hyperlink" Target="https://www.instagram.com/goldcoastpatiosandblinds" TargetMode="External" Id="rId2720" /><Relationship Type="http://schemas.openxmlformats.org/officeDocument/2006/relationships/hyperlink" Target="https://www.facebook.com/goldcoastpatiosandblinds" TargetMode="External" Id="rId2721" /><Relationship Type="http://schemas.openxmlformats.org/officeDocument/2006/relationships/hyperlink" Target="https://www.goldcoastpatios.com.au/" TargetMode="External" Id="rId2722" /><Relationship Type="http://schemas.openxmlformats.org/officeDocument/2006/relationships/hyperlink" Target="https://www.google.com/maps/search/?api=1&amp;query=Gold+Coast+Patios+%26+Blinds" TargetMode="External" Id="rId2723" /><Relationship Type="http://schemas.openxmlformats.org/officeDocument/2006/relationships/hyperlink" Target="https://www.instagram.com/__grimmond__" TargetMode="External" Id="rId2724" /><Relationship Type="http://schemas.openxmlformats.org/officeDocument/2006/relationships/hyperlink" Target="https://www.grimmond.com.au/" TargetMode="External" Id="rId2725" /><Relationship Type="http://schemas.openxmlformats.org/officeDocument/2006/relationships/hyperlink" Target="https://www.google.com/maps/search/?api=1&amp;query=Grimmond" TargetMode="External" Id="rId2726" /><Relationship Type="http://schemas.openxmlformats.org/officeDocument/2006/relationships/hyperlink" Target="https://www.facebook.com/nationwidemotel" TargetMode="External" Id="rId2727" /><Relationship Type="http://schemas.openxmlformats.org/officeDocument/2006/relationships/hyperlink" Target="https://www.gympienationwidemotel.com.au/" TargetMode="External" Id="rId2728" /><Relationship Type="http://schemas.openxmlformats.org/officeDocument/2006/relationships/hyperlink" Target="https://www.google.com/maps/search/?api=1&amp;query=Gympie+Nationwide+Motel+8+Chatsworth+Road+Gympie" TargetMode="External" Id="rId2729" /><Relationship Type="http://schemas.openxmlformats.org/officeDocument/2006/relationships/hyperlink" Target="https://www.instagram.com/gympievictoryhotelmotel" TargetMode="External" Id="rId2730" /><Relationship Type="http://schemas.openxmlformats.org/officeDocument/2006/relationships/hyperlink" Target="https://www.facebook.com/managers.victory" TargetMode="External" Id="rId2731" /><Relationship Type="http://schemas.openxmlformats.org/officeDocument/2006/relationships/hyperlink" Target="https://victoryhotelgympie.com.au/" TargetMode="External" Id="rId2732" /><Relationship Type="http://schemas.openxmlformats.org/officeDocument/2006/relationships/hyperlink" Target="https://www.google.com/maps/search/?api=1&amp;query=Victory+Hotel+54+Bath+Terrace" TargetMode="External" Id="rId2733" /><Relationship Type="http://schemas.openxmlformats.org/officeDocument/2006/relationships/hyperlink" Target="https://www.facebook.com/KingstonHouseImpressions" TargetMode="External" Id="rId2734" /><Relationship Type="http://schemas.openxmlformats.org/officeDocument/2006/relationships/hyperlink" Target="https://kingstonhouseimpressions.com.au/" TargetMode="External" Id="rId2735" /><Relationship Type="http://schemas.openxmlformats.org/officeDocument/2006/relationships/hyperlink" Target="https://www.google.com/maps/search/?api=1&amp;query=Kingston+House+Impresssions+11+Channon+Street" TargetMode="External" Id="rId2736" /><Relationship Type="http://schemas.openxmlformats.org/officeDocument/2006/relationships/hyperlink" Target="https://www.instagram.com/herveybay_hotel" TargetMode="External" Id="rId2737" /><Relationship Type="http://schemas.openxmlformats.org/officeDocument/2006/relationships/hyperlink" Target="https://www.facebook.com/hervey.bayhotel.3" TargetMode="External" Id="rId2738" /><Relationship Type="http://schemas.openxmlformats.org/officeDocument/2006/relationships/hyperlink" Target="https://herveybayhotel.com.au/" TargetMode="External" Id="rId2739" /><Relationship Type="http://schemas.openxmlformats.org/officeDocument/2006/relationships/hyperlink" Target="https://www.google.com/maps/search/?api=1&amp;query=Hervey+Bay+Hotel+249+Esplanade+Pialba" TargetMode="External" Id="rId2740" /><Relationship Type="http://schemas.openxmlformats.org/officeDocument/2006/relationships/hyperlink" Target="https://www.instagram.com/beachhouseherveybay" TargetMode="External" Id="rId2741" /><Relationship Type="http://schemas.openxmlformats.org/officeDocument/2006/relationships/hyperlink" Target="https://www.facebook.com/BeachHouseHotelHerveyBay" TargetMode="External" Id="rId2742" /><Relationship Type="http://schemas.openxmlformats.org/officeDocument/2006/relationships/hyperlink" Target="https://beachhousehotel.com.au/" TargetMode="External" Id="rId2743" /><Relationship Type="http://schemas.openxmlformats.org/officeDocument/2006/relationships/hyperlink" Target="https://www.google.com/maps/search/?api=1&amp;query=The+Beach+House+Hotel" TargetMode="External" Id="rId2744" /><Relationship Type="http://schemas.openxmlformats.org/officeDocument/2006/relationships/hyperlink" Target="https://www.instagram.com/raineandhorne" TargetMode="External" Id="rId2745" /><Relationship Type="http://schemas.openxmlformats.org/officeDocument/2006/relationships/hyperlink" Target="https://www.facebook.com/raineandhorne" TargetMode="External" Id="rId2746" /><Relationship Type="http://schemas.openxmlformats.org/officeDocument/2006/relationships/hyperlink" Target="https://rh.com.au/" TargetMode="External" Id="rId2747" /><Relationship Type="http://schemas.openxmlformats.org/officeDocument/2006/relationships/hyperlink" Target="https://www.google.com/maps/search/?api=1&amp;query=Raine+%26+Horne+357+Esplanade" TargetMode="External" Id="rId2748" /><Relationship Type="http://schemas.openxmlformats.org/officeDocument/2006/relationships/hyperlink" Target="http://www.instagram.com/enzosonthebeach" TargetMode="External" Id="rId2749" /><Relationship Type="http://schemas.openxmlformats.org/officeDocument/2006/relationships/hyperlink" Target="http://www.facebook.com/enzosonthebeach" TargetMode="External" Id="rId2750" /><Relationship Type="http://schemas.openxmlformats.org/officeDocument/2006/relationships/hyperlink" Target="https://www.enzosonthebeach.com.au/" TargetMode="External" Id="rId2751" /><Relationship Type="http://schemas.openxmlformats.org/officeDocument/2006/relationships/hyperlink" Target="https://www.google.com/maps/search/?api=1&amp;query=enzo%27s+on+the+beach+351+Esplanade" TargetMode="External" Id="rId2752" /><Relationship Type="http://schemas.openxmlformats.org/officeDocument/2006/relationships/hyperlink" Target="https://www.instagram.com/falveys_nightclub" TargetMode="External" Id="rId2753" /><Relationship Type="http://schemas.openxmlformats.org/officeDocument/2006/relationships/hyperlink" Target="https://www.facebook.com/FalveysHotelYamanto" TargetMode="External" Id="rId2754" /><Relationship Type="http://schemas.openxmlformats.org/officeDocument/2006/relationships/hyperlink" Target="https://falveyshotelyamanto.com.au/" TargetMode="External" Id="rId2755" /><Relationship Type="http://schemas.openxmlformats.org/officeDocument/2006/relationships/hyperlink" Target="https://www.google.com/maps/search/?api=1&amp;query=Falvey%27s+Hotel" TargetMode="External" Id="rId2756" /><Relationship Type="http://schemas.openxmlformats.org/officeDocument/2006/relationships/hyperlink" Target="https://www.facebook.com/stellarossaipswichcbd" TargetMode="External" Id="rId2757" /><Relationship Type="http://schemas.openxmlformats.org/officeDocument/2006/relationships/hyperlink" Target="https://www.stellarossa.com.au/ipswichcbd/" TargetMode="External" Id="rId2758" /><Relationship Type="http://schemas.openxmlformats.org/officeDocument/2006/relationships/hyperlink" Target="https://www.google.com/maps/search/?api=1&amp;query=Stellarossa+Nicholas+Street+Mall+Ipswich" TargetMode="External" Id="rId2759" /><Relationship Type="http://schemas.openxmlformats.org/officeDocument/2006/relationships/hyperlink" Target="https://www.facebook.com/profile.php?id=61564823386678" TargetMode="External" Id="rId2760" /><Relationship Type="http://schemas.openxmlformats.org/officeDocument/2006/relationships/hyperlink" Target="https://activekids.net.au/active-kids-early-learning-centre-brassall/" TargetMode="External" Id="rId2761" /><Relationship Type="http://schemas.openxmlformats.org/officeDocument/2006/relationships/hyperlink" Target="https://www.google.com/maps/search/?api=1&amp;query=Active+Kids+Brassall+99+Haig+Street+Brassall" TargetMode="External" Id="rId2762" /><Relationship Type="http://schemas.openxmlformats.org/officeDocument/2006/relationships/hyperlink" Target="https://instagram.com/queenslandchildcareservices" TargetMode="External" Id="rId2763" /><Relationship Type="http://schemas.openxmlformats.org/officeDocument/2006/relationships/hyperlink" Target="https://www.facebook.com/QCCS.1" TargetMode="External" Id="rId2764" /><Relationship Type="http://schemas.openxmlformats.org/officeDocument/2006/relationships/hyperlink" Target="https://www.qccs.com.au/centre/ipswich/" TargetMode="External" Id="rId2765" /><Relationship Type="http://schemas.openxmlformats.org/officeDocument/2006/relationships/hyperlink" Target="https://www.google.com/maps/search/?api=1&amp;query=Ipswich+Early+Education+Centre+1+Samford+Road+Leichhardt" TargetMode="External" Id="rId2766" /><Relationship Type="http://schemas.openxmlformats.org/officeDocument/2006/relationships/hyperlink" Target="https://www.instagram.com/leadchildcare" TargetMode="External" Id="rId2767" /><Relationship Type="http://schemas.openxmlformats.org/officeDocument/2006/relationships/hyperlink" Target="https://www.facebook.com/LEADChildcare" TargetMode="External" Id="rId2768" /><Relationship Type="http://schemas.openxmlformats.org/officeDocument/2006/relationships/hyperlink" Target="https://www.leadchildcare.com.au/center-details/?sl-store=42" TargetMode="External" Id="rId2769" /><Relationship Type="http://schemas.openxmlformats.org/officeDocument/2006/relationships/hyperlink" Target="https://www.google.com/maps/search/?api=1&amp;query=LEAD+Childcare+%26+Education+23+Muller+Street+Walloon" TargetMode="External" Id="rId2770" /><Relationship Type="http://schemas.openxmlformats.org/officeDocument/2006/relationships/hyperlink" Target="https://www.facebook.com/littleworldforscholarschurchill" TargetMode="External" Id="rId2771" /><Relationship Type="http://schemas.openxmlformats.org/officeDocument/2006/relationships/hyperlink" Target="https://littleworldchurchill.com" TargetMode="External" Id="rId2772" /><Relationship Type="http://schemas.openxmlformats.org/officeDocument/2006/relationships/hyperlink" Target="https://www.google.com/maps/search/?api=1&amp;query=Little+World+for+Scholars+197+Warwick+Road+Churchill" TargetMode="External" Id="rId2773" /><Relationship Type="http://schemas.openxmlformats.org/officeDocument/2006/relationships/hyperlink" Target="https://www.instagram.com/everdentclinicipswich" TargetMode="External" Id="rId2774" /><Relationship Type="http://schemas.openxmlformats.org/officeDocument/2006/relationships/hyperlink" Target="https://www.facebook.com/EverdentClinic" TargetMode="External" Id="rId2775" /><Relationship Type="http://schemas.openxmlformats.org/officeDocument/2006/relationships/hyperlink" Target="https://everdent.com.au/" TargetMode="External" Id="rId2776" /><Relationship Type="http://schemas.openxmlformats.org/officeDocument/2006/relationships/hyperlink" Target="https://www.google.com/maps/search/?api=1&amp;query=Everdent+32+Downs+Street+North+Ipswich" TargetMode="External" Id="rId2777" /><Relationship Type="http://schemas.openxmlformats.org/officeDocument/2006/relationships/hyperlink" Target="https://www.instagram.com/goodlifehc" TargetMode="External" Id="rId2778" /><Relationship Type="http://schemas.openxmlformats.org/officeDocument/2006/relationships/hyperlink" Target="https://www.facebook.com/goodlifehealthclubs" TargetMode="External" Id="rId2779" /><Relationship Type="http://schemas.openxmlformats.org/officeDocument/2006/relationships/hyperlink" Target="https://www.goodlifehealthclubs.com.au/" TargetMode="External" Id="rId2780" /><Relationship Type="http://schemas.openxmlformats.org/officeDocument/2006/relationships/hyperlink" Target="https://www.google.com/maps/search/?api=1&amp;query=Goodlife+Health+Club+The+Terrace+North+Ipswich" TargetMode="External" Id="rId2781" /><Relationship Type="http://schemas.openxmlformats.org/officeDocument/2006/relationships/hyperlink" Target="http://www.facebook.com/1409871819225608" TargetMode="External" Id="rId2782" /><Relationship Type="http://schemas.openxmlformats.org/officeDocument/2006/relationships/hyperlink" Target="https://www.ipswich-wckf.com/" TargetMode="External" Id="rId2783" /><Relationship Type="http://schemas.openxmlformats.org/officeDocument/2006/relationships/hyperlink" Target="https://www.google.com/maps/search/?api=1&amp;query=Ipswich+Wing+Chun+Kung+Fu+Academy+111+Limestone+Street+Ipswich" TargetMode="External" Id="rId2784" /><Relationship Type="http://schemas.openxmlformats.org/officeDocument/2006/relationships/hyperlink" Target="https://www.instagram.com/williamgeertsma" TargetMode="External" Id="rId2785" /><Relationship Type="http://schemas.openxmlformats.org/officeDocument/2006/relationships/hyperlink" Target="https://www.facebook.com/ViewFitnessIpswich" TargetMode="External" Id="rId2786" /><Relationship Type="http://schemas.openxmlformats.org/officeDocument/2006/relationships/hyperlink" Target="https://www.view-fitness.com/" TargetMode="External" Id="rId2787" /><Relationship Type="http://schemas.openxmlformats.org/officeDocument/2006/relationships/hyperlink" Target="https://www.google.com/maps/search/?api=1&amp;query=View+Fitness+111+Limestone+Street+Ipswich" TargetMode="External" Id="rId2788" /><Relationship Type="http://schemas.openxmlformats.org/officeDocument/2006/relationships/hyperlink" Target="https://www.facebook.com/saparlandscapingsupplies" TargetMode="External" Id="rId2789" /><Relationship Type="http://schemas.openxmlformats.org/officeDocument/2006/relationships/hyperlink" Target="https://sapar.com.au/" TargetMode="External" Id="rId2790" /><Relationship Type="http://schemas.openxmlformats.org/officeDocument/2006/relationships/hyperlink" Target="https://www.google.com/maps/search/?api=1&amp;query=Sapar+Landscaping+Supplies+222-224+Mount+Crosby+Road+North+Tivoli" TargetMode="External" Id="rId2791" /><Relationship Type="http://schemas.openxmlformats.org/officeDocument/2006/relationships/hyperlink" Target="https://www.facebook.com/wix" TargetMode="External" Id="rId2792" /><Relationship Type="http://schemas.openxmlformats.org/officeDocument/2006/relationships/hyperlink" Target="https://www.churchillskincancerclinic.com/" TargetMode="External" Id="rId2793" /><Relationship Type="http://schemas.openxmlformats.org/officeDocument/2006/relationships/hyperlink" Target="https://www.google.com/maps/search/?api=1&amp;query=Churchill+Skin+Cancer+Clinic" TargetMode="External" Id="rId2794" /><Relationship Type="http://schemas.openxmlformats.org/officeDocument/2006/relationships/hyperlink" Target="https://www.facebook.com/ExactRadiologyClinics" TargetMode="External" Id="rId2795" /><Relationship Type="http://schemas.openxmlformats.org/officeDocument/2006/relationships/hyperlink" Target="https://www.exactradiology.com.au/" TargetMode="External" Id="rId2796" /><Relationship Type="http://schemas.openxmlformats.org/officeDocument/2006/relationships/hyperlink" Target="https://www.google.com/maps/search/?api=1&amp;query=Exact+Radiology+Clinics+2+The+Terrace+North+Ipswich" TargetMode="External" Id="rId2797" /><Relationship Type="http://schemas.openxmlformats.org/officeDocument/2006/relationships/hyperlink" Target="https://www.instagram.com/drdavidsharp" TargetMode="External" Id="rId2798" /><Relationship Type="http://schemas.openxmlformats.org/officeDocument/2006/relationships/hyperlink" Target="https://www.facebook.com/PlasticAndCosmeticSurgeryAustralia" TargetMode="External" Id="rId2799" /><Relationship Type="http://schemas.openxmlformats.org/officeDocument/2006/relationships/hyperlink" Target="https://www.plastic-surgery-brisbane.com.au/" TargetMode="External" Id="rId2800" /><Relationship Type="http://schemas.openxmlformats.org/officeDocument/2006/relationships/hyperlink" Target="https://www.google.com/maps/search/?api=1&amp;query=The+Sharp+Clinic+2+Court+Street+Ipswich" TargetMode="External" Id="rId2801" /><Relationship Type="http://schemas.openxmlformats.org/officeDocument/2006/relationships/hyperlink" Target="https://www.instagram.com/laparrilla85" TargetMode="External" Id="rId2802" /><Relationship Type="http://schemas.openxmlformats.org/officeDocument/2006/relationships/hyperlink" Target="https://www.facebook.com/www.laparrilla.com.au" TargetMode="External" Id="rId2803" /><Relationship Type="http://schemas.openxmlformats.org/officeDocument/2006/relationships/hyperlink" Target="https://laparrilla.com.au/" TargetMode="External" Id="rId2804" /><Relationship Type="http://schemas.openxmlformats.org/officeDocument/2006/relationships/hyperlink" Target="https://www.google.com/maps/search/?api=1&amp;query=La+Parilla+14+Pine+Mountain+Road+North+Ipswich" TargetMode="External" Id="rId2805" /><Relationship Type="http://schemas.openxmlformats.org/officeDocument/2006/relationships/hyperlink" Target="https://www.instagram.com/lonestarribhouseipswich" TargetMode="External" Id="rId2806" /><Relationship Type="http://schemas.openxmlformats.org/officeDocument/2006/relationships/hyperlink" Target="https://www.facebook.com/profile.php" TargetMode="External" Id="rId2807" /><Relationship Type="http://schemas.openxmlformats.org/officeDocument/2006/relationships/hyperlink" Target="https://lonestarribhouse.com.au/locations/ipswich-coming-soon/" TargetMode="External" Id="rId2808" /><Relationship Type="http://schemas.openxmlformats.org/officeDocument/2006/relationships/hyperlink" Target="https://www.google.com/maps/search/?api=1&amp;query=Lone+Star+Ribhouse+164+Brisbane+Street+Ipswich" TargetMode="External" Id="rId2809" /><Relationship Type="http://schemas.openxmlformats.org/officeDocument/2006/relationships/hyperlink" Target="https://www.instagram.com/montezumasmexican" TargetMode="External" Id="rId2810" /><Relationship Type="http://schemas.openxmlformats.org/officeDocument/2006/relationships/hyperlink" Target="https://www.facebook.com/montezumasmexican" TargetMode="External" Id="rId2811" /><Relationship Type="http://schemas.openxmlformats.org/officeDocument/2006/relationships/hyperlink" Target="https://www.montezumas.com.au/locations/ipswich/" TargetMode="External" Id="rId2812" /><Relationship Type="http://schemas.openxmlformats.org/officeDocument/2006/relationships/hyperlink" Target="https://www.google.com/maps/search/?api=1&amp;query=Montezuma%27s+6+The+Terrace+North+Ipswich" TargetMode="External" Id="rId2813" /><Relationship Type="http://schemas.openxmlformats.org/officeDocument/2006/relationships/hyperlink" Target="https://www.instagram.com/phatboyzsmoking" TargetMode="External" Id="rId2814" /><Relationship Type="http://schemas.openxmlformats.org/officeDocument/2006/relationships/hyperlink" Target="https://www.facebook.com/phatboyzsmoking" TargetMode="External" Id="rId2815" /><Relationship Type="http://schemas.openxmlformats.org/officeDocument/2006/relationships/hyperlink" Target="https://phatboyz.com.au" TargetMode="External" Id="rId2816" /><Relationship Type="http://schemas.openxmlformats.org/officeDocument/2006/relationships/hyperlink" Target="https://www.google.com/maps/search/?api=1&amp;query=Phat+Boyz+7001+Parkland+Drive+Walloon" TargetMode="External" Id="rId2817" /><Relationship Type="http://schemas.openxmlformats.org/officeDocument/2006/relationships/hyperlink" Target="https://www.instagram.com/rashays" TargetMode="External" Id="rId2818" /><Relationship Type="http://schemas.openxmlformats.org/officeDocument/2006/relationships/hyperlink" Target="https://www.facebook.com/rashayscasualdining" TargetMode="External" Id="rId2819" /><Relationship Type="http://schemas.openxmlformats.org/officeDocument/2006/relationships/hyperlink" Target="https://www.rashays.com/" TargetMode="External" Id="rId2820" /><Relationship Type="http://schemas.openxmlformats.org/officeDocument/2006/relationships/hyperlink" Target="https://www.google.com/maps/search/?api=1&amp;query=Rashays" TargetMode="External" Id="rId2821" /><Relationship Type="http://schemas.openxmlformats.org/officeDocument/2006/relationships/hyperlink" Target="https://www.instagram.com/riverlinkSC" TargetMode="External" Id="rId2822" /><Relationship Type="http://schemas.openxmlformats.org/officeDocument/2006/relationships/hyperlink" Target="https://www.facebook.com/riverlinkipswich" TargetMode="External" Id="rId2823" /><Relationship Type="http://schemas.openxmlformats.org/officeDocument/2006/relationships/hyperlink" Target="https://www.riverlink.net.au/store/sushi-guru/?location=FC05" TargetMode="External" Id="rId2824" /><Relationship Type="http://schemas.openxmlformats.org/officeDocument/2006/relationships/hyperlink" Target="https://www.google.com/maps/search/?api=1&amp;query=Sushi+Guru+North+Ipswich" TargetMode="External" Id="rId2825" /><Relationship Type="http://schemas.openxmlformats.org/officeDocument/2006/relationships/hyperlink" Target="https://www.instagram.com/walkersdoughnuts" TargetMode="External" Id="rId2826" /><Relationship Type="http://schemas.openxmlformats.org/officeDocument/2006/relationships/hyperlink" Target="https://www.facebook.com/walkersdoughnuts" TargetMode="External" Id="rId2827" /><Relationship Type="http://schemas.openxmlformats.org/officeDocument/2006/relationships/hyperlink" Target="https://walkersdoughnuts.com.au/" TargetMode="External" Id="rId2828" /><Relationship Type="http://schemas.openxmlformats.org/officeDocument/2006/relationships/hyperlink" Target="https://www.google.com/maps/search/?api=1&amp;query=Walker%27s+Doughnuts+The+Terrace+North+Ipswich" TargetMode="External" Id="rId2829" /><Relationship Type="http://schemas.openxmlformats.org/officeDocument/2006/relationships/hyperlink" Target="https://www.instagram.com/cag_australia" TargetMode="External" Id="rId2830" /><Relationship Type="http://schemas.openxmlformats.org/officeDocument/2006/relationships/hyperlink" Target="https://www.facebook.com/CentralApartmentGroup" TargetMode="External" Id="rId2831" /><Relationship Type="http://schemas.openxmlformats.org/officeDocument/2006/relationships/hyperlink" Target="https://www.mackayoceansidecentral.com.au/" TargetMode="External" Id="rId2832" /><Relationship Type="http://schemas.openxmlformats.org/officeDocument/2006/relationships/hyperlink" Target="https://www.google.com/maps/search/?api=1&amp;query=Mackay+Oceanside+Central+Apartment+Hotel+2c+East+Gordon+Street" TargetMode="External" Id="rId2833" /><Relationship Type="http://schemas.openxmlformats.org/officeDocument/2006/relationships/hyperlink" Target="https://www.instagram.com/zero_weakness" TargetMode="External" Id="rId2834" /><Relationship Type="http://schemas.openxmlformats.org/officeDocument/2006/relationships/hyperlink" Target="https://www.facebook.com/zeroweakness" TargetMode="External" Id="rId2835" /><Relationship Type="http://schemas.openxmlformats.org/officeDocument/2006/relationships/hyperlink" Target="https://www.zerow.com.au/mackay" TargetMode="External" Id="rId2836" /><Relationship Type="http://schemas.openxmlformats.org/officeDocument/2006/relationships/hyperlink" Target="https://www.google.com/maps/search/?api=1&amp;query=Zero+Weakness" TargetMode="External" Id="rId2837" /><Relationship Type="http://schemas.openxmlformats.org/officeDocument/2006/relationships/hyperlink" Target="https://www.facebook.com/SladePointSurgery" TargetMode="External" Id="rId2838" /><Relationship Type="http://schemas.openxmlformats.org/officeDocument/2006/relationships/hyperlink" Target="https://www.sladepoint.com.au/" TargetMode="External" Id="rId2839" /><Relationship Type="http://schemas.openxmlformats.org/officeDocument/2006/relationships/hyperlink" Target="https://www.google.com/maps/search/?api=1&amp;query=Slade+Point+Medical+Centre" TargetMode="External" Id="rId2840" /><Relationship Type="http://schemas.openxmlformats.org/officeDocument/2006/relationships/hyperlink" Target="https://www.facebook.com/EyesrusMackay" TargetMode="External" Id="rId2841" /><Relationship Type="http://schemas.openxmlformats.org/officeDocument/2006/relationships/hyperlink" Target="https://eyesrus.com.au/" TargetMode="External" Id="rId2842" /><Relationship Type="http://schemas.openxmlformats.org/officeDocument/2006/relationships/hyperlink" Target="https://www.google.com/maps/search/?api=1&amp;query=Eyes-R-Us+Optometrists" TargetMode="External" Id="rId2843" /><Relationship Type="http://schemas.openxmlformats.org/officeDocument/2006/relationships/hyperlink" Target="https://www.facebook.com/CaraMotel" TargetMode="External" Id="rId2844" /><Relationship Type="http://schemas.openxmlformats.org/officeDocument/2006/relationships/hyperlink" Target="https://www.caramotel.com.au/" TargetMode="External" Id="rId2845" /><Relationship Type="http://schemas.openxmlformats.org/officeDocument/2006/relationships/hyperlink" Target="https://www.google.com/maps/search/?api=1&amp;query=Cara+Motel+196+Walker+Street+Maryborough" TargetMode="External" Id="rId2846" /><Relationship Type="http://schemas.openxmlformats.org/officeDocument/2006/relationships/hyperlink" Target="https://www.instagram.com/centrallakesshoppingvillage" TargetMode="External" Id="rId2847" /><Relationship Type="http://schemas.openxmlformats.org/officeDocument/2006/relationships/hyperlink" Target="https://www.facebook.com/BeachmereBakery" TargetMode="External" Id="rId2848" /><Relationship Type="http://schemas.openxmlformats.org/officeDocument/2006/relationships/hyperlink" Target="http://centrallakesshoppingvillage.com.au/shop/beachmere-bakery/" TargetMode="External" Id="rId2849" /><Relationship Type="http://schemas.openxmlformats.org/officeDocument/2006/relationships/hyperlink" Target="https://www.google.com/maps/search/?api=1&amp;query=Beachmere+Bakery+1-21+Pettigrew+Street" TargetMode="External" Id="rId2850" /><Relationship Type="http://schemas.openxmlformats.org/officeDocument/2006/relationships/hyperlink" Target="https://www.instagram.com/thebigfishtavern" TargetMode="External" Id="rId2851" /><Relationship Type="http://schemas.openxmlformats.org/officeDocument/2006/relationships/hyperlink" Target="https://www.facebook.com/people/The-Big-Fish-Tavern/100091986324845" TargetMode="External" Id="rId2852" /><Relationship Type="http://schemas.openxmlformats.org/officeDocument/2006/relationships/hyperlink" Target="https://www.thebigfishtavern.com.au/" TargetMode="External" Id="rId2853" /><Relationship Type="http://schemas.openxmlformats.org/officeDocument/2006/relationships/hyperlink" Target="https://www.google.com/maps/search/?api=1&amp;query=Big+Fish+Tavern+459+Pumicestone+Road+Caboolture" TargetMode="External" Id="rId2854" /><Relationship Type="http://schemas.openxmlformats.org/officeDocument/2006/relationships/hyperlink" Target="https://www.instagram.com/theburpengary" TargetMode="External" Id="rId2855" /><Relationship Type="http://schemas.openxmlformats.org/officeDocument/2006/relationships/hyperlink" Target="https://www.facebook.com/BurpengaryTavern01" TargetMode="External" Id="rId2856" /><Relationship Type="http://schemas.openxmlformats.org/officeDocument/2006/relationships/hyperlink" Target="https://burpengarytavern.com.au/" TargetMode="External" Id="rId2857" /><Relationship Type="http://schemas.openxmlformats.org/officeDocument/2006/relationships/hyperlink" Target="https://www.google.com/maps/search/?api=1&amp;query=Burpengary+Tavern+262+Eastern+Service+Road" TargetMode="External" Id="rId2858" /><Relationship Type="http://schemas.openxmlformats.org/officeDocument/2006/relationships/hyperlink" Target="https://www.instagram.com/centrallakesshoppingvillage" TargetMode="External" Id="rId2859" /><Relationship Type="http://schemas.openxmlformats.org/officeDocument/2006/relationships/hyperlink" Target="https://www.facebook.com/centrallakesshoppingvillage" TargetMode="External" Id="rId2860" /><Relationship Type="http://schemas.openxmlformats.org/officeDocument/2006/relationships/hyperlink" Target="http://centrallakesshoppingvillage.com.au/shop/contemporary-hair-concepts/" TargetMode="External" Id="rId2861" /><Relationship Type="http://schemas.openxmlformats.org/officeDocument/2006/relationships/hyperlink" Target="https://www.google.com/maps/search/?api=1&amp;query=Contemporary+Hair+Concepts+1-21+Pettigrew+Street" TargetMode="External" Id="rId2862" /><Relationship Type="http://schemas.openxmlformats.org/officeDocument/2006/relationships/hyperlink" Target="https://www.instagram.com/ecovillagehair/" TargetMode="External" Id="rId2863" /><Relationship Type="http://schemas.openxmlformats.org/officeDocument/2006/relationships/hyperlink" Target="https://www.facebook.com/EcoVillageHair" TargetMode="External" Id="rId2864" /><Relationship Type="http://schemas.openxmlformats.org/officeDocument/2006/relationships/hyperlink" Target="https://www.ecovillagehair.com.au/" TargetMode="External" Id="rId2865" /><Relationship Type="http://schemas.openxmlformats.org/officeDocument/2006/relationships/hyperlink" Target="https://www.google.com/maps/search/?api=1&amp;query=Eco+Village+Hair+17+First+Avenue" TargetMode="External" Id="rId2866" /><Relationship Type="http://schemas.openxmlformats.org/officeDocument/2006/relationships/hyperlink" Target="https://www.instagram.com/wamurancountrymeats" TargetMode="External" Id="rId2867" /><Relationship Type="http://schemas.openxmlformats.org/officeDocument/2006/relationships/hyperlink" Target="https://www.facebook.com/wamurancountrymeats" TargetMode="External" Id="rId2868" /><Relationship Type="http://schemas.openxmlformats.org/officeDocument/2006/relationships/hyperlink" Target="https://wamurancountrymeats.com.au/" TargetMode="External" Id="rId2869" /><Relationship Type="http://schemas.openxmlformats.org/officeDocument/2006/relationships/hyperlink" Target="https://www.google.com/maps/search/?api=1&amp;query=Wamuran+Country+Meats+1058+D%27Aguilar+Highway" TargetMode="External" Id="rId2870" /><Relationship Type="http://schemas.openxmlformats.org/officeDocument/2006/relationships/hyperlink" Target="https://www.instagram.com/proactive_dental" TargetMode="External" Id="rId2871" /><Relationship Type="http://schemas.openxmlformats.org/officeDocument/2006/relationships/hyperlink" Target="https://proactivedental.com.au/" TargetMode="External" Id="rId2872" /><Relationship Type="http://schemas.openxmlformats.org/officeDocument/2006/relationships/hyperlink" Target="https://www.google.com/maps/search/?api=1&amp;query=Proactive+Dental+115-117+Buckley+Road" TargetMode="External" Id="rId2873" /><Relationship Type="http://schemas.openxmlformats.org/officeDocument/2006/relationships/hyperlink" Target="https://www.instagram.com/thedentalclub" TargetMode="External" Id="rId2874" /><Relationship Type="http://schemas.openxmlformats.org/officeDocument/2006/relationships/hyperlink" Target="https://www.facebook.com/thedentalclub1" TargetMode="External" Id="rId2875" /><Relationship Type="http://schemas.openxmlformats.org/officeDocument/2006/relationships/hyperlink" Target="https://www.thedentalclub.com.au/" TargetMode="External" Id="rId2876" /><Relationship Type="http://schemas.openxmlformats.org/officeDocument/2006/relationships/hyperlink" Target="https://www.google.com/maps/search/?api=1&amp;query=The+Dental+Club+1-21+Pettigrew+Street" TargetMode="External" Id="rId2877" /><Relationship Type="http://schemas.openxmlformats.org/officeDocument/2006/relationships/hyperlink" Target="https://www.facebook.com/people/Wamuran-Dental-Centre/100057228828795" TargetMode="External" Id="rId2878" /><Relationship Type="http://schemas.openxmlformats.org/officeDocument/2006/relationships/hyperlink" Target="https://wamurandc.com.au/" TargetMode="External" Id="rId2879" /><Relationship Type="http://schemas.openxmlformats.org/officeDocument/2006/relationships/hyperlink" Target="https://www.google.com/maps/search/?api=1&amp;query=Wamuran+Dental+Care+1102-1110+D%27Aguilar+Highway" TargetMode="External" Id="rId2880" /><Relationship Type="http://schemas.openxmlformats.org/officeDocument/2006/relationships/hyperlink" Target="https://www.instagram.com/gardenscapeslandscape_producec" TargetMode="External" Id="rId2881" /><Relationship Type="http://schemas.openxmlformats.org/officeDocument/2006/relationships/hyperlink" Target="https://www.facebook.com/gardenscapes.com.au" TargetMode="External" Id="rId2882" /><Relationship Type="http://schemas.openxmlformats.org/officeDocument/2006/relationships/hyperlink" Target="https://www.gardenscapes.com.au/" TargetMode="External" Id="rId2883" /><Relationship Type="http://schemas.openxmlformats.org/officeDocument/2006/relationships/hyperlink" Target="https://www.google.com/maps/search/?api=1&amp;query=garden+scapes+Landscape+Centre+132+Deception+Bay+Road" TargetMode="External" Id="rId2884" /><Relationship Type="http://schemas.openxmlformats.org/officeDocument/2006/relationships/hyperlink" Target="https://www.facebook.com/TOUGH-TYRES-On-Morayfield-563137317516766" TargetMode="External" Id="rId2885" /><Relationship Type="http://schemas.openxmlformats.org/officeDocument/2006/relationships/hyperlink" Target="https://toughtyresonmorayfield.com/" TargetMode="External" Id="rId2886" /><Relationship Type="http://schemas.openxmlformats.org/officeDocument/2006/relationships/hyperlink" Target="https://www.google.com/maps/search/?api=1&amp;query=Tough+Tyres+on+Morayfield+289+Morayfield+Road+Morayfield" TargetMode="External" Id="rId2887" /><Relationship Type="http://schemas.openxmlformats.org/officeDocument/2006/relationships/hyperlink" Target="https://www.instagram.com/lakesfamilymedical" TargetMode="External" Id="rId2888" /><Relationship Type="http://schemas.openxmlformats.org/officeDocument/2006/relationships/hyperlink" Target="https://www.facebook.com/TheLakesFamilyMedicalCentre" TargetMode="External" Id="rId2889" /><Relationship Type="http://schemas.openxmlformats.org/officeDocument/2006/relationships/hyperlink" Target="https://www.lakesfamilymedical.com.au/" TargetMode="External" Id="rId2890" /><Relationship Type="http://schemas.openxmlformats.org/officeDocument/2006/relationships/hyperlink" Target="https://www.google.com/maps/search/?api=1&amp;query=Lakes+Family+Medical+Centre+25+Morayfield+Road" TargetMode="External" Id="rId2891" /><Relationship Type="http://schemas.openxmlformats.org/officeDocument/2006/relationships/hyperlink" Target="https://www.instagram.com/northsidegynaecology" TargetMode="External" Id="rId2892" /><Relationship Type="http://schemas.openxmlformats.org/officeDocument/2006/relationships/hyperlink" Target="https://www.facebook.com/NorthsideGynaecology" TargetMode="External" Id="rId2893" /><Relationship Type="http://schemas.openxmlformats.org/officeDocument/2006/relationships/hyperlink" Target="https://www.northsidegynaecology.com.au/" TargetMode="External" Id="rId2894" /><Relationship Type="http://schemas.openxmlformats.org/officeDocument/2006/relationships/hyperlink" Target="https://www.google.com/maps/search/?api=1&amp;query=Northside+Gynaecology+McKean+Street+Caboolture" TargetMode="External" Id="rId2895" /><Relationship Type="http://schemas.openxmlformats.org/officeDocument/2006/relationships/hyperlink" Target="https://www.facebook.com/Reynolds-Plumbing-Gas-180768755323648" TargetMode="External" Id="rId2896" /><Relationship Type="http://schemas.openxmlformats.org/officeDocument/2006/relationships/hyperlink" Target="https://reynoldsplumbing.com.au/" TargetMode="External" Id="rId2897" /><Relationship Type="http://schemas.openxmlformats.org/officeDocument/2006/relationships/hyperlink" Target="https://www.google.com/maps/search/?api=1&amp;query=RPG+-+Reynolds+Plumbing+and+Gas" TargetMode="External" Id="rId2898" /><Relationship Type="http://schemas.openxmlformats.org/officeDocument/2006/relationships/hyperlink" Target="https://www.instagram.com/pacificharbourgolfclub" TargetMode="External" Id="rId2899" /><Relationship Type="http://schemas.openxmlformats.org/officeDocument/2006/relationships/hyperlink" Target="https://www.facebook.com/PHGCC" TargetMode="External" Id="rId2900" /><Relationship Type="http://schemas.openxmlformats.org/officeDocument/2006/relationships/hyperlink" Target="https://www.pacificharbourgolf.com.au/restaurant-3/" TargetMode="External" Id="rId2901" /><Relationship Type="http://schemas.openxmlformats.org/officeDocument/2006/relationships/hyperlink" Target="https://www.google.com/maps/search/?api=1&amp;query=Pacific+Harbour+Golf+Club" TargetMode="External" Id="rId2902" /><Relationship Type="http://schemas.openxmlformats.org/officeDocument/2006/relationships/hyperlink" Target="https://www.facebook.com/Sports-n-Spines-Chiropractic-Redland-Bay-662346967261198" TargetMode="External" Id="rId2903" /><Relationship Type="http://schemas.openxmlformats.org/officeDocument/2006/relationships/hyperlink" Target="https://sportsnspines.com.au/" TargetMode="External" Id="rId2904" /><Relationship Type="http://schemas.openxmlformats.org/officeDocument/2006/relationships/hyperlink" Target="https://www.google.com/maps/search/?api=1&amp;query=Sports+%27n%27+Spines+30-32+Cypress+Street+Redland+Bay" TargetMode="External" Id="rId2905" /><Relationship Type="http://schemas.openxmlformats.org/officeDocument/2006/relationships/hyperlink" Target="https://www.instagram.com/theredlandbayhotel" TargetMode="External" Id="rId2906" /><Relationship Type="http://schemas.openxmlformats.org/officeDocument/2006/relationships/hyperlink" Target="https://www.facebook.com/RedlandBayHotel" TargetMode="External" Id="rId2907" /><Relationship Type="http://schemas.openxmlformats.org/officeDocument/2006/relationships/hyperlink" Target="https://www.redlandbayhotel.com.au/" TargetMode="External" Id="rId2908" /><Relationship Type="http://schemas.openxmlformats.org/officeDocument/2006/relationships/hyperlink" Target="https://www.google.com/maps/search/?api=1&amp;query=Redland+Bay+Hotel+160+Broadwater+Terrace+Redland+Bay" TargetMode="External" Id="rId2909" /><Relationship Type="http://schemas.openxmlformats.org/officeDocument/2006/relationships/hyperlink" Target="http://instagram.com/victoriapointtavern" TargetMode="External" Id="rId2910" /><Relationship Type="http://schemas.openxmlformats.org/officeDocument/2006/relationships/hyperlink" Target="https://www.facebook.com/VictoriaPointTavern" TargetMode="External" Id="rId2911" /><Relationship Type="http://schemas.openxmlformats.org/officeDocument/2006/relationships/hyperlink" Target="https://www.victoriapointtavern.com.au/" TargetMode="External" Id="rId2912" /><Relationship Type="http://schemas.openxmlformats.org/officeDocument/2006/relationships/hyperlink" Target="https://www.google.com/maps/search/?api=1&amp;query=Victoria+Point+Tavern" TargetMode="External" Id="rId2913" /><Relationship Type="http://schemas.openxmlformats.org/officeDocument/2006/relationships/hyperlink" Target="https://www.instagram.com/acai__bros" TargetMode="External" Id="rId2914" /><Relationship Type="http://schemas.openxmlformats.org/officeDocument/2006/relationships/hyperlink" Target="https://www.facebook.com/AcaiBrothersSuperfoodBar" TargetMode="External" Id="rId2915" /><Relationship Type="http://schemas.openxmlformats.org/officeDocument/2006/relationships/hyperlink" Target="https://acaibrothers.com/" TargetMode="External" Id="rId2916" /><Relationship Type="http://schemas.openxmlformats.org/officeDocument/2006/relationships/hyperlink" Target="https://www.google.com/maps/search/?api=1&amp;query=Acai+Brothers+349+Colburn+Avenue+Victoria+Point" TargetMode="External" Id="rId2917" /><Relationship Type="http://schemas.openxmlformats.org/officeDocument/2006/relationships/hyperlink" Target="https://www.instagram.com/redlands_rsl" TargetMode="External" Id="rId2918" /><Relationship Type="http://schemas.openxmlformats.org/officeDocument/2006/relationships/hyperlink" Target="https://www.facebook.com/RedlandsRSLClub" TargetMode="External" Id="rId2919" /><Relationship Type="http://schemas.openxmlformats.org/officeDocument/2006/relationships/hyperlink" Target="https://redlandsrsl.com/dining/cove-cafe/" TargetMode="External" Id="rId2920" /><Relationship Type="http://schemas.openxmlformats.org/officeDocument/2006/relationships/hyperlink" Target="https://www.google.com/maps/search/?api=1&amp;query=Cove+Cafe+8+Passage+Street+Cleveland" TargetMode="External" Id="rId2921" /><Relationship Type="http://schemas.openxmlformats.org/officeDocument/2006/relationships/hyperlink" Target="https://www.instagram.com/redlandsvetclinic" TargetMode="External" Id="rId2922" /><Relationship Type="http://schemas.openxmlformats.org/officeDocument/2006/relationships/hyperlink" Target="https://www.facebook.com/redlandsveterinaryclinic/" TargetMode="External" Id="rId2923" /><Relationship Type="http://schemas.openxmlformats.org/officeDocument/2006/relationships/hyperlink" Target="https://redlandsvetclinic.com.au/" TargetMode="External" Id="rId2924" /><Relationship Type="http://schemas.openxmlformats.org/officeDocument/2006/relationships/hyperlink" Target="https://www.google.com/maps/search/?api=1&amp;query=Redlands+Veterinary+Clinic+433+Boundary+Road+Thornlands" TargetMode="External" Id="rId2925" /><Relationship Type="http://schemas.openxmlformats.org/officeDocument/2006/relationships/hyperlink" Target="https://www.facebook.com/victoriapointvet" TargetMode="External" Id="rId2926" /><Relationship Type="http://schemas.openxmlformats.org/officeDocument/2006/relationships/hyperlink" Target="https://vpvh.com.au/" TargetMode="External" Id="rId2927" /><Relationship Type="http://schemas.openxmlformats.org/officeDocument/2006/relationships/hyperlink" Target="https://www.google.com/maps/search/?api=1&amp;query=Victoria+Point+Veterinary+Hospital+15+Bunker+Road+Victoria+Point" TargetMode="External" Id="rId2928" /><Relationship Type="http://schemas.openxmlformats.org/officeDocument/2006/relationships/hyperlink" Target="https://instagram.com/tpshealth" TargetMode="External" Id="rId2929" /><Relationship Type="http://schemas.openxmlformats.org/officeDocument/2006/relationships/hyperlink" Target="https://www.facebook.com/TPSHealth" TargetMode="External" Id="rId2930" /><Relationship Type="http://schemas.openxmlformats.org/officeDocument/2006/relationships/hyperlink" Target="https://tpshealth.com.au/" TargetMode="External" Id="rId2931" /><Relationship Type="http://schemas.openxmlformats.org/officeDocument/2006/relationships/hyperlink" Target="https://www.google.com/maps/search/?api=1&amp;query=TPS+Health+16+Weippin+Street+Cleveland" TargetMode="External" Id="rId2932" /><Relationship Type="http://schemas.openxmlformats.org/officeDocument/2006/relationships/hyperlink" Target="https://www.instagram.com/barcelladining" TargetMode="External" Id="rId2933" /><Relationship Type="http://schemas.openxmlformats.org/officeDocument/2006/relationships/hyperlink" Target="https://www.facebook.com/BarcellaRestaurantVictoriaPoint" TargetMode="External" Id="rId2934" /><Relationship Type="http://schemas.openxmlformats.org/officeDocument/2006/relationships/hyperlink" Target="https://barcella.com.au/" TargetMode="External" Id="rId2935" /><Relationship Type="http://schemas.openxmlformats.org/officeDocument/2006/relationships/hyperlink" Target="https://www.google.com/maps/search/?api=1&amp;query=Barcella+Lakeside+Drive+Victoria+Point" TargetMode="External" Id="rId2936" /><Relationship Type="http://schemas.openxmlformats.org/officeDocument/2006/relationships/hyperlink" Target="https://www.instagram.com/mammamiatrattoriapizzeria" TargetMode="External" Id="rId2937" /><Relationship Type="http://schemas.openxmlformats.org/officeDocument/2006/relationships/hyperlink" Target="https://www.facebook.com/profile.php" TargetMode="External" Id="rId2938" /><Relationship Type="http://schemas.openxmlformats.org/officeDocument/2006/relationships/hyperlink" Target="https://www.mammamiarabybay.com.au/" TargetMode="External" Id="rId2939" /><Relationship Type="http://schemas.openxmlformats.org/officeDocument/2006/relationships/hyperlink" Target="https://www.google.com/maps/search/?api=1&amp;query=Mamma+Mia+Trattoria+Pizzeria+152+Shore+Street+Cleveland" TargetMode="External" Id="rId2940" /><Relationship Type="http://schemas.openxmlformats.org/officeDocument/2006/relationships/hyperlink" Target="https://www.instagram.com/redlands_rsl" TargetMode="External" Id="rId2941" /><Relationship Type="http://schemas.openxmlformats.org/officeDocument/2006/relationships/hyperlink" Target="https://www.facebook.com/RedlandsRSLClub" TargetMode="External" Id="rId2942" /><Relationship Type="http://schemas.openxmlformats.org/officeDocument/2006/relationships/hyperlink" Target="https://redlandsrsl.com/dining/sails-on-shore-restaurant/" TargetMode="External" Id="rId2943" /><Relationship Type="http://schemas.openxmlformats.org/officeDocument/2006/relationships/hyperlink" Target="https://www.google.com/maps/search/?api=1&amp;query=Sails+on+Shore+8+Passage+Street+Cleveland" TargetMode="External" Id="rId2944" /><Relationship Type="http://schemas.openxmlformats.org/officeDocument/2006/relationships/hyperlink" Target="https://www.instagram.com/smoked_and_loaded" TargetMode="External" Id="rId2945" /><Relationship Type="http://schemas.openxmlformats.org/officeDocument/2006/relationships/hyperlink" Target="https://www.facebook.com/smokedandloaded" TargetMode="External" Id="rId2946" /><Relationship Type="http://schemas.openxmlformats.org/officeDocument/2006/relationships/hyperlink" Target="https://smokedandloaded.com.au/" TargetMode="External" Id="rId2947" /><Relationship Type="http://schemas.openxmlformats.org/officeDocument/2006/relationships/hyperlink" Target="https://www.google.com/maps/search/?api=1&amp;query=Smoked+%26+Loaded+90+Middle+Street+Cleveland" TargetMode="External" Id="rId2948" /><Relationship Type="http://schemas.openxmlformats.org/officeDocument/2006/relationships/hyperlink" Target="https://www.facebook.com/centralparkmotelrockhampton" TargetMode="External" Id="rId2949" /><Relationship Type="http://schemas.openxmlformats.org/officeDocument/2006/relationships/hyperlink" Target="https://www.centralparkmotel.com.au/" TargetMode="External" Id="rId2950" /><Relationship Type="http://schemas.openxmlformats.org/officeDocument/2006/relationships/hyperlink" Target="https://www.google.com/maps/search/?api=1&amp;query=Central+Park+Motel+Murray+Street" TargetMode="External" Id="rId2951" /><Relationship Type="http://schemas.openxmlformats.org/officeDocument/2006/relationships/hyperlink" Target="https://www.facebook.com/Glenmore-Palms-Motel-Rockhampton-210668355612408" TargetMode="External" Id="rId2952" /><Relationship Type="http://schemas.openxmlformats.org/officeDocument/2006/relationships/hyperlink" Target="https://www.glenmorepalms.com.au/" TargetMode="External" Id="rId2953" /><Relationship Type="http://schemas.openxmlformats.org/officeDocument/2006/relationships/hyperlink" Target="https://www.google.com/maps/search/?api=1&amp;query=Glenmore+Palms+Motor+Inn+520+Yaamba+Road+%28Bruce+Highway%29" TargetMode="External" Id="rId2954" /><Relationship Type="http://schemas.openxmlformats.org/officeDocument/2006/relationships/hyperlink" Target="https://www.instagram.com/cag_australia" TargetMode="External" Id="rId2955" /><Relationship Type="http://schemas.openxmlformats.org/officeDocument/2006/relationships/hyperlink" Target="https://www.facebook.com/RockhamptonRiversideCentralHotel" TargetMode="External" Id="rId2956" /><Relationship Type="http://schemas.openxmlformats.org/officeDocument/2006/relationships/hyperlink" Target="https://www.rockhamptonriversidecentral.com.au/" TargetMode="External" Id="rId2957" /><Relationship Type="http://schemas.openxmlformats.org/officeDocument/2006/relationships/hyperlink" Target="https://www.google.com/maps/search/?api=1&amp;query=Rockhampton+Riverside+Central+Hotel+31+Bolsover+Street" TargetMode="External" Id="rId2958" /><Relationship Type="http://schemas.openxmlformats.org/officeDocument/2006/relationships/hyperlink" Target="https://www.instagram.com/thecrirocky" TargetMode="External" Id="rId2959" /><Relationship Type="http://schemas.openxmlformats.org/officeDocument/2006/relationships/hyperlink" Target="https://www.facebook.com/TheCriRocky" TargetMode="External" Id="rId2960" /><Relationship Type="http://schemas.openxmlformats.org/officeDocument/2006/relationships/hyperlink" Target="https://thecriterion.com.au/" TargetMode="External" Id="rId2961" /><Relationship Type="http://schemas.openxmlformats.org/officeDocument/2006/relationships/hyperlink" Target="https://www.google.com/maps/search/?api=1&amp;query=The+Criterion+Hotel+150+Quay+Street" TargetMode="External" Id="rId2962" /><Relationship Type="http://schemas.openxmlformats.org/officeDocument/2006/relationships/hyperlink" Target="https://www.instagram.com/edgerockhampton" TargetMode="External" Id="rId2963" /><Relationship Type="http://schemas.openxmlformats.org/officeDocument/2006/relationships/hyperlink" Target="https://www.facebook.com/EdgeRockhampton" TargetMode="External" Id="rId2964" /><Relationship Type="http://schemas.openxmlformats.org/officeDocument/2006/relationships/hyperlink" Target="https://www.theedgeapartments.com.au/" TargetMode="External" Id="rId2965" /><Relationship Type="http://schemas.openxmlformats.org/officeDocument/2006/relationships/hyperlink" Target="https://www.google.com/maps/search/?api=1&amp;query=The+Edge+Apartment+Hotel+102+Victoria+Parade" TargetMode="External" Id="rId2966" /><Relationship Type="http://schemas.openxmlformats.org/officeDocument/2006/relationships/hyperlink" Target="http://www.facebook.com/zedmoteltropicalgateway" TargetMode="External" Id="rId2967" /><Relationship Type="http://schemas.openxmlformats.org/officeDocument/2006/relationships/hyperlink" Target="https://www.tropicalgateway.com/" TargetMode="External" Id="rId2968" /><Relationship Type="http://schemas.openxmlformats.org/officeDocument/2006/relationships/hyperlink" Target="https://www.google.com/maps/search/?api=1&amp;query=Tropical+Gateway+Motor+Inn+122+Gladstone+Road+%28Bruce+Highway%29" TargetMode="External" Id="rId2969" /><Relationship Type="http://schemas.openxmlformats.org/officeDocument/2006/relationships/hyperlink" Target="https://www.facebook.com/wintersunrockhampton" TargetMode="External" Id="rId2970" /><Relationship Type="http://schemas.openxmlformats.org/officeDocument/2006/relationships/hyperlink" Target="https://wintersunrockhampton.com.au/" TargetMode="External" Id="rId2971" /><Relationship Type="http://schemas.openxmlformats.org/officeDocument/2006/relationships/hyperlink" Target="https://www.google.com/maps/search/?api=1&amp;query=Winter+Sun+Motel+8+Weaver+Street+Norman+Gardens" TargetMode="External" Id="rId2972" /><Relationship Type="http://schemas.openxmlformats.org/officeDocument/2006/relationships/hyperlink" Target="https://www.instagram.com/brush_and_comb_hair" TargetMode="External" Id="rId2973" /><Relationship Type="http://schemas.openxmlformats.org/officeDocument/2006/relationships/hyperlink" Target="https://www.facebook.com/brushandcombhairsalon" TargetMode="External" Id="rId2974" /><Relationship Type="http://schemas.openxmlformats.org/officeDocument/2006/relationships/hyperlink" Target="https://www.brushandcombhairandbeautysalon.com.au" TargetMode="External" Id="rId2975" /><Relationship Type="http://schemas.openxmlformats.org/officeDocument/2006/relationships/hyperlink" Target="https://www.google.com/maps/search/?api=1&amp;query=Brush%26Comb+Hair+and+Beauty+Salon+139-145+Derby+Street" TargetMode="External" Id="rId2976" /><Relationship Type="http://schemas.openxmlformats.org/officeDocument/2006/relationships/hyperlink" Target="https://www.instagram.com/goodlifehc" TargetMode="External" Id="rId2977" /><Relationship Type="http://schemas.openxmlformats.org/officeDocument/2006/relationships/hyperlink" Target="https://www.facebook.com/goodlifehealthclubs" TargetMode="External" Id="rId2978" /><Relationship Type="http://schemas.openxmlformats.org/officeDocument/2006/relationships/hyperlink" Target="https://goodlife.com.au" TargetMode="External" Id="rId2979" /><Relationship Type="http://schemas.openxmlformats.org/officeDocument/2006/relationships/hyperlink" Target="https://www.google.com/maps/search/?api=1&amp;query=Goodlife+Health+Clubs" TargetMode="External" Id="rId2980" /><Relationship Type="http://schemas.openxmlformats.org/officeDocument/2006/relationships/hyperlink" Target="https://www.facebook.com/robostyreworks" TargetMode="External" Id="rId2981" /><Relationship Type="http://schemas.openxmlformats.org/officeDocument/2006/relationships/hyperlink" Target="https://robostyres.com.au/" TargetMode="External" Id="rId2982" /><Relationship Type="http://schemas.openxmlformats.org/officeDocument/2006/relationships/hyperlink" Target="https://www.google.com/maps/search/?api=1&amp;query=Robo%27s+Tyreworks+4+Wandal+Road+Wandal" TargetMode="External" Id="rId2983" /><Relationship Type="http://schemas.openxmlformats.org/officeDocument/2006/relationships/hyperlink" Target="https://www.instagram.com/burgerurge" TargetMode="External" Id="rId2984" /><Relationship Type="http://schemas.openxmlformats.org/officeDocument/2006/relationships/hyperlink" Target="https://www.facebook.com/BurgerUrge" TargetMode="External" Id="rId2985" /><Relationship Type="http://schemas.openxmlformats.org/officeDocument/2006/relationships/hyperlink" Target="https://burgerurge.com.au" TargetMode="External" Id="rId2986" /><Relationship Type="http://schemas.openxmlformats.org/officeDocument/2006/relationships/hyperlink" Target="https://www.google.com/maps/search/?api=1&amp;query=Burger+Urge+South+Rockhampton+139-145+Derby+Street" TargetMode="External" Id="rId2987" /><Relationship Type="http://schemas.openxmlformats.org/officeDocument/2006/relationships/hyperlink" Target="https://www.facebook.com/spicerouteqld" TargetMode="External" Id="rId2988" /><Relationship Type="http://schemas.openxmlformats.org/officeDocument/2006/relationships/hyperlink" Target="https://spiceroutegourmet.com.au/" TargetMode="External" Id="rId2989" /><Relationship Type="http://schemas.openxmlformats.org/officeDocument/2006/relationships/hyperlink" Target="https://www.google.com/maps/search/?api=1&amp;query=The+Spice+Route+Gourmet+384-386+French+Avenue" TargetMode="External" Id="rId2990" /><Relationship Type="http://schemas.openxmlformats.org/officeDocument/2006/relationships/hyperlink" Target="https://www.facebook.com/antoniosxpresspizzas" TargetMode="External" Id="rId2991" /><Relationship Type="http://schemas.openxmlformats.org/officeDocument/2006/relationships/hyperlink" Target="https://antoniosxpresspizzapastaribs.com/" TargetMode="External" Id="rId2992" /><Relationship Type="http://schemas.openxmlformats.org/officeDocument/2006/relationships/hyperlink" Target="https://www.google.com/maps/search/?api=1&amp;query=Antonio%27s+Xpress+153+Musgrave+Street+Berserker" TargetMode="External" Id="rId2993" /><Relationship Type="http://schemas.openxmlformats.org/officeDocument/2006/relationships/hyperlink" Target="https://www.instagram.com/burritobar_" TargetMode="External" Id="rId2994" /><Relationship Type="http://schemas.openxmlformats.org/officeDocument/2006/relationships/hyperlink" Target="https://www.facebook.com/TheBurritoBar" TargetMode="External" Id="rId2995" /><Relationship Type="http://schemas.openxmlformats.org/officeDocument/2006/relationships/hyperlink" Target="https://burritobar.com.au/store/rockhampton" TargetMode="External" Id="rId2996" /><Relationship Type="http://schemas.openxmlformats.org/officeDocument/2006/relationships/hyperlink" Target="https://www.google.com/maps/search/?api=1&amp;query=Burrito+Bar+Rockhampton+Musgrave+Street+Berserker" TargetMode="External" Id="rId2997" /><Relationship Type="http://schemas.openxmlformats.org/officeDocument/2006/relationships/hyperlink" Target="https://www.facebook.com/cranstonspiesnorth" TargetMode="External" Id="rId2998" /><Relationship Type="http://schemas.openxmlformats.org/officeDocument/2006/relationships/hyperlink" Target="https://www.cranstonspies.com.au/" TargetMode="External" Id="rId2999" /><Relationship Type="http://schemas.openxmlformats.org/officeDocument/2006/relationships/hyperlink" Target="https://www.google.com/maps/search/?api=1&amp;query=Cranston%27s+Pies+119+Musgrave+Street" TargetMode="External" Id="rId3000" /><Relationship Type="http://schemas.openxmlformats.org/officeDocument/2006/relationships/hyperlink" Target="https://www.instagram.com/cag_australia" TargetMode="External" Id="rId3001" /><Relationship Type="http://schemas.openxmlformats.org/officeDocument/2006/relationships/hyperlink" Target="https://www.facebook.com/CaloundraCentralApartments" TargetMode="External" Id="rId3002" /><Relationship Type="http://schemas.openxmlformats.org/officeDocument/2006/relationships/hyperlink" Target="https://www.caloundracentral.com.au/" TargetMode="External" Id="rId3003" /><Relationship Type="http://schemas.openxmlformats.org/officeDocument/2006/relationships/hyperlink" Target="https://www.google.com/maps/search/?api=1&amp;query=Caloundra+Central+Apartment+Hotel+36+Browning+Boulevard" TargetMode="External" Id="rId3004" /><Relationship Type="http://schemas.openxmlformats.org/officeDocument/2006/relationships/hyperlink" Target="https://www.instagram.com/sunshinecoastmotorlodge" TargetMode="External" Id="rId3005" /><Relationship Type="http://schemas.openxmlformats.org/officeDocument/2006/relationships/hyperlink" Target="https://www.facebook.com/Sunshine-Coast-Motor-Lodge-1670312586590863" TargetMode="External" Id="rId3006" /><Relationship Type="http://schemas.openxmlformats.org/officeDocument/2006/relationships/hyperlink" Target="https://www.sunshinecoastmotorlodge.com.au/" TargetMode="External" Id="rId3007" /><Relationship Type="http://schemas.openxmlformats.org/officeDocument/2006/relationships/hyperlink" Target="https://www.google.com/maps/search/?api=1&amp;query=Sunshine+Coast+Motor+Lodge+279+Nambour+Connection+Road" TargetMode="External" Id="rId3008" /><Relationship Type="http://schemas.openxmlformats.org/officeDocument/2006/relationships/hyperlink" Target="https://www.facebook.com/sweetandflourbakerycafe" TargetMode="External" Id="rId3009" /><Relationship Type="http://schemas.openxmlformats.org/officeDocument/2006/relationships/hyperlink" Target="https://sweetandflour.com.au/" TargetMode="External" Id="rId3010" /><Relationship Type="http://schemas.openxmlformats.org/officeDocument/2006/relationships/hyperlink" Target="https://www.google.com/maps/search/?api=1&amp;query=Sweet+%26+Flour+Bakery" TargetMode="External" Id="rId3011" /><Relationship Type="http://schemas.openxmlformats.org/officeDocument/2006/relationships/hyperlink" Target="https://www.instagram.com/cooroyhotel" TargetMode="External" Id="rId3012" /><Relationship Type="http://schemas.openxmlformats.org/officeDocument/2006/relationships/hyperlink" Target="https://www.facebook.com/Cooroy-Hotel-150234788363888" TargetMode="External" Id="rId3013" /><Relationship Type="http://schemas.openxmlformats.org/officeDocument/2006/relationships/hyperlink" Target="https://www.cooroyhotel.com.au/" TargetMode="External" Id="rId3014" /><Relationship Type="http://schemas.openxmlformats.org/officeDocument/2006/relationships/hyperlink" Target="https://www.google.com/maps/search/?api=1&amp;query=Cooroy+Hotel+38+Maple+Street+Cooroy" TargetMode="External" Id="rId3015" /><Relationship Type="http://schemas.openxmlformats.org/officeDocument/2006/relationships/hyperlink" Target="https://www.instagram.com/duporth_tavern" TargetMode="External" Id="rId3016" /><Relationship Type="http://schemas.openxmlformats.org/officeDocument/2006/relationships/hyperlink" Target="https://www.facebook.com/duporthtavern" TargetMode="External" Id="rId3017" /><Relationship Type="http://schemas.openxmlformats.org/officeDocument/2006/relationships/hyperlink" Target="https://duporthtavern.com/" TargetMode="External" Id="rId3018" /><Relationship Type="http://schemas.openxmlformats.org/officeDocument/2006/relationships/hyperlink" Target="https://www.google.com/maps/search/?api=1&amp;query=Duporth+Tavern" TargetMode="External" Id="rId3019" /><Relationship Type="http://schemas.openxmlformats.org/officeDocument/2006/relationships/hyperlink" Target="https://www.facebook.com/PalmwoodsBowlsClub" TargetMode="External" Id="rId3020" /><Relationship Type="http://schemas.openxmlformats.org/officeDocument/2006/relationships/hyperlink" Target="https://www.palmwoodsbowlsclub.com.au/" TargetMode="External" Id="rId3021" /><Relationship Type="http://schemas.openxmlformats.org/officeDocument/2006/relationships/hyperlink" Target="https://www.google.com/maps/search/?api=1&amp;query=Palmwoods+Bowls+Club+1+Nicklin+Road" TargetMode="External" Id="rId3022" /><Relationship Type="http://schemas.openxmlformats.org/officeDocument/2006/relationships/hyperlink" Target="https://www.instagram.com/bridesfirst" TargetMode="External" Id="rId3023" /><Relationship Type="http://schemas.openxmlformats.org/officeDocument/2006/relationships/hyperlink" Target="https://www.facebook.com/bridesfirst" TargetMode="External" Id="rId3024" /><Relationship Type="http://schemas.openxmlformats.org/officeDocument/2006/relationships/hyperlink" Target="https://www.bridesfirst.com.au/" TargetMode="External" Id="rId3025" /><Relationship Type="http://schemas.openxmlformats.org/officeDocument/2006/relationships/hyperlink" Target="https://www.google.com/maps/search/?api=1&amp;query=Brides+First+Forever+15+Frogmouth+Circuit+Mountain+Creek" TargetMode="External" Id="rId3026" /><Relationship Type="http://schemas.openxmlformats.org/officeDocument/2006/relationships/hyperlink" Target="https://www.instagram.com/sketchnoosa" TargetMode="External" Id="rId3027" /><Relationship Type="http://schemas.openxmlformats.org/officeDocument/2006/relationships/hyperlink" Target="https://www.facebook.com/Sketch-Noosa-408878525843252" TargetMode="External" Id="rId3028" /><Relationship Type="http://schemas.openxmlformats.org/officeDocument/2006/relationships/hyperlink" Target="https://www.sketchnoosa.com.au/" TargetMode="External" Id="rId3029" /><Relationship Type="http://schemas.openxmlformats.org/officeDocument/2006/relationships/hyperlink" Target="https://www.google.com/maps/search/?api=1&amp;query=Sketch+3+Lanyana+Way+Noosa+Heads" TargetMode="External" Id="rId3030" /><Relationship Type="http://schemas.openxmlformats.org/officeDocument/2006/relationships/hyperlink" Target="https://www.instagram.com/bfresh_93" TargetMode="External" Id="rId3031" /><Relationship Type="http://schemas.openxmlformats.org/officeDocument/2006/relationships/hyperlink" Target="https://www.facebook.com/Bfresh-Market-Cafe-Deli-127270257363381" TargetMode="External" Id="rId3032" /><Relationship Type="http://schemas.openxmlformats.org/officeDocument/2006/relationships/hyperlink" Target="https://bfresh.com.au" TargetMode="External" Id="rId3033" /><Relationship Type="http://schemas.openxmlformats.org/officeDocument/2006/relationships/hyperlink" Target="https://www.google.com/maps/search/?api=1&amp;query=BFresh+239+Nicklin+Way" TargetMode="External" Id="rId3034" /><Relationship Type="http://schemas.openxmlformats.org/officeDocument/2006/relationships/hyperlink" Target="https://www.facebook.com/johnkyleespresso" TargetMode="External" Id="rId3035" /><Relationship Type="http://schemas.openxmlformats.org/officeDocument/2006/relationships/hyperlink" Target="https://johnkyleespresso.com.au/maroochydore/" TargetMode="External" Id="rId3036" /><Relationship Type="http://schemas.openxmlformats.org/officeDocument/2006/relationships/hyperlink" Target="https://www.google.com/maps/search/?api=1&amp;query=John+Kyle+Espresso" TargetMode="External" Id="rId3037" /><Relationship Type="http://schemas.openxmlformats.org/officeDocument/2006/relationships/hyperlink" Target="https://www.instagram.com/littlecovecoffee" TargetMode="External" Id="rId3038" /><Relationship Type="http://schemas.openxmlformats.org/officeDocument/2006/relationships/hyperlink" Target="https://www.facebook.com/littlecovecoffee" TargetMode="External" Id="rId3039" /><Relationship Type="http://schemas.openxmlformats.org/officeDocument/2006/relationships/hyperlink" Target="https://littlecovecoffee.com.au/" TargetMode="External" Id="rId3040" /><Relationship Type="http://schemas.openxmlformats.org/officeDocument/2006/relationships/hyperlink" Target="https://www.google.com/maps/search/?api=1&amp;query=Little+Cove+Coffee+205+Weyba+Road+Noosaville" TargetMode="External" Id="rId3041" /><Relationship Type="http://schemas.openxmlformats.org/officeDocument/2006/relationships/hyperlink" Target="https://instagram.com/murrayscafe" TargetMode="External" Id="rId3042" /><Relationship Type="http://schemas.openxmlformats.org/officeDocument/2006/relationships/hyperlink" Target="http://www.facebook.com/murrayscafe" TargetMode="External" Id="rId3043" /><Relationship Type="http://schemas.openxmlformats.org/officeDocument/2006/relationships/hyperlink" Target="https://www.murrayscafe.com.au" TargetMode="External" Id="rId3044" /><Relationship Type="http://schemas.openxmlformats.org/officeDocument/2006/relationships/hyperlink" Target="https://www.google.com/maps/search/?api=1&amp;query=Murray%27s+Cafe+Licenced+Espresso+Bar+78+Sixth+Avenue" TargetMode="External" Id="rId3045" /><Relationship Type="http://schemas.openxmlformats.org/officeDocument/2006/relationships/hyperlink" Target="https://www.instagram.com/alsahwaestate" TargetMode="External" Id="rId3046" /><Relationship Type="http://schemas.openxmlformats.org/officeDocument/2006/relationships/hyperlink" Target="https://www.facebook.com/alsahwafarm" TargetMode="External" Id="rId3047" /><Relationship Type="http://schemas.openxmlformats.org/officeDocument/2006/relationships/hyperlink" Target="https://stonebridgegardens.com.au/" TargetMode="External" Id="rId3048" /><Relationship Type="http://schemas.openxmlformats.org/officeDocument/2006/relationships/hyperlink" Target="https://www.google.com/maps/search/?api=1&amp;query=Stonebridge+Gardens+20+Rifle+Range+Road" TargetMode="External" Id="rId3049" /><Relationship Type="http://schemas.openxmlformats.org/officeDocument/2006/relationships/hyperlink" Target="https://www.instagram.com/poolcafeperegian" TargetMode="External" Id="rId3050" /><Relationship Type="http://schemas.openxmlformats.org/officeDocument/2006/relationships/hyperlink" Target="https://www.facebook.com/PoolCafePeregian" TargetMode="External" Id="rId3051" /><Relationship Type="http://schemas.openxmlformats.org/officeDocument/2006/relationships/hyperlink" Target="https://www.poolcafeperegian.com.au/" TargetMode="External" Id="rId3052" /><Relationship Type="http://schemas.openxmlformats.org/officeDocument/2006/relationships/hyperlink" Target="https://www.google.com/maps/search/?api=1&amp;query=The+Pool+Cafe+222+The+Avenue" TargetMode="External" Id="rId3053" /><Relationship Type="http://schemas.openxmlformats.org/officeDocument/2006/relationships/hyperlink" Target="https://www.instagram.com/bikeon_noosa_hiretours" TargetMode="External" Id="rId3054" /><Relationship Type="http://schemas.openxmlformats.org/officeDocument/2006/relationships/hyperlink" Target="https://www.facebook.com/bikeonaustralia" TargetMode="External" Id="rId3055" /><Relationship Type="http://schemas.openxmlformats.org/officeDocument/2006/relationships/hyperlink" Target="https://www.bikeon.com.au" TargetMode="External" Id="rId3056" /><Relationship Type="http://schemas.openxmlformats.org/officeDocument/2006/relationships/hyperlink" Target="https://www.google.com/maps/search/?api=1&amp;query=Bike+On+HQ+20+Venture+Drive" TargetMode="External" Id="rId3057" /><Relationship Type="http://schemas.openxmlformats.org/officeDocument/2006/relationships/hyperlink" Target="https://www.instagram.com/capersearlylearning" TargetMode="External" Id="rId3058" /><Relationship Type="http://schemas.openxmlformats.org/officeDocument/2006/relationships/hyperlink" Target="https://www.facebook.com/CapersEarlyLearning" TargetMode="External" Id="rId3059" /><Relationship Type="http://schemas.openxmlformats.org/officeDocument/2006/relationships/hyperlink" Target="https://www.caperschildcare.com.au/nambour" TargetMode="External" Id="rId3060" /><Relationship Type="http://schemas.openxmlformats.org/officeDocument/2006/relationships/hyperlink" Target="https://www.google.com/maps/search/?api=1&amp;query=Kids+Capers+Childcare+Nambour+47+Image+Flat+Road+Nambour" TargetMode="External" Id="rId3061" /><Relationship Type="http://schemas.openxmlformats.org/officeDocument/2006/relationships/hyperlink" Target="https://www.facebook.com/palmwoodselc" TargetMode="External" Id="rId3062" /><Relationship Type="http://schemas.openxmlformats.org/officeDocument/2006/relationships/hyperlink" Target="https://www.palmwoodselc.com.au/" TargetMode="External" Id="rId3063" /><Relationship Type="http://schemas.openxmlformats.org/officeDocument/2006/relationships/hyperlink" Target="https://www.google.com/maps/search/?api=1&amp;query=Palmwoods+Early+Learning+Centre+1+Harris+Drive+Palmwoods" TargetMode="External" Id="rId3064" /><Relationship Type="http://schemas.openxmlformats.org/officeDocument/2006/relationships/hyperlink" Target="https://www.facebook.com/AdvanceOraldentureclinic/" TargetMode="External" Id="rId3065" /><Relationship Type="http://schemas.openxmlformats.org/officeDocument/2006/relationships/hyperlink" Target="https://advanceoraldentures.com.au/" TargetMode="External" Id="rId3066" /><Relationship Type="http://schemas.openxmlformats.org/officeDocument/2006/relationships/hyperlink" Target="https://www.google.com/maps/search/?api=1&amp;query=Advance+Oral+Dentures+139+Brisbane+Road+Mooloolaba" TargetMode="External" Id="rId3067" /><Relationship Type="http://schemas.openxmlformats.org/officeDocument/2006/relationships/hyperlink" Target="https://www.facebook.com/cdsurgery" TargetMode="External" Id="rId3068" /><Relationship Type="http://schemas.openxmlformats.org/officeDocument/2006/relationships/hyperlink" Target="https://www.cooroydental.com.au" TargetMode="External" Id="rId3069" /><Relationship Type="http://schemas.openxmlformats.org/officeDocument/2006/relationships/hyperlink" Target="https://www.google.com/maps/search/?api=1&amp;query=Cooroy+Dental+Surgery+39+Maple+Street+Cooroy" TargetMode="External" Id="rId3070" /><Relationship Type="http://schemas.openxmlformats.org/officeDocument/2006/relationships/hyperlink" Target="https://www.facebook.com/SunshineCoastElectrician1" TargetMode="External" Id="rId3071" /><Relationship Type="http://schemas.openxmlformats.org/officeDocument/2006/relationships/hyperlink" Target="http://www.rjhelectrical.com.au/" TargetMode="External" Id="rId3072" /><Relationship Type="http://schemas.openxmlformats.org/officeDocument/2006/relationships/hyperlink" Target="https://www.google.com/maps/search/?api=1&amp;query=RJH+Electrical" TargetMode="External" Id="rId3073" /><Relationship Type="http://schemas.openxmlformats.org/officeDocument/2006/relationships/hyperlink" Target="https://www.instagram.com/ezyfit_health_club" TargetMode="External" Id="rId3074" /><Relationship Type="http://schemas.openxmlformats.org/officeDocument/2006/relationships/hyperlink" Target="https://www.facebook.com/ezyFITclub" TargetMode="External" Id="rId3075" /><Relationship Type="http://schemas.openxmlformats.org/officeDocument/2006/relationships/hyperlink" Target="https://ezyfithealthclub.com/" TargetMode="External" Id="rId3076" /><Relationship Type="http://schemas.openxmlformats.org/officeDocument/2006/relationships/hyperlink" Target="https://www.google.com/maps/search/?api=1&amp;query=Ezyfit+Kawana+566+Kawana+Way" TargetMode="External" Id="rId3077" /><Relationship Type="http://schemas.openxmlformats.org/officeDocument/2006/relationships/hyperlink" Target="https://instagram.com/burnside_motors" TargetMode="External" Id="rId3078" /><Relationship Type="http://schemas.openxmlformats.org/officeDocument/2006/relationships/hyperlink" Target="https://www.facebook.com/BurnsideMotors1" TargetMode="External" Id="rId3079" /><Relationship Type="http://schemas.openxmlformats.org/officeDocument/2006/relationships/hyperlink" Target="https://burnsidemotors.com.au/" TargetMode="External" Id="rId3080" /><Relationship Type="http://schemas.openxmlformats.org/officeDocument/2006/relationships/hyperlink" Target="https://www.google.com/maps/search/?api=1&amp;query=Burnside+Motors+1+Windsor+Road" TargetMode="External" Id="rId3081" /><Relationship Type="http://schemas.openxmlformats.org/officeDocument/2006/relationships/hyperlink" Target="https://www.instagram.com/justautosmechanical" TargetMode="External" Id="rId3082" /><Relationship Type="http://schemas.openxmlformats.org/officeDocument/2006/relationships/hyperlink" Target="https://www.facebook.com/justautosmechanical" TargetMode="External" Id="rId3083" /><Relationship Type="http://schemas.openxmlformats.org/officeDocument/2006/relationships/hyperlink" Target="https://www.justautosmechanical.com.au/" TargetMode="External" Id="rId3084" /><Relationship Type="http://schemas.openxmlformats.org/officeDocument/2006/relationships/hyperlink" Target="https://www.google.com/maps/search/?api=1&amp;query=Just+Autos+Mechanical+11+Windsor+Road" TargetMode="External" Id="rId3085" /><Relationship Type="http://schemas.openxmlformats.org/officeDocument/2006/relationships/hyperlink" Target="https://www.facebook.com/paintprotectionpro" TargetMode="External" Id="rId3086" /><Relationship Type="http://schemas.openxmlformats.org/officeDocument/2006/relationships/hyperlink" Target="https://paintprotectionpro.com.au/" TargetMode="External" Id="rId3087" /><Relationship Type="http://schemas.openxmlformats.org/officeDocument/2006/relationships/hyperlink" Target="https://www.google.com/maps/search/?api=1&amp;query=Paint+Protection+Pro" TargetMode="External" Id="rId3088" /><Relationship Type="http://schemas.openxmlformats.org/officeDocument/2006/relationships/hyperlink" Target="https://www.instagram.com/noosafootankleclinic" TargetMode="External" Id="rId3089" /><Relationship Type="http://schemas.openxmlformats.org/officeDocument/2006/relationships/hyperlink" Target="https://www.facebook.com/noosapod" TargetMode="External" Id="rId3090" /><Relationship Type="http://schemas.openxmlformats.org/officeDocument/2006/relationships/hyperlink" Target="https://www.nfac.com.au/" TargetMode="External" Id="rId3091" /><Relationship Type="http://schemas.openxmlformats.org/officeDocument/2006/relationships/hyperlink" Target="https://www.google.com/maps/search/?api=1&amp;query=Noosa+Foot+%26+Ankle+Clinic+and+Regenerative+Medicine+55+Mary+Street+Noosaville" TargetMode="External" Id="rId3092" /><Relationship Type="http://schemas.openxmlformats.org/officeDocument/2006/relationships/hyperlink" Target="https://www.facebook.com/pelicanwatersvet" TargetMode="External" Id="rId3093" /><Relationship Type="http://schemas.openxmlformats.org/officeDocument/2006/relationships/hyperlink" Target="https://www.pelicanvet.com/" TargetMode="External" Id="rId3094" /><Relationship Type="http://schemas.openxmlformats.org/officeDocument/2006/relationships/hyperlink" Target="https://www.google.com/maps/search/?api=1&amp;query=Pelican+Waters+Veterinary+Surgery+24+Landsborough+Parade+Golden+Beach" TargetMode="External" Id="rId3095" /><Relationship Type="http://schemas.openxmlformats.org/officeDocument/2006/relationships/hyperlink" Target="https://www.instagram.com/advancedebtcollection" TargetMode="External" Id="rId3096" /><Relationship Type="http://schemas.openxmlformats.org/officeDocument/2006/relationships/hyperlink" Target="https://www.facebook.com/advancedebtcollection" TargetMode="External" Id="rId3097" /><Relationship Type="http://schemas.openxmlformats.org/officeDocument/2006/relationships/hyperlink" Target="https://www.advancedebtcollection.com.au/" TargetMode="External" Id="rId3098" /><Relationship Type="http://schemas.openxmlformats.org/officeDocument/2006/relationships/hyperlink" Target="https://www.google.com/maps/search/?api=1&amp;query=Advance+Debt+Collection+67+Mary+Street+Noosaville" TargetMode="External" Id="rId3099" /><Relationship Type="http://schemas.openxmlformats.org/officeDocument/2006/relationships/hyperlink" Target="https://www.instagram.com/thinkinvestmentrealty" TargetMode="External" Id="rId3100" /><Relationship Type="http://schemas.openxmlformats.org/officeDocument/2006/relationships/hyperlink" Target="https://www.facebook.com/thinkinvestmentrealty" TargetMode="External" Id="rId3101" /><Relationship Type="http://schemas.openxmlformats.org/officeDocument/2006/relationships/hyperlink" Target="https://thinkinvestmentrealty.com.au" TargetMode="External" Id="rId3102" /><Relationship Type="http://schemas.openxmlformats.org/officeDocument/2006/relationships/hyperlink" Target="https://www.google.com/maps/search/?api=1&amp;query=Think+Investment+Realty+55+Sugar+Road+Maroochydore" TargetMode="External" Id="rId3103" /><Relationship Type="http://schemas.openxmlformats.org/officeDocument/2006/relationships/hyperlink" Target="https://www.instagram.com/acquarestaurantcaloundra" TargetMode="External" Id="rId3104" /><Relationship Type="http://schemas.openxmlformats.org/officeDocument/2006/relationships/hyperlink" Target="https://www.facebook.com/AcquaRestaurantBar" TargetMode="External" Id="rId3105" /><Relationship Type="http://schemas.openxmlformats.org/officeDocument/2006/relationships/hyperlink" Target="https://www.acquarestaurant.com.au" TargetMode="External" Id="rId3106" /><Relationship Type="http://schemas.openxmlformats.org/officeDocument/2006/relationships/hyperlink" Target="https://www.google.com/maps/search/?api=1&amp;query=Acqua+Restaurant+and+Bar" TargetMode="External" Id="rId3107" /><Relationship Type="http://schemas.openxmlformats.org/officeDocument/2006/relationships/hyperlink" Target="https://www.instagram.com/coffeecatonkingsbeach" TargetMode="External" Id="rId3108" /><Relationship Type="http://schemas.openxmlformats.org/officeDocument/2006/relationships/hyperlink" Target="https://www.facebook.com/CoffeeCatOnKingsBeach" TargetMode="External" Id="rId3109" /><Relationship Type="http://schemas.openxmlformats.org/officeDocument/2006/relationships/hyperlink" Target="https://www.coffeecatonkingsbeach.com.au/" TargetMode="External" Id="rId3110" /><Relationship Type="http://schemas.openxmlformats.org/officeDocument/2006/relationships/hyperlink" Target="https://www.google.com/maps/search/?api=1&amp;query=Coffee+Cat+On+Kings+Beach" TargetMode="External" Id="rId3111" /><Relationship Type="http://schemas.openxmlformats.org/officeDocument/2006/relationships/hyperlink" Target="https://www.instagram.com/giddy_geisha" TargetMode="External" Id="rId3112" /><Relationship Type="http://schemas.openxmlformats.org/officeDocument/2006/relationships/hyperlink" Target="https://www.facebook.com/giddygeishamaroochydore" TargetMode="External" Id="rId3113" /><Relationship Type="http://schemas.openxmlformats.org/officeDocument/2006/relationships/hyperlink" Target="https://giddygeisha.com.au/" TargetMode="External" Id="rId3114" /><Relationship Type="http://schemas.openxmlformats.org/officeDocument/2006/relationships/hyperlink" Target="https://www.google.com/maps/search/?api=1&amp;query=Giddy+Geisha+First+Avenue+Maroochydore" TargetMode="External" Id="rId3115" /><Relationship Type="http://schemas.openxmlformats.org/officeDocument/2006/relationships/hyperlink" Target="http://instagram.com/piggyback_sc" TargetMode="External" Id="rId3116" /><Relationship Type="http://schemas.openxmlformats.org/officeDocument/2006/relationships/hyperlink" Target="http://www.facebook.com/piggybacksc" TargetMode="External" Id="rId3117" /><Relationship Type="http://schemas.openxmlformats.org/officeDocument/2006/relationships/hyperlink" Target="https://piggyb.com.au/" TargetMode="External" Id="rId3118" /><Relationship Type="http://schemas.openxmlformats.org/officeDocument/2006/relationships/hyperlink" Target="https://www.google.com/maps/search/?api=1&amp;query=Piggyback+1+Koorawatha+Lane+Palmwoods" TargetMode="External" Id="rId3119" /><Relationship Type="http://schemas.openxmlformats.org/officeDocument/2006/relationships/hyperlink" Target="http://instagram.com/riceboi_mba" TargetMode="External" Id="rId3120" /><Relationship Type="http://schemas.openxmlformats.org/officeDocument/2006/relationships/hyperlink" Target="https://riceboi.com.au/" TargetMode="External" Id="rId3121" /><Relationship Type="http://schemas.openxmlformats.org/officeDocument/2006/relationships/hyperlink" Target="https://www.google.com/maps/search/?api=1&amp;query=Rice+Boi+123+Parkyn+Parade" TargetMode="External" Id="rId3122" /><Relationship Type="http://schemas.openxmlformats.org/officeDocument/2006/relationships/hyperlink" Target="https://www.instagram.com/tacoboynoosa" TargetMode="External" Id="rId3123" /><Relationship Type="http://schemas.openxmlformats.org/officeDocument/2006/relationships/hyperlink" Target="https://www.facebook.com/tacoboyaustralia" TargetMode="External" Id="rId3124" /><Relationship Type="http://schemas.openxmlformats.org/officeDocument/2006/relationships/hyperlink" Target="https://tacoboy.com.au/" TargetMode="External" Id="rId3125" /><Relationship Type="http://schemas.openxmlformats.org/officeDocument/2006/relationships/hyperlink" Target="https://www.google.com/maps/search/?api=1&amp;query=Taco+Boy" TargetMode="External" Id="rId3126" /><Relationship Type="http://schemas.openxmlformats.org/officeDocument/2006/relationships/hyperlink" Target="https://www.instagram.com/coolumsurfclub" TargetMode="External" Id="rId3127" /><Relationship Type="http://schemas.openxmlformats.org/officeDocument/2006/relationships/hyperlink" Target="https://www.facebook.com/CoolumSurfClub" TargetMode="External" Id="rId3128" /><Relationship Type="http://schemas.openxmlformats.org/officeDocument/2006/relationships/hyperlink" Target="https://www.coolumsurfclub.com/beachfront-restaurant/" TargetMode="External" Id="rId3129" /><Relationship Type="http://schemas.openxmlformats.org/officeDocument/2006/relationships/hyperlink" Target="https://www.google.com/maps/search/?api=1&amp;query=The+Beachfront+Restaurant" TargetMode="External" Id="rId3130" /><Relationship Type="http://schemas.openxmlformats.org/officeDocument/2006/relationships/hyperlink" Target="https://www.facebook.com/YetiRestaurantAndBar" TargetMode="External" Id="rId3131" /><Relationship Type="http://schemas.openxmlformats.org/officeDocument/2006/relationships/hyperlink" Target="https://www.yetirestaurantandbar.com.au/" TargetMode="External" Id="rId3132" /><Relationship Type="http://schemas.openxmlformats.org/officeDocument/2006/relationships/hyperlink" Target="https://www.google.com/maps/search/?api=1&amp;query=Yeti+Restaurant+%26+Bar" TargetMode="External" Id="rId3133" /><Relationship Type="http://schemas.openxmlformats.org/officeDocument/2006/relationships/hyperlink" Target="https://www.facebook.com/pages/De-Lish-Fish-at-Kings/547467392024234" TargetMode="External" Id="rId3134" /><Relationship Type="http://schemas.openxmlformats.org/officeDocument/2006/relationships/hyperlink" Target="http://delishfish.com.au/" TargetMode="External" Id="rId3135" /><Relationship Type="http://schemas.openxmlformats.org/officeDocument/2006/relationships/hyperlink" Target="https://www.google.com/maps/search/?api=1&amp;query=De+Lish+Fish+%40+Kings" TargetMode="External" Id="rId3136" /><Relationship Type="http://schemas.openxmlformats.org/officeDocument/2006/relationships/hyperlink" Target="http://instagram.com/ink_attack" TargetMode="External" Id="rId3137" /><Relationship Type="http://schemas.openxmlformats.org/officeDocument/2006/relationships/hyperlink" Target="https://www.facebook.com/InkAttackTattooStudio" TargetMode="External" Id="rId3138" /><Relationship Type="http://schemas.openxmlformats.org/officeDocument/2006/relationships/hyperlink" Target="http://www.inkattack.com.au" TargetMode="External" Id="rId3139" /><Relationship Type="http://schemas.openxmlformats.org/officeDocument/2006/relationships/hyperlink" Target="https://www.google.com/maps/search/?api=1&amp;query=Ink+Attack+Tattoo+12+Thunderbird+Drive" TargetMode="External" Id="rId3140" /><Relationship Type="http://schemas.openxmlformats.org/officeDocument/2006/relationships/hyperlink" Target="https://www.facebook.com/CityGolfMotel" TargetMode="External" Id="rId3141" /><Relationship Type="http://schemas.openxmlformats.org/officeDocument/2006/relationships/hyperlink" Target="https://citygolfmotel.com.au/" TargetMode="External" Id="rId3142" /><Relationship Type="http://schemas.openxmlformats.org/officeDocument/2006/relationships/hyperlink" Target="https://www.google.com/maps/search/?api=1&amp;query=City+Golf+Club+Motel+769-775+Ruthven+Street" TargetMode="External" Id="rId3143" /><Relationship Type="http://schemas.openxmlformats.org/officeDocument/2006/relationships/hyperlink" Target="https://www.instagram.com/thecubehotel" TargetMode="External" Id="rId3144" /><Relationship Type="http://schemas.openxmlformats.org/officeDocument/2006/relationships/hyperlink" Target="http://www.cubehotel.com.au/" TargetMode="External" Id="rId3145" /><Relationship Type="http://schemas.openxmlformats.org/officeDocument/2006/relationships/hyperlink" Target="https://www.google.com/maps/search/?api=1&amp;query=The+Cube+Hotel+169+Margaret+Street" TargetMode="External" Id="rId3146" /><Relationship Type="http://schemas.openxmlformats.org/officeDocument/2006/relationships/hyperlink" Target="https://www.facebook.com/BousForMen" TargetMode="External" Id="rId3147" /><Relationship Type="http://schemas.openxmlformats.org/officeDocument/2006/relationships/hyperlink" Target="https://www.bousformen.com.au/" TargetMode="External" Id="rId3148" /><Relationship Type="http://schemas.openxmlformats.org/officeDocument/2006/relationships/hyperlink" Target="https://www.google.com/maps/search/?api=1&amp;query=Bou%27s+For+Men+Barber+Shop" TargetMode="External" Id="rId3149" /><Relationship Type="http://schemas.openxmlformats.org/officeDocument/2006/relationships/hyperlink" Target="https://www.instagram.com/grow_early_education" TargetMode="External" Id="rId3150" /><Relationship Type="http://schemas.openxmlformats.org/officeDocument/2006/relationships/hyperlink" Target="https://www.facebook.com/growearlyeducation" TargetMode="External" Id="rId3151" /><Relationship Type="http://schemas.openxmlformats.org/officeDocument/2006/relationships/hyperlink" Target="https://growearlyeducation.com.au/darlingheights/" TargetMode="External" Id="rId3152" /><Relationship Type="http://schemas.openxmlformats.org/officeDocument/2006/relationships/hyperlink" Target="https://www.google.com/maps/search/?api=1&amp;query=Grow+Early+Education+Darling+Heights+2+Platz+Street+Darling+Heights" TargetMode="External" Id="rId3153" /><Relationship Type="http://schemas.openxmlformats.org/officeDocument/2006/relationships/hyperlink" Target="https://www.facebook.com/elevationstudioshighfields" TargetMode="External" Id="rId3154" /><Relationship Type="http://schemas.openxmlformats.org/officeDocument/2006/relationships/hyperlink" Target="https://www.elevationstudios.com.au" TargetMode="External" Id="rId3155" /><Relationship Type="http://schemas.openxmlformats.org/officeDocument/2006/relationships/hyperlink" Target="https://www.google.com/maps/search/?api=1&amp;query=Elevation+Studios+10517+New+England+Highway" TargetMode="External" Id="rId3156" /><Relationship Type="http://schemas.openxmlformats.org/officeDocument/2006/relationships/hyperlink" Target="https://www.facebook.com/BenWattsMiniandMoke/" TargetMode="External" Id="rId3157" /><Relationship Type="http://schemas.openxmlformats.org/officeDocument/2006/relationships/hyperlink" Target="http://www.benwattsminiandmoke.com.au/" TargetMode="External" Id="rId3158" /><Relationship Type="http://schemas.openxmlformats.org/officeDocument/2006/relationships/hyperlink" Target="https://www.google.com/maps/search/?api=1&amp;query=Ben+Watts+Mini+and+Moke+8+Progress+Avenue+Westbrook" TargetMode="External" Id="rId3159" /><Relationship Type="http://schemas.openxmlformats.org/officeDocument/2006/relationships/hyperlink" Target="https://www.instagram.com/goolburri" TargetMode="External" Id="rId3160" /><Relationship Type="http://schemas.openxmlformats.org/officeDocument/2006/relationships/hyperlink" Target="https://www.facebook.com/GoolburriHealth" TargetMode="External" Id="rId3161" /><Relationship Type="http://schemas.openxmlformats.org/officeDocument/2006/relationships/hyperlink" Target="https://goolburri.org.au/" TargetMode="External" Id="rId3162" /><Relationship Type="http://schemas.openxmlformats.org/officeDocument/2006/relationships/hyperlink" Target="https://www.google.com/maps/search/?api=1&amp;query=Goolburri+Aboriginal+Health+Advancement+20+Scott+Street+East+Toowoomba" TargetMode="External" Id="rId3163" /><Relationship Type="http://schemas.openxmlformats.org/officeDocument/2006/relationships/hyperlink" Target="https://www.instagram.com/upandactivephysiotherapy_" TargetMode="External" Id="rId3164" /><Relationship Type="http://schemas.openxmlformats.org/officeDocument/2006/relationships/hyperlink" Target="https://www.facebook.com/upandactivephysiotherapy" TargetMode="External" Id="rId3165" /><Relationship Type="http://schemas.openxmlformats.org/officeDocument/2006/relationships/hyperlink" Target="http://www.upandactive.com.au/index.html" TargetMode="External" Id="rId3166" /><Relationship Type="http://schemas.openxmlformats.org/officeDocument/2006/relationships/hyperlink" Target="https://www.google.com/maps/search/?api=1&amp;query=Up+%26+Active+Physiotherapy" TargetMode="External" Id="rId3167" /><Relationship Type="http://schemas.openxmlformats.org/officeDocument/2006/relationships/hyperlink" Target="https://www.instagram.com/upandactivephysiotherapy_" TargetMode="External" Id="rId3168" /><Relationship Type="http://schemas.openxmlformats.org/officeDocument/2006/relationships/hyperlink" Target="https://www.facebook.com/upandactivephysiotherapy" TargetMode="External" Id="rId3169" /><Relationship Type="http://schemas.openxmlformats.org/officeDocument/2006/relationships/hyperlink" Target="https://upandactive.com.au" TargetMode="External" Id="rId3170" /><Relationship Type="http://schemas.openxmlformats.org/officeDocument/2006/relationships/hyperlink" Target="https://www.google.com/maps/search/?api=1&amp;query=Up+and+Active+Physiotherapy+2+Plaza+Circle" TargetMode="External" Id="rId3171" /><Relationship Type="http://schemas.openxmlformats.org/officeDocument/2006/relationships/hyperlink" Target="https://www.facebook.com/HighfieldsBookkeepingandBusinessSolutions" TargetMode="External" Id="rId3172" /><Relationship Type="http://schemas.openxmlformats.org/officeDocument/2006/relationships/hyperlink" Target="https://highfieldsbookkeeping.com.au" TargetMode="External" Id="rId3173" /><Relationship Type="http://schemas.openxmlformats.org/officeDocument/2006/relationships/hyperlink" Target="https://www.google.com/maps/search/?api=1&amp;query=Highfields+Bookkeeping+10517+New+England+Highway" TargetMode="External" Id="rId3174" /><Relationship Type="http://schemas.openxmlformats.org/officeDocument/2006/relationships/hyperlink" Target="https://www.instagram.com/thlfinance" TargetMode="External" Id="rId3175" /><Relationship Type="http://schemas.openxmlformats.org/officeDocument/2006/relationships/hyperlink" Target="https://www.facebook.com/THLFinancePartners" TargetMode="External" Id="rId3176" /><Relationship Type="http://schemas.openxmlformats.org/officeDocument/2006/relationships/hyperlink" Target="https://thlfinancepartners.com.au/" TargetMode="External" Id="rId3177" /><Relationship Type="http://schemas.openxmlformats.org/officeDocument/2006/relationships/hyperlink" Target="https://www.google.com/maps/search/?api=1&amp;query=THL+Finance+Partners" TargetMode="External" Id="rId3178" /><Relationship Type="http://schemas.openxmlformats.org/officeDocument/2006/relationships/hyperlink" Target="https://www.facebook.com/Club-Glenvale-286068858072482" TargetMode="External" Id="rId3179" /><Relationship Type="http://schemas.openxmlformats.org/officeDocument/2006/relationships/hyperlink" Target="https://www.clubglenvale.com.au/" TargetMode="External" Id="rId3180" /><Relationship Type="http://schemas.openxmlformats.org/officeDocument/2006/relationships/hyperlink" Target="https://www.google.com/maps/search/?api=1&amp;query=Club+Glenvale" TargetMode="External" Id="rId3181" /><Relationship Type="http://schemas.openxmlformats.org/officeDocument/2006/relationships/hyperlink" Target="https://www.facebook.com/CityOasisInn" TargetMode="External" Id="rId3182" /><Relationship Type="http://schemas.openxmlformats.org/officeDocument/2006/relationships/hyperlink" Target="https://cityoasis.com.au" TargetMode="External" Id="rId3183" /><Relationship Type="http://schemas.openxmlformats.org/officeDocument/2006/relationships/hyperlink" Target="https://www.google.com/maps/search/?api=1&amp;query=City+Oasis+Inn" TargetMode="External" Id="rId3184" /><Relationship Type="http://schemas.openxmlformats.org/officeDocument/2006/relationships/hyperlink" Target="https://www.instagram.com/theheritagetownsville" TargetMode="External" Id="rId3185" /><Relationship Type="http://schemas.openxmlformats.org/officeDocument/2006/relationships/hyperlink" Target="https://www.facebook.com/TheHeritageTownsville/photos_albums" TargetMode="External" Id="rId3186" /><Relationship Type="http://schemas.openxmlformats.org/officeDocument/2006/relationships/hyperlink" Target="https://www.theheritagetownsville.com/" TargetMode="External" Id="rId3187" /><Relationship Type="http://schemas.openxmlformats.org/officeDocument/2006/relationships/hyperlink" Target="https://www.google.com/maps/search/?api=1&amp;query=Heritage+Exchange+Hotel+151+Flinders+Street" TargetMode="External" Id="rId3188" /><Relationship Type="http://schemas.openxmlformats.org/officeDocument/2006/relationships/hyperlink" Target="https://www.facebook.com/www.facebook.com/oonoonbahotelmotel" TargetMode="External" Id="rId3189" /><Relationship Type="http://schemas.openxmlformats.org/officeDocument/2006/relationships/hyperlink" Target="http://www.oonoonbahotelmotel.com.au/" TargetMode="External" Id="rId3190" /><Relationship Type="http://schemas.openxmlformats.org/officeDocument/2006/relationships/hyperlink" Target="https://www.google.com/maps/search/?api=1&amp;query=Oonoonba+Hotel+Motel" TargetMode="External" Id="rId3191" /><Relationship Type="http://schemas.openxmlformats.org/officeDocument/2006/relationships/hyperlink" Target="https://www.instagram.com/coffeeworkstownsville" TargetMode="External" Id="rId3192" /><Relationship Type="http://schemas.openxmlformats.org/officeDocument/2006/relationships/hyperlink" Target="https://www.facebook.com/coffeeworkstownsville" TargetMode="External" Id="rId3193" /><Relationship Type="http://schemas.openxmlformats.org/officeDocument/2006/relationships/hyperlink" Target="https://coffeeworks.com.au/" TargetMode="External" Id="rId3194" /><Relationship Type="http://schemas.openxmlformats.org/officeDocument/2006/relationships/hyperlink" Target="https://www.google.com/maps/search/?api=1&amp;query=Coffee+Works+Gregory+Street" TargetMode="External" Id="rId3195" /><Relationship Type="http://schemas.openxmlformats.org/officeDocument/2006/relationships/hyperlink" Target="https://www.instagram.com/juliettesforloversof" TargetMode="External" Id="rId3196" /><Relationship Type="http://schemas.openxmlformats.org/officeDocument/2006/relationships/hyperlink" Target="https://www.facebook.com/Juliettes.for.lovers.of" TargetMode="External" Id="rId3197" /><Relationship Type="http://schemas.openxmlformats.org/officeDocument/2006/relationships/hyperlink" Target="https://www.juliettes.com.au/" TargetMode="External" Id="rId3198" /><Relationship Type="http://schemas.openxmlformats.org/officeDocument/2006/relationships/hyperlink" Target="https://www.google.com/maps/search/?api=1&amp;query=Juliette%27s" TargetMode="External" Id="rId3199" /><Relationship Type="http://schemas.openxmlformats.org/officeDocument/2006/relationships/hyperlink" Target="https://www.instagram.com/thecoffeeemporiumaustralia" TargetMode="External" Id="rId3200" /><Relationship Type="http://schemas.openxmlformats.org/officeDocument/2006/relationships/hyperlink" Target="https://www.facebook.com/TheCoffeeEmporiumAustralia" TargetMode="External" Id="rId3201" /><Relationship Type="http://schemas.openxmlformats.org/officeDocument/2006/relationships/hyperlink" Target="https://thecoffeeemporium.com.au/" TargetMode="External" Id="rId3202" /><Relationship Type="http://schemas.openxmlformats.org/officeDocument/2006/relationships/hyperlink" Target="https://www.google.com/maps/search/?api=1&amp;query=The+Coffee+Emporium+Ross+River+Road" TargetMode="External" Id="rId3203" /><Relationship Type="http://schemas.openxmlformats.org/officeDocument/2006/relationships/hyperlink" Target="https://www.instagram.com/rostrata.tropical.scene" TargetMode="External" Id="rId3204" /><Relationship Type="http://schemas.openxmlformats.org/officeDocument/2006/relationships/hyperlink" Target="https://www.facebook.com/rostrata.tropical.scene" TargetMode="External" Id="rId3205" /><Relationship Type="http://schemas.openxmlformats.org/officeDocument/2006/relationships/hyperlink" Target="https://tidecafe.com.au/" TargetMode="External" Id="rId3206" /><Relationship Type="http://schemas.openxmlformats.org/officeDocument/2006/relationships/hyperlink" Target="https://www.google.com/maps/search/?api=1&amp;query=Tide" TargetMode="External" Id="rId3207" /><Relationship Type="http://schemas.openxmlformats.org/officeDocument/2006/relationships/hyperlink" Target="https://www.instagram.com/edenacademychildcare" TargetMode="External" Id="rId3208" /><Relationship Type="http://schemas.openxmlformats.org/officeDocument/2006/relationships/hyperlink" Target="https://www.facebook.com/edenacademyaustralia" TargetMode="External" Id="rId3209" /><Relationship Type="http://schemas.openxmlformats.org/officeDocument/2006/relationships/hyperlink" Target="https://edenacademy.com.au/locations/harris-crossing/" TargetMode="External" Id="rId3210" /><Relationship Type="http://schemas.openxmlformats.org/officeDocument/2006/relationships/hyperlink" Target="https://www.google.com/maps/search/?api=1&amp;query=Eden+Academy+Harris+Crossing+23+Hogarth+Drive" TargetMode="External" Id="rId3211" /><Relationship Type="http://schemas.openxmlformats.org/officeDocument/2006/relationships/hyperlink" Target="https://www.instagram.com/voltecservices" TargetMode="External" Id="rId3212" /><Relationship Type="http://schemas.openxmlformats.org/officeDocument/2006/relationships/hyperlink" Target="https://www.facebook.com/voltecservices" TargetMode="External" Id="rId3213" /><Relationship Type="http://schemas.openxmlformats.org/officeDocument/2006/relationships/hyperlink" Target="https://www.voltecservices.com.au" TargetMode="External" Id="rId3214" /><Relationship Type="http://schemas.openxmlformats.org/officeDocument/2006/relationships/hyperlink" Target="https://www.google.com/maps/search/?api=1&amp;query=Voltec+Services" TargetMode="External" Id="rId3215" /><Relationship Type="http://schemas.openxmlformats.org/officeDocument/2006/relationships/hyperlink" Target="https://www.facebook.com/StrandCrossFit/" TargetMode="External" Id="rId3216" /><Relationship Type="http://schemas.openxmlformats.org/officeDocument/2006/relationships/hyperlink" Target="https://strandcrossfit.com.au/" TargetMode="External" Id="rId3217" /><Relationship Type="http://schemas.openxmlformats.org/officeDocument/2006/relationships/hyperlink" Target="https://www.google.com/maps/search/?api=1&amp;query=Strand+CrossFit" TargetMode="External" Id="rId3218" /><Relationship Type="http://schemas.openxmlformats.org/officeDocument/2006/relationships/hyperlink" Target="https://www.instagram.com/strandfitnesstsv" TargetMode="External" Id="rId3219" /><Relationship Type="http://schemas.openxmlformats.org/officeDocument/2006/relationships/hyperlink" Target="https://www.facebook.com/StrandFitnessTSV" TargetMode="External" Id="rId3220" /><Relationship Type="http://schemas.openxmlformats.org/officeDocument/2006/relationships/hyperlink" Target="https://www.strandfitness.com.au/" TargetMode="External" Id="rId3221" /><Relationship Type="http://schemas.openxmlformats.org/officeDocument/2006/relationships/hyperlink" Target="https://www.google.com/maps/search/?api=1&amp;query=Strand+Fitness+North+Shore+2+Main+Street+Burdell" TargetMode="External" Id="rId3222" /><Relationship Type="http://schemas.openxmlformats.org/officeDocument/2006/relationships/hyperlink" Target="https://www.facebook.com/virginiahenryoptical" TargetMode="External" Id="rId3223" /><Relationship Type="http://schemas.openxmlformats.org/officeDocument/2006/relationships/hyperlink" Target="http://virginiahenryoptical.com.au/" TargetMode="External" Id="rId3224" /><Relationship Type="http://schemas.openxmlformats.org/officeDocument/2006/relationships/hyperlink" Target="https://www.google.com/maps/search/?api=1&amp;query=Virginia+Henry" TargetMode="External" Id="rId3225" /><Relationship Type="http://schemas.openxmlformats.org/officeDocument/2006/relationships/hyperlink" Target="https://www.instagram.com/cbarthestrand" TargetMode="External" Id="rId3226" /><Relationship Type="http://schemas.openxmlformats.org/officeDocument/2006/relationships/hyperlink" Target="https://www.facebook.com/C-Bar-the-Strand-216364209726860" TargetMode="External" Id="rId3227" /><Relationship Type="http://schemas.openxmlformats.org/officeDocument/2006/relationships/hyperlink" Target="https://cbar.com.au/" TargetMode="External" Id="rId3228" /><Relationship Type="http://schemas.openxmlformats.org/officeDocument/2006/relationships/hyperlink" Target="https://www.google.com/maps/search/?api=1&amp;query=C+Bar" TargetMode="External" Id="rId3229" /><Relationship Type="http://schemas.openxmlformats.org/officeDocument/2006/relationships/hyperlink" Target="https://www.facebook.com/gyojapanesetapasbarrestaurant" TargetMode="External" Id="rId3230" /><Relationship Type="http://schemas.openxmlformats.org/officeDocument/2006/relationships/hyperlink" Target="https://gyojapaneserestaurant.com.au/" TargetMode="External" Id="rId3231" /><Relationship Type="http://schemas.openxmlformats.org/officeDocument/2006/relationships/hyperlink" Target="https://www.google.com/maps/search/?api=1&amp;query=GYO" TargetMode="External" Id="rId3232" /><Relationship Type="http://schemas.openxmlformats.org/officeDocument/2006/relationships/hyperlink" Target="https://www.instagram.com/longboard.bar" TargetMode="External" Id="rId3233" /><Relationship Type="http://schemas.openxmlformats.org/officeDocument/2006/relationships/hyperlink" Target="https://www.facebook.com/longboard.bar1" TargetMode="External" Id="rId3234" /><Relationship Type="http://schemas.openxmlformats.org/officeDocument/2006/relationships/hyperlink" Target="https://longboardbarandgrill.com/" TargetMode="External" Id="rId3235" /><Relationship Type="http://schemas.openxmlformats.org/officeDocument/2006/relationships/hyperlink" Target="https://www.google.com/maps/search/?api=1&amp;query=Longboard+Bar+%26+Grill" TargetMode="External" Id="rId3236" /><Relationship Type="http://schemas.openxmlformats.org/officeDocument/2006/relationships/hyperlink" Target="https://www.instagram.com/strandsouvlakibar" TargetMode="External" Id="rId3237" /><Relationship Type="http://schemas.openxmlformats.org/officeDocument/2006/relationships/hyperlink" Target="https://www.facebook.com/strand" TargetMode="External" Id="rId3238" /><Relationship Type="http://schemas.openxmlformats.org/officeDocument/2006/relationships/hyperlink" Target="https://strandsouvlakibar.com.au/" TargetMode="External" Id="rId3239" /><Relationship Type="http://schemas.openxmlformats.org/officeDocument/2006/relationships/hyperlink" Target="https://www.google.com/maps/search/?api=1&amp;query=Strand+Souvlaki+Bar" TargetMode="External" Id="rId3240" /><Relationship Type="http://schemas.openxmlformats.org/officeDocument/2006/relationships/hyperlink" Target="https://www.facebook.com/TheGreatJewelOfIndia" TargetMode="External" Id="rId3241" /><Relationship Type="http://schemas.openxmlformats.org/officeDocument/2006/relationships/hyperlink" Target="http://www.thegreatjewelofindia.com/" TargetMode="External" Id="rId3242" /><Relationship Type="http://schemas.openxmlformats.org/officeDocument/2006/relationships/hyperlink" Target="https://www.google.com/maps/search/?api=1&amp;query=The+Great+Jewel+Of+India+215+Flinders+Street" TargetMode="External" Id="rId3243" /><Relationship Type="http://schemas.openxmlformats.org/officeDocument/2006/relationships/hyperlink" Target="https://www.facebook.com/strandtownsville" TargetMode="External" Id="rId3244" /><Relationship Type="http://schemas.openxmlformats.org/officeDocument/2006/relationships/hyperlink" Target="https://thenoodlebar.com.au/" TargetMode="External" Id="rId3245" /><Relationship Type="http://schemas.openxmlformats.org/officeDocument/2006/relationships/hyperlink" Target="https://www.google.com/maps/search/?api=1&amp;query=The+Noodle+Bar" TargetMode="External" Id="rId3246" /><Relationship Type="http://schemas.openxmlformats.org/officeDocument/2006/relationships/hyperlink" Target="https://www.instagram.com/watermarktownsville" TargetMode="External" Id="rId3247" /><Relationship Type="http://schemas.openxmlformats.org/officeDocument/2006/relationships/hyperlink" Target="https://www.facebook.com/watermark.townsville/" TargetMode="External" Id="rId3248" /><Relationship Type="http://schemas.openxmlformats.org/officeDocument/2006/relationships/hyperlink" Target="https://www.watermarktownsville.com.au/" TargetMode="External" Id="rId3249" /><Relationship Type="http://schemas.openxmlformats.org/officeDocument/2006/relationships/hyperlink" Target="https://www.google.com/maps/search/?api=1&amp;query=The+Watermark+72-74+The+Strand+North+Ward" TargetMode="External" Id="rId3250" /><Relationship Type="http://schemas.openxmlformats.org/officeDocument/2006/relationships/hyperlink" Target="https://www.instagram.com/saporitsv" TargetMode="External" Id="rId3251" /><Relationship Type="http://schemas.openxmlformats.org/officeDocument/2006/relationships/hyperlink" Target="https://saporitownsville.com" TargetMode="External" Id="rId3252" /><Relationship Type="http://schemas.openxmlformats.org/officeDocument/2006/relationships/hyperlink" Target="https://www.google.com/maps/search/?api=1&amp;query=Sapori+Pizza" TargetMode="External" Id="rId3253" /><Relationship Type="http://schemas.openxmlformats.org/officeDocument/2006/relationships/hyperlink" Target="http://www.instagram.com/thelaughingbuddhatattoo" TargetMode="External" Id="rId3254" /><Relationship Type="http://schemas.openxmlformats.org/officeDocument/2006/relationships/hyperlink" Target="https://www.facebook.com/thelaughingbuddhatattootsv" TargetMode="External" Id="rId3255" /><Relationship Type="http://schemas.openxmlformats.org/officeDocument/2006/relationships/hyperlink" Target="https://www.thelaughingbuddhatattoo.com.au/" TargetMode="External" Id="rId3256" /><Relationship Type="http://schemas.openxmlformats.org/officeDocument/2006/relationships/hyperlink" Target="https://www.google.com/maps/search/?api=1&amp;query=The+Laughing+Buddha+52+French+Street" TargetMode="External" Id="rId3257" /><Relationship Type="http://schemas.openxmlformats.org/officeDocument/2006/relationships/hyperlink" Target="https://www.facebook.com/McNevinsWarwick" TargetMode="External" Id="rId3258" /><Relationship Type="http://schemas.openxmlformats.org/officeDocument/2006/relationships/hyperlink" Target="https://warwick-motel.mcnevins.com.au/" TargetMode="External" Id="rId3259" /><Relationship Type="http://schemas.openxmlformats.org/officeDocument/2006/relationships/hyperlink" Target="https://www.google.com/maps/search/?api=1&amp;query=McNevins+Warwick+Motel" TargetMode="External" Id="rId3260" /><Relationship Type="http://schemas.openxmlformats.org/officeDocument/2006/relationships/hyperlink" Target="https://www.instagram.com/bluebird_kitchen_smokehouse" TargetMode="External" Id="rId3261" /><Relationship Type="http://schemas.openxmlformats.org/officeDocument/2006/relationships/hyperlink" Target="https://www.facebook.com/pages/Bluebird-Kitchen-and-Bar/904036892961699" TargetMode="External" Id="rId3262" /><Relationship Type="http://schemas.openxmlformats.org/officeDocument/2006/relationships/hyperlink" Target="http://www.bluebirdkitchen.com.au/" TargetMode="External" Id="rId3263" /><Relationship Type="http://schemas.openxmlformats.org/officeDocument/2006/relationships/hyperlink" Target="https://www.google.com/maps/search/?api=1&amp;query=Bluebird+Kitchen+and+Smokehouse+130+Palmerin+Street+Warwick" TargetMode="External" Id="rId3264" /><Relationship Type="http://schemas.openxmlformats.org/officeDocument/2006/relationships/hyperlink" Target="https://www.facebook.com/McNevinsWarwick" TargetMode="External" Id="rId3265" /><Relationship Type="http://schemas.openxmlformats.org/officeDocument/2006/relationships/hyperlink" Target="https://warwick-motel.mcnevins.com.au/warwick-restaurants-gunyah-restaurant/" TargetMode="External" Id="rId3266" /><Relationship Type="http://schemas.openxmlformats.org/officeDocument/2006/relationships/hyperlink" Target="https://www.google.com/maps/search/?api=1&amp;query=Gunyah+Restaurant" TargetMode="External" Id="rId32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4" customWidth="1" min="6" max="6"/>
    <col width="11" customWidth="1" min="7" max="7"/>
    <col width="30" customWidth="1" min="8" max="8"/>
    <col width="30" customWidth="1" min="9" max="9"/>
    <col width="16" customWidth="1" min="10" max="10"/>
    <col width="30" customWidth="1" min="11" max="11"/>
    <col width="40" customWidth="1" min="12" max="12"/>
    <col width="7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DM on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What we found</t>
        </is>
      </c>
      <c r="M1" s="1" t="inlineStr">
        <is>
          <t>Suggested first DM (fill the [bracket] first)</t>
        </is>
      </c>
      <c r="N1" s="1" t="inlineStr">
        <is>
          <t>Check on Google Maps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contacted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HIGH</t>
        </is>
      </c>
      <c r="C2" s="2" t="inlineStr">
        <is>
          <t>No own website</t>
        </is>
      </c>
      <c r="D2" s="2" t="inlineStr">
        <is>
          <t>Ferny Way Bakery</t>
        </is>
      </c>
      <c r="E2" s="2" t="inlineStr">
        <is>
          <t>bakery</t>
        </is>
      </c>
      <c r="F2" s="2" t="inlineStr">
        <is>
          <t>Brisbane</t>
        </is>
      </c>
      <c r="G2" s="2" t="inlineStr">
        <is>
          <t>Facebook</t>
        </is>
      </c>
      <c r="H2" s="2" t="inlineStr"/>
      <c r="I2" s="4" t="inlineStr">
        <is>
          <t>https://www.facebook.com/Ferny-Way-Bakery-689190028097407/</t>
        </is>
      </c>
      <c r="J2" s="2" t="inlineStr">
        <is>
          <t>+61 7 3351 2708</t>
        </is>
      </c>
      <c r="K2" s="4" t="inlineStr">
        <is>
          <t>https://www.facebook.com/Ferny-Way-Bakery-689190028097407/</t>
        </is>
      </c>
      <c r="L2" s="2" t="inlineStr">
        <is>
          <t>no real website (uses www.facebook.com)</t>
        </is>
      </c>
      <c r="M2" s="2" t="inlineStr">
        <is>
          <t>Hi Ferny Way Bakery team! [one real detail from their page]. We're AceAds, a web design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N2" s="4" t="inlineStr">
        <is>
          <t>Open map</t>
        </is>
      </c>
      <c r="O2" s="2" t="inlineStr">
        <is>
          <t>Not contacted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3" t="inlineStr">
        <is>
          <t>HIGH</t>
        </is>
      </c>
      <c r="C3" s="2" t="inlineStr">
        <is>
          <t>No own website</t>
        </is>
      </c>
      <c r="D3" s="2" t="inlineStr">
        <is>
          <t>Karana Krusty Bakery</t>
        </is>
      </c>
      <c r="E3" s="2" t="inlineStr">
        <is>
          <t>bakery</t>
        </is>
      </c>
      <c r="F3" s="2" t="inlineStr">
        <is>
          <t>Brisbane</t>
        </is>
      </c>
      <c r="G3" s="2" t="inlineStr">
        <is>
          <t>Facebook</t>
        </is>
      </c>
      <c r="H3" s="2" t="inlineStr"/>
      <c r="I3" s="4" t="inlineStr">
        <is>
          <t>https://www.facebook.com/Bakery-Karana-Downs-624286981023430/</t>
        </is>
      </c>
      <c r="J3" s="2" t="inlineStr">
        <is>
          <t>+61 7 3201 0104</t>
        </is>
      </c>
      <c r="K3" s="4" t="inlineStr">
        <is>
          <t>https://www.facebook.com/Bakery-Karana-Downs-624286981023430/</t>
        </is>
      </c>
      <c r="L3" s="2" t="inlineStr">
        <is>
          <t>no real website (uses www.facebook.com)</t>
        </is>
      </c>
      <c r="M3" s="2" t="inlineStr">
        <is>
          <t>Hi Karana Krusty Bakery team! [one real detail from their page]. We're AceAds, a web design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N3" s="4" t="inlineStr">
        <is>
          <t>Open map</t>
        </is>
      </c>
      <c r="O3" s="2" t="inlineStr">
        <is>
          <t>Not contacted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3" t="inlineStr">
        <is>
          <t>HIGH</t>
        </is>
      </c>
      <c r="C4" s="2" t="inlineStr">
        <is>
          <t>No own website</t>
        </is>
      </c>
      <c r="D4" s="2" t="inlineStr">
        <is>
          <t>Flat Lizard Brewing</t>
        </is>
      </c>
      <c r="E4" s="2" t="inlineStr">
        <is>
          <t>bar or pub</t>
        </is>
      </c>
      <c r="F4" s="2" t="inlineStr">
        <is>
          <t>Brisbane</t>
        </is>
      </c>
      <c r="G4" s="2" t="inlineStr">
        <is>
          <t>Facebook</t>
        </is>
      </c>
      <c r="H4" s="2" t="inlineStr"/>
      <c r="I4" s="4" t="inlineStr">
        <is>
          <t>https://www.facebook.com/flatlizardbrewing/</t>
        </is>
      </c>
      <c r="J4" s="2" t="inlineStr"/>
      <c r="K4" s="4" t="inlineStr">
        <is>
          <t>https://www.facebook.com/flatlizardbrewing/</t>
        </is>
      </c>
      <c r="L4" s="2" t="inlineStr">
        <is>
          <t>no real website (uses www.facebook.com)</t>
        </is>
      </c>
      <c r="M4" s="2" t="inlineStr">
        <is>
          <t>Hi Flat Lizard Brewing team! [one real detail from their page]. We're AceAds, a web design studio. We noticed that when people in Brisbane search for a bar on Google, they only find your Facebook, not a website of your own. We'd be happy to make you a free preview of what a website could look like. Want one? No cost, no obligation.</t>
        </is>
      </c>
      <c r="N4" s="4" t="inlineStr">
        <is>
          <t>Open map</t>
        </is>
      </c>
      <c r="O4" s="2" t="inlineStr">
        <is>
          <t>Not contacted</t>
        </is>
      </c>
      <c r="P4" s="2" t="inlineStr"/>
      <c r="Q4" s="2" t="inlineStr"/>
      <c r="R4" s="2" t="inlineStr"/>
      <c r="S4" s="2" t="inlineStr"/>
    </row>
    <row r="5">
      <c r="A5" s="2" t="n">
        <v>4</v>
      </c>
      <c r="B5" s="3" t="inlineStr">
        <is>
          <t>HIGH</t>
        </is>
      </c>
      <c r="C5" s="2" t="inlineStr">
        <is>
          <t>No own website</t>
        </is>
      </c>
      <c r="D5" s="2" t="inlineStr">
        <is>
          <t>Bella Vision Hair Studio</t>
        </is>
      </c>
      <c r="E5" s="2" t="inlineStr">
        <is>
          <t>barber or hairdresser</t>
        </is>
      </c>
      <c r="F5" s="2" t="inlineStr">
        <is>
          <t>Brisbane</t>
        </is>
      </c>
      <c r="G5" s="2" t="inlineStr">
        <is>
          <t>Facebook</t>
        </is>
      </c>
      <c r="H5" s="2" t="inlineStr"/>
      <c r="I5" s="4" t="inlineStr">
        <is>
          <t>https://www.facebook.com/bellavisionhairstudio132</t>
        </is>
      </c>
      <c r="J5" s="2" t="inlineStr">
        <is>
          <t>+61 7 3351 0200</t>
        </is>
      </c>
      <c r="K5" s="4" t="inlineStr">
        <is>
          <t>https://www.facebook.com/bellavisionhairstudio132/</t>
        </is>
      </c>
      <c r="L5" s="2" t="inlineStr">
        <is>
          <t>no real website (uses www.facebook.com)</t>
        </is>
      </c>
      <c r="M5" s="2" t="inlineStr">
        <is>
          <t>Hi Bella Vision Hair Studio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5" s="4" t="inlineStr">
        <is>
          <t>Open map</t>
        </is>
      </c>
      <c r="O5" s="2" t="inlineStr">
        <is>
          <t>Not contacted</t>
        </is>
      </c>
      <c r="P5" s="2" t="inlineStr"/>
      <c r="Q5" s="2" t="inlineStr"/>
      <c r="R5" s="2" t="inlineStr"/>
      <c r="S5" s="2" t="inlineStr"/>
    </row>
    <row r="6">
      <c r="A6" s="2" t="n">
        <v>5</v>
      </c>
      <c r="B6" s="3" t="inlineStr">
        <is>
          <t>HIGH</t>
        </is>
      </c>
      <c r="C6" s="2" t="inlineStr">
        <is>
          <t>No own website</t>
        </is>
      </c>
      <c r="D6" s="2" t="inlineStr">
        <is>
          <t>Brass Knuckles Barber</t>
        </is>
      </c>
      <c r="E6" s="2" t="inlineStr">
        <is>
          <t>barber or hairdresser</t>
        </is>
      </c>
      <c r="F6" s="2" t="inlineStr">
        <is>
          <t>Brisbane</t>
        </is>
      </c>
      <c r="G6" s="2" t="inlineStr">
        <is>
          <t>Instagram</t>
        </is>
      </c>
      <c r="H6" s="4" t="inlineStr">
        <is>
          <t>https://www.instagram.com/brassknuckles_barber/</t>
        </is>
      </c>
      <c r="I6" s="2" t="inlineStr"/>
      <c r="J6" s="2" t="inlineStr">
        <is>
          <t>+61 493 369 135</t>
        </is>
      </c>
      <c r="K6" s="4" t="inlineStr">
        <is>
          <t>https://www.instagram.com/brassknuckles_barber/</t>
        </is>
      </c>
      <c r="L6" s="2" t="inlineStr">
        <is>
          <t>no real website (uses www.instagram.com)</t>
        </is>
      </c>
      <c r="M6" s="2" t="inlineStr">
        <is>
          <t>Hi Brass Knuckles Barber team! [one real detail from their page]. We're AceAds, a web design studio. We noticed that when people in Brisbane search for a hairdresser on Google, they only find your Instagram, not a website of your own. We'd be happy to make you a free preview of what a website could look like. Want one? No cost, no obligation.</t>
        </is>
      </c>
      <c r="N6" s="4" t="inlineStr">
        <is>
          <t>Open map</t>
        </is>
      </c>
      <c r="O6" s="2" t="inlineStr">
        <is>
          <t>Not contacted</t>
        </is>
      </c>
      <c r="P6" s="2" t="inlineStr"/>
      <c r="Q6" s="2" t="inlineStr"/>
      <c r="R6" s="2" t="inlineStr"/>
      <c r="S6" s="2" t="inlineStr"/>
    </row>
    <row r="7">
      <c r="A7" s="2" t="n">
        <v>6</v>
      </c>
      <c r="B7" s="3" t="inlineStr">
        <is>
          <t>HIGH</t>
        </is>
      </c>
      <c r="C7" s="2" t="inlineStr">
        <is>
          <t>No own website</t>
        </is>
      </c>
      <c r="D7" s="2" t="inlineStr">
        <is>
          <t>Crown and Co Barbers</t>
        </is>
      </c>
      <c r="E7" s="2" t="inlineStr">
        <is>
          <t>barber or hairdresser</t>
        </is>
      </c>
      <c r="F7" s="2" t="inlineStr">
        <is>
          <t>Brisbane</t>
        </is>
      </c>
      <c r="G7" s="2" t="inlineStr">
        <is>
          <t>Facebook</t>
        </is>
      </c>
      <c r="H7" s="2" t="inlineStr"/>
      <c r="I7" s="4" t="inlineStr">
        <is>
          <t>https://www.facebook.com/crownandcobarbers/?ref=page_internal</t>
        </is>
      </c>
      <c r="J7" s="2" t="inlineStr"/>
      <c r="K7" s="4" t="inlineStr">
        <is>
          <t>https://www.facebook.com/crownandcobarbers/?ref=page_internal</t>
        </is>
      </c>
      <c r="L7" s="2" t="inlineStr">
        <is>
          <t>no real website (uses www.facebook.com)</t>
        </is>
      </c>
      <c r="M7" s="2" t="inlineStr">
        <is>
          <t>Hi Crown and Co Barbers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7" s="4" t="inlineStr">
        <is>
          <t>Open map</t>
        </is>
      </c>
      <c r="O7" s="2" t="inlineStr">
        <is>
          <t>Not contacted</t>
        </is>
      </c>
      <c r="P7" s="2" t="inlineStr"/>
      <c r="Q7" s="2" t="inlineStr"/>
      <c r="R7" s="2" t="inlineStr"/>
      <c r="S7" s="2" t="inlineStr"/>
    </row>
    <row r="8">
      <c r="A8" s="2" t="n">
        <v>7</v>
      </c>
      <c r="B8" s="3" t="inlineStr">
        <is>
          <t>HIGH</t>
        </is>
      </c>
      <c r="C8" s="2" t="inlineStr">
        <is>
          <t>No own website</t>
        </is>
      </c>
      <c r="D8" s="2" t="inlineStr">
        <is>
          <t>Kin Barbershop</t>
        </is>
      </c>
      <c r="E8" s="2" t="inlineStr">
        <is>
          <t>barber or hairdresser</t>
        </is>
      </c>
      <c r="F8" s="2" t="inlineStr">
        <is>
          <t>Brisbane</t>
        </is>
      </c>
      <c r="G8" s="2" t="inlineStr">
        <is>
          <t>Facebook</t>
        </is>
      </c>
      <c r="H8" s="2" t="inlineStr"/>
      <c r="I8" s="4" t="inlineStr">
        <is>
          <t>https://www.facebook.com/p/Kin-Barbershop-61557611918699</t>
        </is>
      </c>
      <c r="J8" s="2" t="inlineStr">
        <is>
          <t>+61 411 614 614</t>
        </is>
      </c>
      <c r="K8" s="4" t="inlineStr">
        <is>
          <t>https://kinbarbershop.square.site/</t>
        </is>
      </c>
      <c r="L8" s="2" t="inlineStr">
        <is>
          <t>no real website (uses kinbarbershop.square.site)</t>
        </is>
      </c>
      <c r="M8" s="2" t="inlineStr">
        <is>
          <t>Hi Kin Barbershop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8" s="4" t="inlineStr">
        <is>
          <t>Open map</t>
        </is>
      </c>
      <c r="O8" s="2" t="inlineStr">
        <is>
          <t>Not contacted</t>
        </is>
      </c>
      <c r="P8" s="2" t="inlineStr"/>
      <c r="Q8" s="2" t="inlineStr"/>
      <c r="R8" s="2" t="inlineStr"/>
      <c r="S8" s="2" t="inlineStr"/>
    </row>
    <row r="9">
      <c r="A9" s="2" t="n">
        <v>8</v>
      </c>
      <c r="B9" s="3" t="inlineStr">
        <is>
          <t>HIGH</t>
        </is>
      </c>
      <c r="C9" s="2" t="inlineStr">
        <is>
          <t>No own website</t>
        </is>
      </c>
      <c r="D9" s="2" t="inlineStr">
        <is>
          <t>Scotty Barberino's Barber Shop</t>
        </is>
      </c>
      <c r="E9" s="2" t="inlineStr">
        <is>
          <t>barber or hairdresser</t>
        </is>
      </c>
      <c r="F9" s="2" t="inlineStr">
        <is>
          <t>Brisbane</t>
        </is>
      </c>
      <c r="G9" s="2" t="inlineStr">
        <is>
          <t>Facebook</t>
        </is>
      </c>
      <c r="H9" s="2" t="inlineStr"/>
      <c r="I9" s="4" t="inlineStr">
        <is>
          <t>https://facebook.com/scottybarberinos/</t>
        </is>
      </c>
      <c r="J9" s="2" t="inlineStr">
        <is>
          <t>+61 7 3289 2468</t>
        </is>
      </c>
      <c r="K9" s="4" t="inlineStr">
        <is>
          <t>https://facebook.com/scottybarberinos/</t>
        </is>
      </c>
      <c r="L9" s="2" t="inlineStr">
        <is>
          <t>no real website (uses facebook.com)</t>
        </is>
      </c>
      <c r="M9" s="2" t="inlineStr">
        <is>
          <t>Hi Scotty Barberino's Barber Shop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9" s="4" t="inlineStr">
        <is>
          <t>Open map</t>
        </is>
      </c>
      <c r="O9" s="2" t="inlineStr">
        <is>
          <t>Not contacted</t>
        </is>
      </c>
      <c r="P9" s="2" t="inlineStr"/>
      <c r="Q9" s="2" t="inlineStr"/>
      <c r="R9" s="2" t="inlineStr"/>
      <c r="S9" s="2" t="inlineStr"/>
    </row>
    <row r="10">
      <c r="A10" s="2" t="n">
        <v>9</v>
      </c>
      <c r="B10" s="3" t="inlineStr">
        <is>
          <t>HIGH</t>
        </is>
      </c>
      <c r="C10" s="2" t="inlineStr">
        <is>
          <t>No own website</t>
        </is>
      </c>
      <c r="D10" s="2" t="inlineStr">
        <is>
          <t>Terry Dobie Hairdressing</t>
        </is>
      </c>
      <c r="E10" s="2" t="inlineStr">
        <is>
          <t>barber or hairdresser</t>
        </is>
      </c>
      <c r="F10" s="2" t="inlineStr">
        <is>
          <t>Brisbane</t>
        </is>
      </c>
      <c r="G10" s="2" t="inlineStr">
        <is>
          <t>Facebook</t>
        </is>
      </c>
      <c r="H10" s="2" t="inlineStr"/>
      <c r="I10" s="4" t="inlineStr">
        <is>
          <t>https://www.facebook.com/Terrydobiehair/</t>
        </is>
      </c>
      <c r="J10" s="2" t="inlineStr"/>
      <c r="K10" s="4" t="inlineStr">
        <is>
          <t>https://terrydobiehair.wixsite.com/mysite</t>
        </is>
      </c>
      <c r="L10" s="2" t="inlineStr">
        <is>
          <t>no real website (uses terrydobiehair.wixsite.com)</t>
        </is>
      </c>
      <c r="M10" s="2" t="inlineStr">
        <is>
          <t>Hi Terry Dobie Hairdressing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10" s="4" t="inlineStr">
        <is>
          <t>Open map</t>
        </is>
      </c>
      <c r="O10" s="2" t="inlineStr">
        <is>
          <t>Not contacted</t>
        </is>
      </c>
      <c r="P10" s="2" t="inlineStr"/>
      <c r="Q10" s="2" t="inlineStr"/>
      <c r="R10" s="2" t="inlineStr"/>
      <c r="S10" s="2" t="inlineStr"/>
    </row>
    <row r="11">
      <c r="A11" s="2" t="n">
        <v>10</v>
      </c>
      <c r="B11" s="3" t="inlineStr">
        <is>
          <t>HIGH</t>
        </is>
      </c>
      <c r="C11" s="2" t="inlineStr">
        <is>
          <t>No own website</t>
        </is>
      </c>
      <c r="D11" s="2" t="inlineStr">
        <is>
          <t>Nail Today</t>
        </is>
      </c>
      <c r="E11" s="2" t="inlineStr">
        <is>
          <t>beauty salon</t>
        </is>
      </c>
      <c r="F11" s="2" t="inlineStr">
        <is>
          <t>Brisbane</t>
        </is>
      </c>
      <c r="G11" s="2" t="inlineStr">
        <is>
          <t>Facebook</t>
        </is>
      </c>
      <c r="H11" s="2" t="inlineStr"/>
      <c r="I11" s="4" t="inlineStr">
        <is>
          <t>https://www.facebook.com/profile.php?id=100063881476277</t>
        </is>
      </c>
      <c r="J11" s="2" t="inlineStr">
        <is>
          <t>+61 414 266 235</t>
        </is>
      </c>
      <c r="K11" s="4" t="inlineStr">
        <is>
          <t>https://www.facebook.com/profile.php?id=100063881476277</t>
        </is>
      </c>
      <c r="L11" s="2" t="inlineStr">
        <is>
          <t>no real website (uses www.facebook.com)</t>
        </is>
      </c>
      <c r="M11" s="2" t="inlineStr">
        <is>
          <t>Hi Nail Today team! [one real detail from their page]. We're AceAds, a web design studio. We noticed that when people in Brisbane search for a beauty salon on Google, they only find your Facebook, not a website of your own. We'd be happy to make you a free preview of what a website could look like. Want one? No cost, no obligation.</t>
        </is>
      </c>
      <c r="N11" s="4" t="inlineStr">
        <is>
          <t>Open map</t>
        </is>
      </c>
      <c r="O11" s="2" t="inlineStr">
        <is>
          <t>Not contacted</t>
        </is>
      </c>
      <c r="P11" s="2" t="inlineStr"/>
      <c r="Q11" s="2" t="inlineStr"/>
      <c r="R11" s="2" t="inlineStr"/>
      <c r="S11" s="2" t="inlineStr"/>
    </row>
    <row r="12">
      <c r="A12" s="2" t="n">
        <v>11</v>
      </c>
      <c r="B12" s="3" t="inlineStr">
        <is>
          <t>HIGH</t>
        </is>
      </c>
      <c r="C12" s="2" t="inlineStr">
        <is>
          <t>No own website</t>
        </is>
      </c>
      <c r="D12" s="2" t="inlineStr">
        <is>
          <t>Bancroft Roasters, Bardon</t>
        </is>
      </c>
      <c r="E12" s="2" t="inlineStr">
        <is>
          <t>cafe</t>
        </is>
      </c>
      <c r="F12" s="2" t="inlineStr">
        <is>
          <t>Brisbane</t>
        </is>
      </c>
      <c r="G12" s="2" t="inlineStr">
        <is>
          <t>Facebook</t>
        </is>
      </c>
      <c r="H12" s="2" t="inlineStr"/>
      <c r="I12" s="4" t="inlineStr">
        <is>
          <t>https://m.facebook.com/story.php?story_fbid=2013500125499490&amp;id=487145808134937&amp;sfnsn=mo</t>
        </is>
      </c>
      <c r="J12" s="2" t="inlineStr"/>
      <c r="K12" s="4" t="inlineStr">
        <is>
          <t>https://m.facebook.com/story.php?story_fbid=2013500125499490&amp;id=487145808134937&amp;sfnsn=mo</t>
        </is>
      </c>
      <c r="L12" s="2" t="inlineStr">
        <is>
          <t>no real website (uses m.facebook.com)</t>
        </is>
      </c>
      <c r="M12" s="2" t="inlineStr">
        <is>
          <t>Hi Bancroft Roasters, Bardon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2" s="4" t="inlineStr">
        <is>
          <t>Open map</t>
        </is>
      </c>
      <c r="O12" s="2" t="inlineStr">
        <is>
          <t>Not contacted</t>
        </is>
      </c>
      <c r="P12" s="2" t="inlineStr"/>
      <c r="Q12" s="2" t="inlineStr"/>
      <c r="R12" s="2" t="inlineStr"/>
      <c r="S12" s="2" t="inlineStr"/>
    </row>
    <row r="13">
      <c r="A13" s="2" t="n">
        <v>12</v>
      </c>
      <c r="B13" s="3" t="inlineStr">
        <is>
          <t>HIGH</t>
        </is>
      </c>
      <c r="C13" s="2" t="inlineStr">
        <is>
          <t>No own website</t>
        </is>
      </c>
      <c r="D13" s="2" t="inlineStr">
        <is>
          <t>Bardon Thyme</t>
        </is>
      </c>
      <c r="E13" s="2" t="inlineStr">
        <is>
          <t>cafe</t>
        </is>
      </c>
      <c r="F13" s="2" t="inlineStr">
        <is>
          <t>Brisbane</t>
        </is>
      </c>
      <c r="G13" s="2" t="inlineStr">
        <is>
          <t>Instagram</t>
        </is>
      </c>
      <c r="H13" s="4" t="inlineStr">
        <is>
          <t>https://www.instagram.com/bardonthyme/?hl=en</t>
        </is>
      </c>
      <c r="I13" s="2" t="inlineStr"/>
      <c r="J13" s="2" t="inlineStr">
        <is>
          <t>+61 433 022 991</t>
        </is>
      </c>
      <c r="K13" s="4" t="inlineStr">
        <is>
          <t>https://www.instagram.com/bardonthyme/?hl=en</t>
        </is>
      </c>
      <c r="L13" s="2" t="inlineStr">
        <is>
          <t>no real website (uses www.instagram.com)</t>
        </is>
      </c>
      <c r="M13" s="2" t="inlineStr">
        <is>
          <t>Hi Bardon Thyme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13" s="4" t="inlineStr">
        <is>
          <t>Open map</t>
        </is>
      </c>
      <c r="O13" s="2" t="inlineStr">
        <is>
          <t>Not contacted</t>
        </is>
      </c>
      <c r="P13" s="2" t="inlineStr"/>
      <c r="Q13" s="2" t="inlineStr"/>
      <c r="R13" s="2" t="inlineStr"/>
      <c r="S13" s="2" t="inlineStr"/>
    </row>
    <row r="14">
      <c r="A14" s="2" t="n">
        <v>13</v>
      </c>
      <c r="B14" s="3" t="inlineStr">
        <is>
          <t>HIGH</t>
        </is>
      </c>
      <c r="C14" s="2" t="inlineStr">
        <is>
          <t>No own website</t>
        </is>
      </c>
      <c r="D14" s="2" t="inlineStr">
        <is>
          <t>Canter &amp; Colt</t>
        </is>
      </c>
      <c r="E14" s="2" t="inlineStr">
        <is>
          <t>cafe</t>
        </is>
      </c>
      <c r="F14" s="2" t="inlineStr">
        <is>
          <t>Brisbane</t>
        </is>
      </c>
      <c r="G14" s="2" t="inlineStr">
        <is>
          <t>Facebook</t>
        </is>
      </c>
      <c r="H14" s="2" t="inlineStr"/>
      <c r="I14" s="4" t="inlineStr">
        <is>
          <t>https://www.facebook.com/canterandcolt</t>
        </is>
      </c>
      <c r="J14" s="2" t="inlineStr">
        <is>
          <t>+61 7 3289 1087</t>
        </is>
      </c>
      <c r="K14" s="4" t="inlineStr">
        <is>
          <t>https://www.facebook.com/canterandcolt</t>
        </is>
      </c>
      <c r="L14" s="2" t="inlineStr">
        <is>
          <t>no real website (uses www.facebook.com)</t>
        </is>
      </c>
      <c r="M14" s="2" t="inlineStr">
        <is>
          <t>Hi Canter &amp; Colt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4" s="4" t="inlineStr">
        <is>
          <t>Open map</t>
        </is>
      </c>
      <c r="O14" s="2" t="inlineStr">
        <is>
          <t>Not contacted</t>
        </is>
      </c>
      <c r="P14" s="2" t="inlineStr"/>
      <c r="Q14" s="2" t="inlineStr"/>
      <c r="R14" s="2" t="inlineStr"/>
      <c r="S14" s="2" t="inlineStr"/>
    </row>
    <row r="15">
      <c r="A15" s="2" t="n">
        <v>14</v>
      </c>
      <c r="B15" s="3" t="inlineStr">
        <is>
          <t>HIGH</t>
        </is>
      </c>
      <c r="C15" s="2" t="inlineStr">
        <is>
          <t>No own website</t>
        </is>
      </c>
      <c r="D15" s="2" t="inlineStr">
        <is>
          <t>Coffee Warden</t>
        </is>
      </c>
      <c r="E15" s="2" t="inlineStr">
        <is>
          <t>cafe</t>
        </is>
      </c>
      <c r="F15" s="2" t="inlineStr">
        <is>
          <t>Brisbane</t>
        </is>
      </c>
      <c r="G15" s="2" t="inlineStr">
        <is>
          <t>Facebook</t>
        </is>
      </c>
      <c r="H15" s="2" t="inlineStr"/>
      <c r="I15" s="4" t="inlineStr">
        <is>
          <t>https://www.facebook.com/Coffee-Warden-Sandgate-380818316058328/</t>
        </is>
      </c>
      <c r="J15" s="2" t="inlineStr"/>
      <c r="K15" s="4" t="inlineStr">
        <is>
          <t>https://www.facebook.com/Coffee-Warden-Sandgate-380818316058328/</t>
        </is>
      </c>
      <c r="L15" s="2" t="inlineStr">
        <is>
          <t>no real website (uses www.facebook.com)</t>
        </is>
      </c>
      <c r="M15" s="2" t="inlineStr">
        <is>
          <t>Hi Coffee Warden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5" s="4" t="inlineStr">
        <is>
          <t>Open map</t>
        </is>
      </c>
      <c r="O15" s="2" t="inlineStr">
        <is>
          <t>Not contacted</t>
        </is>
      </c>
      <c r="P15" s="2" t="inlineStr"/>
      <c r="Q15" s="2" t="inlineStr"/>
      <c r="R15" s="2" t="inlineStr"/>
      <c r="S15" s="2" t="inlineStr"/>
    </row>
    <row r="16">
      <c r="A16" s="2" t="n">
        <v>15</v>
      </c>
      <c r="B16" s="3" t="inlineStr">
        <is>
          <t>HIGH</t>
        </is>
      </c>
      <c r="C16" s="2" t="inlineStr">
        <is>
          <t>No own website</t>
        </is>
      </c>
      <c r="D16" s="2" t="inlineStr">
        <is>
          <t>Coffee on the Way</t>
        </is>
      </c>
      <c r="E16" s="2" t="inlineStr">
        <is>
          <t>cafe</t>
        </is>
      </c>
      <c r="F16" s="2" t="inlineStr">
        <is>
          <t>Brisbane</t>
        </is>
      </c>
      <c r="G16" s="2" t="inlineStr">
        <is>
          <t>Facebook</t>
        </is>
      </c>
      <c r="H16" s="2" t="inlineStr"/>
      <c r="I16" s="4" t="inlineStr">
        <is>
          <t>https://www.facebook.com/people/Coffee-on-the-Way/100057414793271/</t>
        </is>
      </c>
      <c r="J16" s="2" t="inlineStr">
        <is>
          <t>+61 407 900 595</t>
        </is>
      </c>
      <c r="K16" s="4" t="inlineStr">
        <is>
          <t>https://www.facebook.com/people/Coffee-on-the-Way/100057414793271/</t>
        </is>
      </c>
      <c r="L16" s="2" t="inlineStr">
        <is>
          <t>no real website (uses www.facebook.com)</t>
        </is>
      </c>
      <c r="M16" s="2" t="inlineStr">
        <is>
          <t>Hi Coffee on the Way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6" s="4" t="inlineStr">
        <is>
          <t>Open map</t>
        </is>
      </c>
      <c r="O16" s="2" t="inlineStr">
        <is>
          <t>Not contacted</t>
        </is>
      </c>
      <c r="P16" s="2" t="inlineStr"/>
      <c r="Q16" s="2" t="inlineStr"/>
      <c r="R16" s="2" t="inlineStr"/>
      <c r="S16" s="2" t="inlineStr"/>
    </row>
    <row r="17">
      <c r="A17" s="2" t="n">
        <v>16</v>
      </c>
      <c r="B17" s="3" t="inlineStr">
        <is>
          <t>HIGH</t>
        </is>
      </c>
      <c r="C17" s="2" t="inlineStr">
        <is>
          <t>No own website</t>
        </is>
      </c>
      <c r="D17" s="2" t="inlineStr">
        <is>
          <t>Dropout Espresso</t>
        </is>
      </c>
      <c r="E17" s="2" t="inlineStr">
        <is>
          <t>cafe</t>
        </is>
      </c>
      <c r="F17" s="2" t="inlineStr">
        <is>
          <t>Brisbane</t>
        </is>
      </c>
      <c r="G17" s="2" t="inlineStr">
        <is>
          <t>Facebook</t>
        </is>
      </c>
      <c r="H17" s="2" t="inlineStr"/>
      <c r="I17" s="4" t="inlineStr">
        <is>
          <t>https://www.facebook.com/Dropout-espresso-110045364260266/</t>
        </is>
      </c>
      <c r="J17" s="2" t="inlineStr">
        <is>
          <t>+61 7 3289 5555</t>
        </is>
      </c>
      <c r="K17" s="4" t="inlineStr">
        <is>
          <t>https://www.facebook.com/Dropout-espresso-110045364260266/</t>
        </is>
      </c>
      <c r="L17" s="2" t="inlineStr">
        <is>
          <t>no real website (uses www.facebook.com)</t>
        </is>
      </c>
      <c r="M17" s="2" t="inlineStr">
        <is>
          <t>Hi Dropout Espresso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7" s="4" t="inlineStr">
        <is>
          <t>Open map</t>
        </is>
      </c>
      <c r="O17" s="2" t="inlineStr">
        <is>
          <t>Not contacted</t>
        </is>
      </c>
      <c r="P17" s="2" t="inlineStr"/>
      <c r="Q17" s="2" t="inlineStr"/>
      <c r="R17" s="2" t="inlineStr"/>
      <c r="S17" s="2" t="inlineStr"/>
    </row>
    <row r="18">
      <c r="A18" s="2" t="n">
        <v>17</v>
      </c>
      <c r="B18" s="3" t="inlineStr">
        <is>
          <t>HIGH</t>
        </is>
      </c>
      <c r="C18" s="2" t="inlineStr">
        <is>
          <t>No own website</t>
        </is>
      </c>
      <c r="D18" s="2" t="inlineStr">
        <is>
          <t>Fraser's Newstead</t>
        </is>
      </c>
      <c r="E18" s="2" t="inlineStr">
        <is>
          <t>cafe</t>
        </is>
      </c>
      <c r="F18" s="2" t="inlineStr">
        <is>
          <t>Brisbane</t>
        </is>
      </c>
      <c r="G18" s="2" t="inlineStr">
        <is>
          <t>Instagram</t>
        </is>
      </c>
      <c r="H18" s="4" t="inlineStr">
        <is>
          <t>https://www.instagram.com/frasersnewstead/</t>
        </is>
      </c>
      <c r="I18" s="2" t="inlineStr"/>
      <c r="J18" s="2" t="inlineStr"/>
      <c r="K18" s="4" t="inlineStr">
        <is>
          <t>https://www.instagram.com/frasersnewstead/</t>
        </is>
      </c>
      <c r="L18" s="2" t="inlineStr">
        <is>
          <t>no real website (uses www.instagram.com)</t>
        </is>
      </c>
      <c r="M18" s="2" t="inlineStr">
        <is>
          <t>Hi Fraser's Newstead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18" s="4" t="inlineStr">
        <is>
          <t>Open map</t>
        </is>
      </c>
      <c r="O18" s="2" t="inlineStr">
        <is>
          <t>Not contacted</t>
        </is>
      </c>
      <c r="P18" s="2" t="inlineStr"/>
      <c r="Q18" s="2" t="inlineStr"/>
      <c r="R18" s="2" t="inlineStr"/>
      <c r="S18" s="2" t="inlineStr"/>
    </row>
    <row r="19">
      <c r="A19" s="2" t="n">
        <v>18</v>
      </c>
      <c r="B19" s="3" t="inlineStr">
        <is>
          <t>HIGH</t>
        </is>
      </c>
      <c r="C19" s="2" t="inlineStr">
        <is>
          <t>No own website</t>
        </is>
      </c>
      <c r="D19" s="2" t="inlineStr">
        <is>
          <t>Graceville Moments Cafe</t>
        </is>
      </c>
      <c r="E19" s="2" t="inlineStr">
        <is>
          <t>cafe</t>
        </is>
      </c>
      <c r="F19" s="2" t="inlineStr">
        <is>
          <t>Brisbane</t>
        </is>
      </c>
      <c r="G19" s="2" t="inlineStr">
        <is>
          <t>Facebook</t>
        </is>
      </c>
      <c r="H19" s="2" t="inlineStr"/>
      <c r="I19" s="4" t="inlineStr">
        <is>
          <t>https://www.facebook.com/gracevillemoments/</t>
        </is>
      </c>
      <c r="J19" s="2" t="inlineStr">
        <is>
          <t>+61 402 680 192</t>
        </is>
      </c>
      <c r="K19" s="4" t="inlineStr">
        <is>
          <t>https://www.facebook.com/gracevillemoments/</t>
        </is>
      </c>
      <c r="L19" s="2" t="inlineStr">
        <is>
          <t>no real website (uses www.facebook.com)</t>
        </is>
      </c>
      <c r="M19" s="2" t="inlineStr">
        <is>
          <t>Hi Graceville Moments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9" s="4" t="inlineStr">
        <is>
          <t>Open map</t>
        </is>
      </c>
      <c r="O19" s="2" t="inlineStr">
        <is>
          <t>Not contacted</t>
        </is>
      </c>
      <c r="P19" s="2" t="inlineStr"/>
      <c r="Q19" s="2" t="inlineStr"/>
      <c r="R19" s="2" t="inlineStr"/>
      <c r="S19" s="2" t="inlineStr"/>
    </row>
    <row r="20">
      <c r="A20" s="2" t="n">
        <v>19</v>
      </c>
      <c r="B20" s="3" t="inlineStr">
        <is>
          <t>HIGH</t>
        </is>
      </c>
      <c r="C20" s="2" t="inlineStr">
        <is>
          <t>No own website</t>
        </is>
      </c>
      <c r="D20" s="2" t="inlineStr">
        <is>
          <t>Little Red Providore</t>
        </is>
      </c>
      <c r="E20" s="2" t="inlineStr">
        <is>
          <t>cafe</t>
        </is>
      </c>
      <c r="F20" s="2" t="inlineStr">
        <is>
          <t>Brisbane</t>
        </is>
      </c>
      <c r="G20" s="2" t="inlineStr">
        <is>
          <t>Facebook</t>
        </is>
      </c>
      <c r="H20" s="2" t="inlineStr"/>
      <c r="I20" s="4" t="inlineStr">
        <is>
          <t>https://www.facebook.com/littleredprovidore/</t>
        </is>
      </c>
      <c r="J20" s="2" t="inlineStr">
        <is>
          <t>+61 7 3369 4044</t>
        </is>
      </c>
      <c r="K20" s="4" t="inlineStr">
        <is>
          <t>https://www.facebook.com/littleredprovidore/</t>
        </is>
      </c>
      <c r="L20" s="2" t="inlineStr">
        <is>
          <t>no real website (uses www.facebook.com)</t>
        </is>
      </c>
      <c r="M20" s="2" t="inlineStr">
        <is>
          <t>Hi Little Red Providore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0" s="4" t="inlineStr">
        <is>
          <t>Open map</t>
        </is>
      </c>
      <c r="O20" s="2" t="inlineStr">
        <is>
          <t>Not contacted</t>
        </is>
      </c>
      <c r="P20" s="2" t="inlineStr"/>
      <c r="Q20" s="2" t="inlineStr"/>
      <c r="R20" s="2" t="inlineStr"/>
      <c r="S20" s="2" t="inlineStr"/>
    </row>
    <row r="21">
      <c r="A21" s="2" t="n">
        <v>20</v>
      </c>
      <c r="B21" s="3" t="inlineStr">
        <is>
          <t>HIGH</t>
        </is>
      </c>
      <c r="C21" s="2" t="inlineStr">
        <is>
          <t>No own website</t>
        </is>
      </c>
      <c r="D21" s="2" t="inlineStr">
        <is>
          <t>Paper Moon Coffee House and Functions</t>
        </is>
      </c>
      <c r="E21" s="2" t="inlineStr">
        <is>
          <t>cafe</t>
        </is>
      </c>
      <c r="F21" s="2" t="inlineStr">
        <is>
          <t>Brisbane</t>
        </is>
      </c>
      <c r="G21" s="2" t="inlineStr">
        <is>
          <t>Facebook</t>
        </is>
      </c>
      <c r="H21" s="2" t="inlineStr"/>
      <c r="I21" s="4" t="inlineStr">
        <is>
          <t>https://www.facebook.com/profile.php?id=61584852192002</t>
        </is>
      </c>
      <c r="J21" s="2" t="inlineStr">
        <is>
          <t>+61 408 135 812</t>
        </is>
      </c>
      <c r="K21" s="4" t="inlineStr">
        <is>
          <t>https://www.facebook.com/profile.php?id=61584852192002</t>
        </is>
      </c>
      <c r="L21" s="2" t="inlineStr">
        <is>
          <t>no real website (uses www.facebook.com)</t>
        </is>
      </c>
      <c r="M21" s="2" t="inlineStr">
        <is>
          <t>Hi Paper Moon Coffee House and Functions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1" s="4" t="inlineStr">
        <is>
          <t>Open map</t>
        </is>
      </c>
      <c r="O21" s="2" t="inlineStr">
        <is>
          <t>Not contacted</t>
        </is>
      </c>
      <c r="P21" s="2" t="inlineStr"/>
      <c r="Q21" s="2" t="inlineStr"/>
      <c r="R21" s="2" t="inlineStr"/>
      <c r="S21" s="2" t="inlineStr"/>
    </row>
    <row r="22">
      <c r="A22" s="2" t="n">
        <v>21</v>
      </c>
      <c r="B22" s="3" t="inlineStr">
        <is>
          <t>HIGH</t>
        </is>
      </c>
      <c r="C22" s="2" t="inlineStr">
        <is>
          <t>No own website</t>
        </is>
      </c>
      <c r="D22" s="2" t="inlineStr">
        <is>
          <t>Proud To Serve</t>
        </is>
      </c>
      <c r="E22" s="2" t="inlineStr">
        <is>
          <t>cafe</t>
        </is>
      </c>
      <c r="F22" s="2" t="inlineStr">
        <is>
          <t>Brisbane</t>
        </is>
      </c>
      <c r="G22" s="2" t="inlineStr">
        <is>
          <t>Facebook</t>
        </is>
      </c>
      <c r="H22" s="2" t="inlineStr"/>
      <c r="I22" s="4" t="inlineStr">
        <is>
          <t>https://www.facebook.com/people/PROUD-to-SERVE/100083122461252/</t>
        </is>
      </c>
      <c r="J22" s="2" t="inlineStr">
        <is>
          <t>+61 433 790 454</t>
        </is>
      </c>
      <c r="K22" s="4" t="inlineStr">
        <is>
          <t>https://www.facebook.com/people/PROUD-to-SERVE/100083122461252/</t>
        </is>
      </c>
      <c r="L22" s="2" t="inlineStr">
        <is>
          <t>no real website (uses www.facebook.com)</t>
        </is>
      </c>
      <c r="M22" s="2" t="inlineStr">
        <is>
          <t>Hi Proud To Serve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2" s="4" t="inlineStr">
        <is>
          <t>Open map</t>
        </is>
      </c>
      <c r="O22" s="2" t="inlineStr">
        <is>
          <t>Not contacted</t>
        </is>
      </c>
      <c r="P22" s="2" t="inlineStr"/>
      <c r="Q22" s="2" t="inlineStr"/>
      <c r="R22" s="2" t="inlineStr"/>
      <c r="S22" s="2" t="inlineStr"/>
    </row>
    <row r="23">
      <c r="A23" s="2" t="n">
        <v>22</v>
      </c>
      <c r="B23" s="3" t="inlineStr">
        <is>
          <t>HIGH</t>
        </is>
      </c>
      <c r="C23" s="2" t="inlineStr">
        <is>
          <t>No own website</t>
        </is>
      </c>
      <c r="D23" s="2" t="inlineStr">
        <is>
          <t>Remedy Espresso Cafe</t>
        </is>
      </c>
      <c r="E23" s="2" t="inlineStr">
        <is>
          <t>cafe</t>
        </is>
      </c>
      <c r="F23" s="2" t="inlineStr">
        <is>
          <t>Brisbane</t>
        </is>
      </c>
      <c r="G23" s="2" t="inlineStr">
        <is>
          <t>Facebook</t>
        </is>
      </c>
      <c r="H23" s="2" t="inlineStr"/>
      <c r="I23" s="4" t="inlineStr">
        <is>
          <t>https://www.facebook.com/remedyec/</t>
        </is>
      </c>
      <c r="J23" s="2" t="inlineStr">
        <is>
          <t>+61 7 3818 6687</t>
        </is>
      </c>
      <c r="K23" s="4" t="inlineStr">
        <is>
          <t>https://www.facebook.com/remedyec/</t>
        </is>
      </c>
      <c r="L23" s="2" t="inlineStr">
        <is>
          <t>no real website (uses www.facebook.com)</t>
        </is>
      </c>
      <c r="M23" s="2" t="inlineStr">
        <is>
          <t>Hi Remedy Espresso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3" s="4" t="inlineStr">
        <is>
          <t>Open map</t>
        </is>
      </c>
      <c r="O23" s="2" t="inlineStr">
        <is>
          <t>Not contacted</t>
        </is>
      </c>
      <c r="P23" s="2" t="inlineStr"/>
      <c r="Q23" s="2" t="inlineStr"/>
      <c r="R23" s="2" t="inlineStr"/>
      <c r="S23" s="2" t="inlineStr"/>
    </row>
    <row r="24">
      <c r="A24" s="2" t="n">
        <v>23</v>
      </c>
      <c r="B24" s="3" t="inlineStr">
        <is>
          <t>HIGH</t>
        </is>
      </c>
      <c r="C24" s="2" t="inlineStr">
        <is>
          <t>No own website</t>
        </is>
      </c>
      <c r="D24" s="2" t="inlineStr">
        <is>
          <t>Rooka Acai</t>
        </is>
      </c>
      <c r="E24" s="2" t="inlineStr">
        <is>
          <t>cafe</t>
        </is>
      </c>
      <c r="F24" s="2" t="inlineStr">
        <is>
          <t>Brisbane</t>
        </is>
      </c>
      <c r="G24" s="2" t="inlineStr">
        <is>
          <t>Instagram</t>
        </is>
      </c>
      <c r="H24" s="4" t="inlineStr">
        <is>
          <t>https://www.instagram.com/rookaacai</t>
        </is>
      </c>
      <c r="I24" s="2" t="inlineStr"/>
      <c r="J24" s="2" t="inlineStr">
        <is>
          <t>+61 435 383 803</t>
        </is>
      </c>
      <c r="K24" s="4" t="inlineStr">
        <is>
          <t>https://www.instagram.com/rookaacai</t>
        </is>
      </c>
      <c r="L24" s="2" t="inlineStr">
        <is>
          <t>no real website (uses www.instagram.com)</t>
        </is>
      </c>
      <c r="M24" s="2" t="inlineStr">
        <is>
          <t>Hi Rooka Acai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24" s="4" t="inlineStr">
        <is>
          <t>Open map</t>
        </is>
      </c>
      <c r="O24" s="2" t="inlineStr">
        <is>
          <t>Not contacted</t>
        </is>
      </c>
      <c r="P24" s="2" t="inlineStr"/>
      <c r="Q24" s="2" t="inlineStr"/>
      <c r="R24" s="2" t="inlineStr"/>
      <c r="S24" s="2" t="inlineStr"/>
    </row>
    <row r="25">
      <c r="A25" s="2" t="n">
        <v>24</v>
      </c>
      <c r="B25" s="3" t="inlineStr">
        <is>
          <t>HIGH</t>
        </is>
      </c>
      <c r="C25" s="2" t="inlineStr">
        <is>
          <t>No own website</t>
        </is>
      </c>
      <c r="D25" s="2" t="inlineStr">
        <is>
          <t>Story Behind The Coffee</t>
        </is>
      </c>
      <c r="E25" s="2" t="inlineStr">
        <is>
          <t>cafe</t>
        </is>
      </c>
      <c r="F25" s="2" t="inlineStr">
        <is>
          <t>Brisbane</t>
        </is>
      </c>
      <c r="G25" s="2" t="inlineStr">
        <is>
          <t>Facebook</t>
        </is>
      </c>
      <c r="H25" s="2" t="inlineStr"/>
      <c r="I25" s="4" t="inlineStr">
        <is>
          <t>https://www.facebook.com/storybehindthecoffee/</t>
        </is>
      </c>
      <c r="J25" s="2" t="inlineStr">
        <is>
          <t>+61 475 209 660</t>
        </is>
      </c>
      <c r="K25" s="4" t="inlineStr">
        <is>
          <t>https://www.facebook.com/storybehindthecoffee/</t>
        </is>
      </c>
      <c r="L25" s="2" t="inlineStr">
        <is>
          <t>no real website (uses www.facebook.com)</t>
        </is>
      </c>
      <c r="M25" s="2" t="inlineStr">
        <is>
          <t>Hi Story Behind The Coffee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5" s="4" t="inlineStr">
        <is>
          <t>Open map</t>
        </is>
      </c>
      <c r="O25" s="2" t="inlineStr">
        <is>
          <t>Not contacted</t>
        </is>
      </c>
      <c r="P25" s="2" t="inlineStr"/>
      <c r="Q25" s="2" t="inlineStr"/>
      <c r="R25" s="2" t="inlineStr"/>
      <c r="S25" s="2" t="inlineStr"/>
    </row>
    <row r="26">
      <c r="A26" s="2" t="n">
        <v>25</v>
      </c>
      <c r="B26" s="3" t="inlineStr">
        <is>
          <t>HIGH</t>
        </is>
      </c>
      <c r="C26" s="2" t="inlineStr">
        <is>
          <t>No own website</t>
        </is>
      </c>
      <c r="D26" s="2" t="inlineStr">
        <is>
          <t>Sundays Cafe</t>
        </is>
      </c>
      <c r="E26" s="2" t="inlineStr">
        <is>
          <t>cafe</t>
        </is>
      </c>
      <c r="F26" s="2" t="inlineStr">
        <is>
          <t>Brisbane</t>
        </is>
      </c>
      <c r="G26" s="2" t="inlineStr">
        <is>
          <t>Facebook</t>
        </is>
      </c>
      <c r="H26" s="2" t="inlineStr"/>
      <c r="I26" s="4" t="inlineStr">
        <is>
          <t>https://www.facebook.com/SundaysCoffeeHouseRocklea/</t>
        </is>
      </c>
      <c r="J26" s="2" t="inlineStr">
        <is>
          <t>+61 7 3150 8771</t>
        </is>
      </c>
      <c r="K26" s="4" t="inlineStr">
        <is>
          <t>https://www.facebook.com/SundaysCoffeeHouseRocklea/</t>
        </is>
      </c>
      <c r="L26" s="2" t="inlineStr">
        <is>
          <t>no real website (uses www.facebook.com)</t>
        </is>
      </c>
      <c r="M26" s="2" t="inlineStr">
        <is>
          <t>Hi Sundays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6" s="4" t="inlineStr">
        <is>
          <t>Open map</t>
        </is>
      </c>
      <c r="O26" s="2" t="inlineStr">
        <is>
          <t>Not contacted</t>
        </is>
      </c>
      <c r="P26" s="2" t="inlineStr"/>
      <c r="Q26" s="2" t="inlineStr"/>
      <c r="R26" s="2" t="inlineStr"/>
      <c r="S26" s="2" t="inlineStr"/>
    </row>
    <row r="27">
      <c r="A27" s="2" t="n">
        <v>26</v>
      </c>
      <c r="B27" s="3" t="inlineStr">
        <is>
          <t>HIGH</t>
        </is>
      </c>
      <c r="C27" s="2" t="inlineStr">
        <is>
          <t>No own website</t>
        </is>
      </c>
      <c r="D27" s="2" t="inlineStr">
        <is>
          <t>The Brass</t>
        </is>
      </c>
      <c r="E27" s="2" t="inlineStr">
        <is>
          <t>cafe</t>
        </is>
      </c>
      <c r="F27" s="2" t="inlineStr">
        <is>
          <t>Brisbane</t>
        </is>
      </c>
      <c r="G27" s="2" t="inlineStr">
        <is>
          <t>Facebook</t>
        </is>
      </c>
      <c r="H27" s="2" t="inlineStr"/>
      <c r="I27" s="4" t="inlineStr">
        <is>
          <t>https://www.facebook.com/profile.php?id=100093799565639</t>
        </is>
      </c>
      <c r="J27" s="2" t="inlineStr">
        <is>
          <t>+61 7 3113 3636</t>
        </is>
      </c>
      <c r="K27" s="4" t="inlineStr">
        <is>
          <t>https://www.facebook.com/profile.php?id=100093799565639</t>
        </is>
      </c>
      <c r="L27" s="2" t="inlineStr">
        <is>
          <t>no real website (uses www.facebook.com)</t>
        </is>
      </c>
      <c r="M27" s="2" t="inlineStr">
        <is>
          <t>Hi The Brass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7" s="4" t="inlineStr">
        <is>
          <t>Open map</t>
        </is>
      </c>
      <c r="O27" s="2" t="inlineStr">
        <is>
          <t>Not contacted</t>
        </is>
      </c>
      <c r="P27" s="2" t="inlineStr"/>
      <c r="Q27" s="2" t="inlineStr"/>
      <c r="R27" s="2" t="inlineStr"/>
      <c r="S27" s="2" t="inlineStr"/>
    </row>
    <row r="28">
      <c r="A28" s="2" t="n">
        <v>27</v>
      </c>
      <c r="B28" s="3" t="inlineStr">
        <is>
          <t>HIGH</t>
        </is>
      </c>
      <c r="C28" s="2" t="inlineStr">
        <is>
          <t>No own website</t>
        </is>
      </c>
      <c r="D28" s="2" t="inlineStr">
        <is>
          <t>The Woolshed.</t>
        </is>
      </c>
      <c r="E28" s="2" t="inlineStr">
        <is>
          <t>cafe</t>
        </is>
      </c>
      <c r="F28" s="2" t="inlineStr">
        <is>
          <t>Brisbane</t>
        </is>
      </c>
      <c r="G28" s="2" t="inlineStr">
        <is>
          <t>Instagram</t>
        </is>
      </c>
      <c r="H28" s="4" t="inlineStr">
        <is>
          <t>https://www.instagram.com/woolshed.bne/</t>
        </is>
      </c>
      <c r="I28" s="2" t="inlineStr"/>
      <c r="J28" s="2" t="inlineStr"/>
      <c r="K28" s="4" t="inlineStr">
        <is>
          <t>https://www.instagram.com/woolshed.bne/</t>
        </is>
      </c>
      <c r="L28" s="2" t="inlineStr">
        <is>
          <t>no real website (uses www.instagram.com)</t>
        </is>
      </c>
      <c r="M28" s="2" t="inlineStr">
        <is>
          <t>Hi The Woolshed.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28" s="4" t="inlineStr">
        <is>
          <t>Open map</t>
        </is>
      </c>
      <c r="O28" s="2" t="inlineStr">
        <is>
          <t>Not contacted</t>
        </is>
      </c>
      <c r="P28" s="2" t="inlineStr"/>
      <c r="Q28" s="2" t="inlineStr"/>
      <c r="R28" s="2" t="inlineStr"/>
      <c r="S28" s="2" t="inlineStr"/>
    </row>
    <row r="29">
      <c r="A29" s="2" t="n">
        <v>28</v>
      </c>
      <c r="B29" s="3" t="inlineStr">
        <is>
          <t>HIGH</t>
        </is>
      </c>
      <c r="C29" s="2" t="inlineStr">
        <is>
          <t>No own website</t>
        </is>
      </c>
      <c r="D29" s="2" t="inlineStr">
        <is>
          <t>Vinty Bean</t>
        </is>
      </c>
      <c r="E29" s="2" t="inlineStr">
        <is>
          <t>cafe</t>
        </is>
      </c>
      <c r="F29" s="2" t="inlineStr">
        <is>
          <t>Brisbane</t>
        </is>
      </c>
      <c r="G29" s="2" t="inlineStr">
        <is>
          <t>Instagram</t>
        </is>
      </c>
      <c r="H29" s="4" t="inlineStr">
        <is>
          <t>https://www.instagram.com/vintybean/</t>
        </is>
      </c>
      <c r="I29" s="2" t="inlineStr"/>
      <c r="J29" s="2" t="inlineStr"/>
      <c r="K29" s="4" t="inlineStr">
        <is>
          <t>https://www.instagram.com/vintybean/</t>
        </is>
      </c>
      <c r="L29" s="2" t="inlineStr">
        <is>
          <t>no real website (uses www.instagram.com)</t>
        </is>
      </c>
      <c r="M29" s="2" t="inlineStr">
        <is>
          <t>Hi Vinty Bean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29" s="4" t="inlineStr">
        <is>
          <t>Open map</t>
        </is>
      </c>
      <c r="O29" s="2" t="inlineStr">
        <is>
          <t>Not contacted</t>
        </is>
      </c>
      <c r="P29" s="2" t="inlineStr"/>
      <c r="Q29" s="2" t="inlineStr"/>
      <c r="R29" s="2" t="inlineStr"/>
      <c r="S29" s="2" t="inlineStr"/>
    </row>
    <row r="30">
      <c r="A30" s="2" t="n">
        <v>29</v>
      </c>
      <c r="B30" s="3" t="inlineStr">
        <is>
          <t>HIGH</t>
        </is>
      </c>
      <c r="C30" s="2" t="inlineStr">
        <is>
          <t>No own website</t>
        </is>
      </c>
      <c r="D30" s="2" t="inlineStr">
        <is>
          <t>Lifecycle Garage &amp; Bespoke</t>
        </is>
      </c>
      <c r="E30" s="2" t="inlineStr">
        <is>
          <t>car or bike shop</t>
        </is>
      </c>
      <c r="F30" s="2" t="inlineStr">
        <is>
          <t>Brisbane</t>
        </is>
      </c>
      <c r="G30" s="2" t="inlineStr">
        <is>
          <t>Facebook</t>
        </is>
      </c>
      <c r="H30" s="2" t="inlineStr"/>
      <c r="I30" s="4" t="inlineStr">
        <is>
          <t>https://www.facebook.com/lifecyclebrisbane</t>
        </is>
      </c>
      <c r="J30" s="2" t="inlineStr">
        <is>
          <t>+61 7 3831 2611</t>
        </is>
      </c>
      <c r="K30" s="4" t="inlineStr">
        <is>
          <t>https://www.facebook.com/lifecyclebrisbane</t>
        </is>
      </c>
      <c r="L30" s="2" t="inlineStr">
        <is>
          <t>no real website (uses www.facebook.com)</t>
        </is>
      </c>
      <c r="M30" s="2" t="inlineStr">
        <is>
          <t>Hi Lifecycle Garage &amp; Bespoke team! [one real detail from their page]. We're AceAds, a web design studio. We noticed that when people in Brisbane search for a car or bike shop on Google, they only find your Facebook, not a website of your own. We'd be happy to make you a free preview of what a website could look like. Want one? No cost, no obligation.</t>
        </is>
      </c>
      <c r="N30" s="4" t="inlineStr">
        <is>
          <t>Open map</t>
        </is>
      </c>
      <c r="O30" s="2" t="inlineStr">
        <is>
          <t>Not contacted</t>
        </is>
      </c>
      <c r="P30" s="2" t="inlineStr"/>
      <c r="Q30" s="2" t="inlineStr"/>
      <c r="R30" s="2" t="inlineStr"/>
      <c r="S30" s="2" t="inlineStr"/>
    </row>
    <row r="31">
      <c r="A31" s="2" t="n">
        <v>30</v>
      </c>
      <c r="B31" s="3" t="inlineStr">
        <is>
          <t>HIGH</t>
        </is>
      </c>
      <c r="C31" s="2" t="inlineStr">
        <is>
          <t>No own website</t>
        </is>
      </c>
      <c r="D31" s="2" t="inlineStr">
        <is>
          <t>Dinmore Fruit Barn</t>
        </is>
      </c>
      <c r="E31" s="2" t="inlineStr">
        <is>
          <t>deli or specialty food</t>
        </is>
      </c>
      <c r="F31" s="2" t="inlineStr">
        <is>
          <t>Brisbane</t>
        </is>
      </c>
      <c r="G31" s="2" t="inlineStr">
        <is>
          <t>Facebook</t>
        </is>
      </c>
      <c r="H31" s="2" t="inlineStr"/>
      <c r="I31" s="4" t="inlineStr">
        <is>
          <t>https://www.facebook.com/pages/Dinmore-Fruit-Barn/190399727707208</t>
        </is>
      </c>
      <c r="J31" s="2" t="inlineStr">
        <is>
          <t>+61 7 3282 4221</t>
        </is>
      </c>
      <c r="K31" s="4" t="inlineStr">
        <is>
          <t>https://www.facebook.com/pages/Dinmore-Fruit-Barn/190399727707208</t>
        </is>
      </c>
      <c r="L31" s="2" t="inlineStr">
        <is>
          <t>no real website (uses www.facebook.com)</t>
        </is>
      </c>
      <c r="M31" s="2" t="inlineStr">
        <is>
          <t>Hi Dinmore Fruit Barn team! [one real detail from their page]. We're AceAds, a web design studio. We noticed that when people in Brisbane search for a local food store on Google, they only find your Facebook, not a website of your own. We'd be happy to make you a free preview of what a website could look like. Want one? No cost, no obligation.</t>
        </is>
      </c>
      <c r="N31" s="4" t="inlineStr">
        <is>
          <t>Open map</t>
        </is>
      </c>
      <c r="O31" s="2" t="inlineStr">
        <is>
          <t>Not contacted</t>
        </is>
      </c>
      <c r="P31" s="2" t="inlineStr"/>
      <c r="Q31" s="2" t="inlineStr"/>
      <c r="R31" s="2" t="inlineStr"/>
      <c r="S31" s="2" t="inlineStr"/>
    </row>
    <row r="32">
      <c r="A32" s="2" t="n">
        <v>31</v>
      </c>
      <c r="B32" s="3" t="inlineStr">
        <is>
          <t>HIGH</t>
        </is>
      </c>
      <c r="C32" s="2" t="inlineStr">
        <is>
          <t>No own website</t>
        </is>
      </c>
      <c r="D32" s="2" t="inlineStr">
        <is>
          <t>Kadison And Lealta</t>
        </is>
      </c>
      <c r="E32" s="2" t="inlineStr">
        <is>
          <t>florist</t>
        </is>
      </c>
      <c r="F32" s="2" t="inlineStr">
        <is>
          <t>Brisbane</t>
        </is>
      </c>
      <c r="G32" s="2" t="inlineStr">
        <is>
          <t>Facebook</t>
        </is>
      </c>
      <c r="H32" s="2" t="inlineStr"/>
      <c r="I32" s="4" t="inlineStr">
        <is>
          <t>https://www.facebook.com/kadisonandlealta/</t>
        </is>
      </c>
      <c r="J32" s="2" t="inlineStr">
        <is>
          <t>+61 431 454 413</t>
        </is>
      </c>
      <c r="K32" s="4" t="inlineStr">
        <is>
          <t>https://www.facebook.com/kadisonandlealta/</t>
        </is>
      </c>
      <c r="L32" s="2" t="inlineStr">
        <is>
          <t>no real website (uses www.facebook.com)</t>
        </is>
      </c>
      <c r="M32" s="2" t="inlineStr">
        <is>
          <t>Hi Kadison And Lealta team! [one real detail from their page]. We're AceAds, a web design studio. We noticed that when people in Brisbane search for a florist on Google, they only find your Facebook, not a website of your own. We'd be happy to make you a free preview of what a website could look like. Want one? No cost, no obligation.</t>
        </is>
      </c>
      <c r="N32" s="4" t="inlineStr">
        <is>
          <t>Open map</t>
        </is>
      </c>
      <c r="O32" s="2" t="inlineStr">
        <is>
          <t>Not contacted</t>
        </is>
      </c>
      <c r="P32" s="2" t="inlineStr"/>
      <c r="Q32" s="2" t="inlineStr"/>
      <c r="R32" s="2" t="inlineStr"/>
      <c r="S32" s="2" t="inlineStr"/>
    </row>
    <row r="33">
      <c r="A33" s="2" t="n">
        <v>32</v>
      </c>
      <c r="B33" s="3" t="inlineStr">
        <is>
          <t>HIGH</t>
        </is>
      </c>
      <c r="C33" s="2" t="inlineStr">
        <is>
          <t>No own website</t>
        </is>
      </c>
      <c r="D33" s="2" t="inlineStr">
        <is>
          <t>Cherished Creations</t>
        </is>
      </c>
      <c r="E33" s="2" t="inlineStr">
        <is>
          <t>gift or homewares</t>
        </is>
      </c>
      <c r="F33" s="2" t="inlineStr">
        <is>
          <t>Brisbane</t>
        </is>
      </c>
      <c r="G33" s="2" t="inlineStr">
        <is>
          <t>Facebook</t>
        </is>
      </c>
      <c r="H33" s="2" t="inlineStr"/>
      <c r="I33" s="4" t="inlineStr">
        <is>
          <t>https://www.facebook.com/cherishedcreationshandmade/</t>
        </is>
      </c>
      <c r="J33" s="2" t="inlineStr">
        <is>
          <t>+61 419 343 235</t>
        </is>
      </c>
      <c r="K33" s="4" t="inlineStr">
        <is>
          <t>https://www.facebook.com/cherishedcreationshandmade/</t>
        </is>
      </c>
      <c r="L33" s="2" t="inlineStr">
        <is>
          <t>no real website (uses www.facebook.com)</t>
        </is>
      </c>
      <c r="M33" s="2" t="inlineStr">
        <is>
          <t>Hi Cherished Creations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3" s="4" t="inlineStr">
        <is>
          <t>Open map</t>
        </is>
      </c>
      <c r="O33" s="2" t="inlineStr">
        <is>
          <t>Not contacted</t>
        </is>
      </c>
      <c r="P33" s="2" t="inlineStr"/>
      <c r="Q33" s="2" t="inlineStr"/>
      <c r="R33" s="2" t="inlineStr"/>
      <c r="S33" s="2" t="inlineStr"/>
    </row>
    <row r="34">
      <c r="A34" s="2" t="n">
        <v>33</v>
      </c>
      <c r="B34" s="3" t="inlineStr">
        <is>
          <t>HIGH</t>
        </is>
      </c>
      <c r="C34" s="2" t="inlineStr">
        <is>
          <t>No own website</t>
        </is>
      </c>
      <c r="D34" s="2" t="inlineStr">
        <is>
          <t>Makers on Main</t>
        </is>
      </c>
      <c r="E34" s="2" t="inlineStr">
        <is>
          <t>gift or homewares</t>
        </is>
      </c>
      <c r="F34" s="2" t="inlineStr">
        <is>
          <t>Brisbane</t>
        </is>
      </c>
      <c r="G34" s="2" t="inlineStr">
        <is>
          <t>Facebook</t>
        </is>
      </c>
      <c r="H34" s="2" t="inlineStr"/>
      <c r="I34" s="4" t="inlineStr">
        <is>
          <t>https://www.facebook.com/Makers-On-Main-281063809243994/</t>
        </is>
      </c>
      <c r="J34" s="2" t="inlineStr">
        <is>
          <t>+61 458 966 151</t>
        </is>
      </c>
      <c r="K34" s="4" t="inlineStr">
        <is>
          <t>https://www.facebook.com/Makers-On-Main-281063809243994/</t>
        </is>
      </c>
      <c r="L34" s="2" t="inlineStr">
        <is>
          <t>no real website (uses www.facebook.com)</t>
        </is>
      </c>
      <c r="M34" s="2" t="inlineStr">
        <is>
          <t>Hi Makers on Main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4" s="4" t="inlineStr">
        <is>
          <t>Open map</t>
        </is>
      </c>
      <c r="O34" s="2" t="inlineStr">
        <is>
          <t>Not contacted</t>
        </is>
      </c>
      <c r="P34" s="2" t="inlineStr"/>
      <c r="Q34" s="2" t="inlineStr"/>
      <c r="R34" s="2" t="inlineStr"/>
      <c r="S34" s="2" t="inlineStr"/>
    </row>
    <row r="35">
      <c r="A35" s="2" t="n">
        <v>34</v>
      </c>
      <c r="B35" s="3" t="inlineStr">
        <is>
          <t>HIGH</t>
        </is>
      </c>
      <c r="C35" s="2" t="inlineStr">
        <is>
          <t>No own website</t>
        </is>
      </c>
      <c r="D35" s="2" t="inlineStr">
        <is>
          <t>Petrie 2nd Hand Furniture</t>
        </is>
      </c>
      <c r="E35" s="2" t="inlineStr">
        <is>
          <t>gift or homewares</t>
        </is>
      </c>
      <c r="F35" s="2" t="inlineStr">
        <is>
          <t>Brisbane</t>
        </is>
      </c>
      <c r="G35" s="2" t="inlineStr">
        <is>
          <t>Facebook</t>
        </is>
      </c>
      <c r="H35" s="2" t="inlineStr"/>
      <c r="I35" s="4" t="inlineStr">
        <is>
          <t>https://www.facebook.com/people/Petrie-secondhand-furniture/100057573274067/</t>
        </is>
      </c>
      <c r="J35" s="2" t="inlineStr">
        <is>
          <t>+61 432 059 374</t>
        </is>
      </c>
      <c r="K35" s="4" t="inlineStr">
        <is>
          <t>https://petrie-secondhand-furniture.business.site/</t>
        </is>
      </c>
      <c r="L35" s="2" t="inlineStr">
        <is>
          <t>no real website (uses petrie-secondhand-furniture.business.site)</t>
        </is>
      </c>
      <c r="M35" s="2" t="inlineStr">
        <is>
          <t>Hi Petrie 2nd Hand Furniture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5" s="4" t="inlineStr">
        <is>
          <t>Open map</t>
        </is>
      </c>
      <c r="O35" s="2" t="inlineStr">
        <is>
          <t>Not contacted</t>
        </is>
      </c>
      <c r="P35" s="2" t="inlineStr"/>
      <c r="Q35" s="2" t="inlineStr"/>
      <c r="R35" s="2" t="inlineStr"/>
      <c r="S35" s="2" t="inlineStr"/>
    </row>
    <row r="36">
      <c r="A36" s="2" t="n">
        <v>35</v>
      </c>
      <c r="B36" s="3" t="inlineStr">
        <is>
          <t>HIGH</t>
        </is>
      </c>
      <c r="C36" s="2" t="inlineStr">
        <is>
          <t>No own website</t>
        </is>
      </c>
      <c r="D36" s="2" t="inlineStr">
        <is>
          <t>Shady Dayz Gifts &amp; Homewares</t>
        </is>
      </c>
      <c r="E36" s="2" t="inlineStr">
        <is>
          <t>gift or homewares</t>
        </is>
      </c>
      <c r="F36" s="2" t="inlineStr">
        <is>
          <t>Brisbane</t>
        </is>
      </c>
      <c r="G36" s="2" t="inlineStr">
        <is>
          <t>Facebook</t>
        </is>
      </c>
      <c r="H36" s="2" t="inlineStr"/>
      <c r="I36" s="4" t="inlineStr">
        <is>
          <t>https://www.facebook.com/shadydayzgifts/</t>
        </is>
      </c>
      <c r="J36" s="2" t="inlineStr">
        <is>
          <t>+61 7 3289 1833</t>
        </is>
      </c>
      <c r="K36" s="4" t="inlineStr">
        <is>
          <t>https://www.facebook.com/shadydayzgifts/</t>
        </is>
      </c>
      <c r="L36" s="2" t="inlineStr">
        <is>
          <t>no real website (uses www.facebook.com)</t>
        </is>
      </c>
      <c r="M36" s="2" t="inlineStr">
        <is>
          <t>Hi Shady Dayz Gifts &amp; Homewares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6" s="4" t="inlineStr">
        <is>
          <t>Open map</t>
        </is>
      </c>
      <c r="O36" s="2" t="inlineStr">
        <is>
          <t>Not contacted</t>
        </is>
      </c>
      <c r="P36" s="2" t="inlineStr"/>
      <c r="Q36" s="2" t="inlineStr"/>
      <c r="R36" s="2" t="inlineStr"/>
      <c r="S36" s="2" t="inlineStr"/>
    </row>
    <row r="37">
      <c r="A37" s="2" t="n">
        <v>36</v>
      </c>
      <c r="B37" s="3" t="inlineStr">
        <is>
          <t>HIGH</t>
        </is>
      </c>
      <c r="C37" s="2" t="inlineStr">
        <is>
          <t>No own website</t>
        </is>
      </c>
      <c r="D37" s="2" t="inlineStr">
        <is>
          <t>Canary Lane</t>
        </is>
      </c>
      <c r="E37" s="2" t="inlineStr">
        <is>
          <t>jeweller</t>
        </is>
      </c>
      <c r="F37" s="2" t="inlineStr">
        <is>
          <t>Brisbane</t>
        </is>
      </c>
      <c r="G37" s="2" t="inlineStr">
        <is>
          <t>Facebook</t>
        </is>
      </c>
      <c r="H37" s="2" t="inlineStr"/>
      <c r="I37" s="4" t="inlineStr">
        <is>
          <t>https://www.facebook.com/Canary-Lane-686290855153091/</t>
        </is>
      </c>
      <c r="J37" s="2" t="inlineStr">
        <is>
          <t>+61 7 3852 2997</t>
        </is>
      </c>
      <c r="K37" s="4" t="inlineStr">
        <is>
          <t>https://www.facebook.com/Canary-Lane-686290855153091/</t>
        </is>
      </c>
      <c r="L37" s="2" t="inlineStr">
        <is>
          <t>no real website (uses www.facebook.com)</t>
        </is>
      </c>
      <c r="M37" s="2" t="inlineStr">
        <is>
          <t>Hi Canary Lane team! [one real detail from their page]. We're AceAds, a web design studio. We noticed that when people in Brisbane search for a jeweller on Google, they only find your Facebook, not a website of your own. We'd be happy to make you a free preview of what a website could look like. Want one? No cost, no obligation.</t>
        </is>
      </c>
      <c r="N37" s="4" t="inlineStr">
        <is>
          <t>Open map</t>
        </is>
      </c>
      <c r="O37" s="2" t="inlineStr">
        <is>
          <t>Not contacted</t>
        </is>
      </c>
      <c r="P37" s="2" t="inlineStr"/>
      <c r="Q37" s="2" t="inlineStr"/>
      <c r="R37" s="2" t="inlineStr"/>
      <c r="S37" s="2" t="inlineStr"/>
    </row>
    <row r="38">
      <c r="A38" s="2" t="n">
        <v>37</v>
      </c>
      <c r="B38" s="3" t="inlineStr">
        <is>
          <t>HIGH</t>
        </is>
      </c>
      <c r="C38" s="2" t="inlineStr">
        <is>
          <t>No own website</t>
        </is>
      </c>
      <c r="D38" s="2" t="inlineStr">
        <is>
          <t>Ascot Automotive</t>
        </is>
      </c>
      <c r="E38" s="2" t="inlineStr">
        <is>
          <t>mechanic</t>
        </is>
      </c>
      <c r="F38" s="2" t="inlineStr">
        <is>
          <t>Brisbane</t>
        </is>
      </c>
      <c r="G38" s="2" t="inlineStr">
        <is>
          <t>Facebook</t>
        </is>
      </c>
      <c r="H38" s="2" t="inlineStr"/>
      <c r="I38" s="4" t="inlineStr">
        <is>
          <t>https://www.facebook.com/ascotautomotive4007/</t>
        </is>
      </c>
      <c r="J38" s="2" t="inlineStr">
        <is>
          <t>+61 7 3262 2433</t>
        </is>
      </c>
      <c r="K38" s="4" t="inlineStr">
        <is>
          <t>https://www.facebook.com/ascotautomotive4007/</t>
        </is>
      </c>
      <c r="L38" s="2" t="inlineStr">
        <is>
          <t>no real website (uses www.facebook.com)</t>
        </is>
      </c>
      <c r="M38" s="2" t="inlineStr">
        <is>
          <t>Hi Ascot Automotive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38" s="4" t="inlineStr">
        <is>
          <t>Open map</t>
        </is>
      </c>
      <c r="O38" s="2" t="inlineStr">
        <is>
          <t>Not contacted</t>
        </is>
      </c>
      <c r="P38" s="2" t="inlineStr"/>
      <c r="Q38" s="2" t="inlineStr"/>
      <c r="R38" s="2" t="inlineStr"/>
      <c r="S38" s="2" t="inlineStr"/>
    </row>
    <row r="39">
      <c r="A39" s="2" t="n">
        <v>38</v>
      </c>
      <c r="B39" s="3" t="inlineStr">
        <is>
          <t>HIGH</t>
        </is>
      </c>
      <c r="C39" s="2" t="inlineStr">
        <is>
          <t>No own website</t>
        </is>
      </c>
      <c r="D39" s="2" t="inlineStr">
        <is>
          <t>Next Up Performance &amp; Dyno Tuning</t>
        </is>
      </c>
      <c r="E39" s="2" t="inlineStr">
        <is>
          <t>mechanic</t>
        </is>
      </c>
      <c r="F39" s="2" t="inlineStr">
        <is>
          <t>Brisbane</t>
        </is>
      </c>
      <c r="G39" s="2" t="inlineStr">
        <is>
          <t>Facebook</t>
        </is>
      </c>
      <c r="H39" s="2" t="inlineStr"/>
      <c r="I39" s="4" t="inlineStr">
        <is>
          <t>https://www.facebook.com/next.up.5/</t>
        </is>
      </c>
      <c r="J39" s="2" t="inlineStr"/>
      <c r="K39" s="4" t="inlineStr">
        <is>
          <t>https://www.facebook.com/next.up.5/</t>
        </is>
      </c>
      <c r="L39" s="2" t="inlineStr">
        <is>
          <t>no real website (uses www.facebook.com)</t>
        </is>
      </c>
      <c r="M39" s="2" t="inlineStr">
        <is>
          <t>Hi Next Up Performance &amp; Dyno Tuning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39" s="4" t="inlineStr">
        <is>
          <t>Open map</t>
        </is>
      </c>
      <c r="O39" s="2" t="inlineStr">
        <is>
          <t>Not contacted</t>
        </is>
      </c>
      <c r="P39" s="2" t="inlineStr"/>
      <c r="Q39" s="2" t="inlineStr"/>
      <c r="R39" s="2" t="inlineStr"/>
      <c r="S39" s="2" t="inlineStr"/>
    </row>
    <row r="40">
      <c r="A40" s="2" t="n">
        <v>39</v>
      </c>
      <c r="B40" s="3" t="inlineStr">
        <is>
          <t>HIGH</t>
        </is>
      </c>
      <c r="C40" s="2" t="inlineStr">
        <is>
          <t>No own website</t>
        </is>
      </c>
      <c r="D40" s="2" t="inlineStr">
        <is>
          <t>Prince Auto &amp; Tyre Service</t>
        </is>
      </c>
      <c r="E40" s="2" t="inlineStr">
        <is>
          <t>mechanic</t>
        </is>
      </c>
      <c r="F40" s="2" t="inlineStr">
        <is>
          <t>Brisbane</t>
        </is>
      </c>
      <c r="G40" s="2" t="inlineStr">
        <is>
          <t>Facebook</t>
        </is>
      </c>
      <c r="H40" s="2" t="inlineStr"/>
      <c r="I40" s="4" t="inlineStr">
        <is>
          <t>https://www.facebook.com/princeauto111/</t>
        </is>
      </c>
      <c r="J40" s="2" t="inlineStr">
        <is>
          <t>+61 402 779 568</t>
        </is>
      </c>
      <c r="K40" s="4" t="inlineStr">
        <is>
          <t>https://www.facebook.com/princeauto111/</t>
        </is>
      </c>
      <c r="L40" s="2" t="inlineStr">
        <is>
          <t>no real website (uses www.facebook.com)</t>
        </is>
      </c>
      <c r="M40" s="2" t="inlineStr">
        <is>
          <t>Hi Prince Auto &amp; Tyre Service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40" s="4" t="inlineStr">
        <is>
          <t>Open map</t>
        </is>
      </c>
      <c r="O40" s="2" t="inlineStr">
        <is>
          <t>Not contacted</t>
        </is>
      </c>
      <c r="P40" s="2" t="inlineStr"/>
      <c r="Q40" s="2" t="inlineStr"/>
      <c r="R40" s="2" t="inlineStr"/>
      <c r="S40" s="2" t="inlineStr"/>
    </row>
    <row r="41">
      <c r="A41" s="2" t="n">
        <v>40</v>
      </c>
      <c r="B41" s="3" t="inlineStr">
        <is>
          <t>HIGH</t>
        </is>
      </c>
      <c r="C41" s="2" t="inlineStr">
        <is>
          <t>No own website</t>
        </is>
      </c>
      <c r="D41" s="2" t="inlineStr">
        <is>
          <t>Shear Designz</t>
        </is>
      </c>
      <c r="E41" s="2" t="inlineStr">
        <is>
          <t>pet business</t>
        </is>
      </c>
      <c r="F41" s="2" t="inlineStr">
        <is>
          <t>Brisbane</t>
        </is>
      </c>
      <c r="G41" s="2" t="inlineStr">
        <is>
          <t>Facebook</t>
        </is>
      </c>
      <c r="H41" s="2" t="inlineStr"/>
      <c r="I41" s="4" t="inlineStr">
        <is>
          <t>https://www.facebook.com/caninestylist.com.au/</t>
        </is>
      </c>
      <c r="J41" s="2" t="inlineStr">
        <is>
          <t>+61 7 3889 0333</t>
        </is>
      </c>
      <c r="K41" s="4" t="inlineStr">
        <is>
          <t>https://www.facebook.com/caninestylist.com.au/</t>
        </is>
      </c>
      <c r="L41" s="2" t="inlineStr">
        <is>
          <t>no real website (uses www.facebook.com)</t>
        </is>
      </c>
      <c r="M41" s="2" t="inlineStr">
        <is>
          <t>Hi Shear Designz team! [one real detail from their page]. We're AceAds, a web design studio. We noticed that when people in Brisbane search for a pet shop on Google, they only find your Facebook, not a website of your own. We'd be happy to make you a free preview of what a website could look like. Want one? No cost, no obligation.</t>
        </is>
      </c>
      <c r="N41" s="4" t="inlineStr">
        <is>
          <t>Open map</t>
        </is>
      </c>
      <c r="O41" s="2" t="inlineStr">
        <is>
          <t>Not contacted</t>
        </is>
      </c>
      <c r="P41" s="2" t="inlineStr"/>
      <c r="Q41" s="2" t="inlineStr"/>
      <c r="R41" s="2" t="inlineStr"/>
      <c r="S41" s="2" t="inlineStr"/>
    </row>
    <row r="42">
      <c r="A42" s="2" t="n">
        <v>41</v>
      </c>
      <c r="B42" s="3" t="inlineStr">
        <is>
          <t>HIGH</t>
        </is>
      </c>
      <c r="C42" s="2" t="inlineStr">
        <is>
          <t>No own website</t>
        </is>
      </c>
      <c r="D42" s="2" t="inlineStr">
        <is>
          <t>Block House Coffe</t>
        </is>
      </c>
      <c r="E42" s="2" t="inlineStr">
        <is>
          <t>restaurant</t>
        </is>
      </c>
      <c r="F42" s="2" t="inlineStr">
        <is>
          <t>Brisbane</t>
        </is>
      </c>
      <c r="G42" s="2" t="inlineStr">
        <is>
          <t>Facebook</t>
        </is>
      </c>
      <c r="H42" s="2" t="inlineStr"/>
      <c r="I42" s="4" t="inlineStr">
        <is>
          <t>https://www.facebook.com/Blockhouseeatdrink/</t>
        </is>
      </c>
      <c r="J42" s="2" t="inlineStr">
        <is>
          <t>+61 7 3172 6869</t>
        </is>
      </c>
      <c r="K42" s="4" t="inlineStr">
        <is>
          <t>https://www.facebook.com/Blockhouseeatdrink/</t>
        </is>
      </c>
      <c r="L42" s="2" t="inlineStr">
        <is>
          <t>no real website (uses www.facebook.com)</t>
        </is>
      </c>
      <c r="M42" s="2" t="inlineStr">
        <is>
          <t>Hi Block House Coffe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2" s="4" t="inlineStr">
        <is>
          <t>Open map</t>
        </is>
      </c>
      <c r="O42" s="2" t="inlineStr">
        <is>
          <t>Not contacted</t>
        </is>
      </c>
      <c r="P42" s="2" t="inlineStr"/>
      <c r="Q42" s="2" t="inlineStr"/>
      <c r="R42" s="2" t="inlineStr"/>
      <c r="S42" s="2" t="inlineStr"/>
    </row>
    <row r="43">
      <c r="A43" s="2" t="n">
        <v>42</v>
      </c>
      <c r="B43" s="3" t="inlineStr">
        <is>
          <t>HIGH</t>
        </is>
      </c>
      <c r="C43" s="2" t="inlineStr">
        <is>
          <t>No own website</t>
        </is>
      </c>
      <c r="D43" s="2" t="inlineStr">
        <is>
          <t>Caxton Street Brewing Co</t>
        </is>
      </c>
      <c r="E43" s="2" t="inlineStr">
        <is>
          <t>restaurant</t>
        </is>
      </c>
      <c r="F43" s="2" t="inlineStr">
        <is>
          <t>Brisbane</t>
        </is>
      </c>
      <c r="G43" s="2" t="inlineStr">
        <is>
          <t>Instagram</t>
        </is>
      </c>
      <c r="H43" s="4" t="inlineStr">
        <is>
          <t>https://www.instagram.com/caxtonstreetbrewing/?hl=en</t>
        </is>
      </c>
      <c r="I43" s="2" t="inlineStr"/>
      <c r="J43" s="2" t="inlineStr"/>
      <c r="K43" s="4" t="inlineStr">
        <is>
          <t>https://www.instagram.com/caxtonstreetbrewing/?hl=en</t>
        </is>
      </c>
      <c r="L43" s="2" t="inlineStr">
        <is>
          <t>no real website (uses www.instagram.com)</t>
        </is>
      </c>
      <c r="M43" s="2" t="inlineStr">
        <is>
          <t>Hi Caxton Street Brewing Co team! [one real detail from their page]. We're AceAds, a web design studio. We noticed that when people in Brisbane search for a restaurant on Google, they only find your Instagram, not a website of your own. We'd be happy to make you a free preview of what a website could look like. Want one? No cost, no obligation.</t>
        </is>
      </c>
      <c r="N43" s="4" t="inlineStr">
        <is>
          <t>Open map</t>
        </is>
      </c>
      <c r="O43" s="2" t="inlineStr">
        <is>
          <t>Not contacted</t>
        </is>
      </c>
      <c r="P43" s="2" t="inlineStr"/>
      <c r="Q43" s="2" t="inlineStr"/>
      <c r="R43" s="2" t="inlineStr"/>
      <c r="S43" s="2" t="inlineStr"/>
    </row>
    <row r="44">
      <c r="A44" s="2" t="n">
        <v>43</v>
      </c>
      <c r="B44" s="3" t="inlineStr">
        <is>
          <t>HIGH</t>
        </is>
      </c>
      <c r="C44" s="2" t="inlineStr">
        <is>
          <t>No own website</t>
        </is>
      </c>
      <c r="D44" s="2" t="inlineStr">
        <is>
          <t>Graceville Pizza</t>
        </is>
      </c>
      <c r="E44" s="2" t="inlineStr">
        <is>
          <t>restaurant</t>
        </is>
      </c>
      <c r="F44" s="2" t="inlineStr">
        <is>
          <t>Brisbane</t>
        </is>
      </c>
      <c r="G44" s="2" t="inlineStr">
        <is>
          <t>Facebook</t>
        </is>
      </c>
      <c r="H44" s="2" t="inlineStr"/>
      <c r="I44" s="4" t="inlineStr">
        <is>
          <t>https://www.facebook.com/GracevillePizza/</t>
        </is>
      </c>
      <c r="J44" s="2" t="inlineStr">
        <is>
          <t>+61 7 3568 6888</t>
        </is>
      </c>
      <c r="K44" s="4" t="inlineStr">
        <is>
          <t>https://www.facebook.com/GracevillePizza/</t>
        </is>
      </c>
      <c r="L44" s="2" t="inlineStr">
        <is>
          <t>no real website (uses www.facebook.com)</t>
        </is>
      </c>
      <c r="M44" s="2" t="inlineStr">
        <is>
          <t>Hi Graceville Pizza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4" s="4" t="inlineStr">
        <is>
          <t>Open map</t>
        </is>
      </c>
      <c r="O44" s="2" t="inlineStr">
        <is>
          <t>Not contacted</t>
        </is>
      </c>
      <c r="P44" s="2" t="inlineStr"/>
      <c r="Q44" s="2" t="inlineStr"/>
      <c r="R44" s="2" t="inlineStr"/>
      <c r="S44" s="2" t="inlineStr"/>
    </row>
    <row r="45">
      <c r="A45" s="2" t="n">
        <v>44</v>
      </c>
      <c r="B45" s="3" t="inlineStr">
        <is>
          <t>HIGH</t>
        </is>
      </c>
      <c r="C45" s="2" t="inlineStr">
        <is>
          <t>No own website</t>
        </is>
      </c>
      <c r="D45" s="2" t="inlineStr">
        <is>
          <t>Momiji</t>
        </is>
      </c>
      <c r="E45" s="2" t="inlineStr">
        <is>
          <t>restaurant</t>
        </is>
      </c>
      <c r="F45" s="2" t="inlineStr">
        <is>
          <t>Brisbane</t>
        </is>
      </c>
      <c r="G45" s="2" t="inlineStr">
        <is>
          <t>Facebook</t>
        </is>
      </c>
      <c r="H45" s="2" t="inlineStr"/>
      <c r="I45" s="4" t="inlineStr">
        <is>
          <t>https://www.facebook.com/MomijiJapaneseRestaurant/</t>
        </is>
      </c>
      <c r="J45" s="2" t="inlineStr">
        <is>
          <t>+61 425 620 360</t>
        </is>
      </c>
      <c r="K45" s="4" t="inlineStr">
        <is>
          <t>https://www.facebook.com/MomijiJapaneseRestaurant/</t>
        </is>
      </c>
      <c r="L45" s="2" t="inlineStr">
        <is>
          <t>no real website (uses www.facebook.com)</t>
        </is>
      </c>
      <c r="M45" s="2" t="inlineStr">
        <is>
          <t>Hi Momiji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5" s="4" t="inlineStr">
        <is>
          <t>Open map</t>
        </is>
      </c>
      <c r="O45" s="2" t="inlineStr">
        <is>
          <t>Not contacted</t>
        </is>
      </c>
      <c r="P45" s="2" t="inlineStr"/>
      <c r="Q45" s="2" t="inlineStr"/>
      <c r="R45" s="2" t="inlineStr"/>
      <c r="S45" s="2" t="inlineStr"/>
    </row>
    <row r="46">
      <c r="A46" s="2" t="n">
        <v>45</v>
      </c>
      <c r="B46" s="3" t="inlineStr">
        <is>
          <t>HIGH</t>
        </is>
      </c>
      <c r="C46" s="2" t="inlineStr">
        <is>
          <t>No own website</t>
        </is>
      </c>
      <c r="D46" s="2" t="inlineStr">
        <is>
          <t>Pimnipa Thai Kitchen</t>
        </is>
      </c>
      <c r="E46" s="2" t="inlineStr">
        <is>
          <t>restaurant</t>
        </is>
      </c>
      <c r="F46" s="2" t="inlineStr">
        <is>
          <t>Brisbane</t>
        </is>
      </c>
      <c r="G46" s="2" t="inlineStr">
        <is>
          <t>Facebook</t>
        </is>
      </c>
      <c r="H46" s="2" t="inlineStr"/>
      <c r="I46" s="4" t="inlineStr">
        <is>
          <t>https://m.facebook.com/61579010138892/</t>
        </is>
      </c>
      <c r="J46" s="2" t="inlineStr">
        <is>
          <t>+61 422 906 464</t>
        </is>
      </c>
      <c r="K46" s="4" t="inlineStr">
        <is>
          <t>https://m.facebook.com/61579010138892/</t>
        </is>
      </c>
      <c r="L46" s="2" t="inlineStr">
        <is>
          <t>no real website (uses m.facebook.com)</t>
        </is>
      </c>
      <c r="M46" s="2" t="inlineStr">
        <is>
          <t>Hi Pimnipa Thai Kitchen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6" s="4" t="inlineStr">
        <is>
          <t>Open map</t>
        </is>
      </c>
      <c r="O46" s="2" t="inlineStr">
        <is>
          <t>Not contacted</t>
        </is>
      </c>
      <c r="P46" s="2" t="inlineStr"/>
      <c r="Q46" s="2" t="inlineStr"/>
      <c r="R46" s="2" t="inlineStr"/>
      <c r="S46" s="2" t="inlineStr"/>
    </row>
    <row r="47">
      <c r="A47" s="2" t="n">
        <v>46</v>
      </c>
      <c r="B47" s="3" t="inlineStr">
        <is>
          <t>HIGH</t>
        </is>
      </c>
      <c r="C47" s="2" t="inlineStr">
        <is>
          <t>No own website</t>
        </is>
      </c>
      <c r="D47" s="2" t="inlineStr">
        <is>
          <t>Sushi Gruhi</t>
        </is>
      </c>
      <c r="E47" s="2" t="inlineStr">
        <is>
          <t>restaurant</t>
        </is>
      </c>
      <c r="F47" s="2" t="inlineStr">
        <is>
          <t>Brisbane</t>
        </is>
      </c>
      <c r="G47" s="2" t="inlineStr">
        <is>
          <t>Facebook</t>
        </is>
      </c>
      <c r="H47" s="2" t="inlineStr"/>
      <c r="I47" s="4" t="inlineStr">
        <is>
          <t>https://www.facebook.com/sushiaruhi/</t>
        </is>
      </c>
      <c r="J47" s="2" t="inlineStr"/>
      <c r="K47" s="4" t="inlineStr">
        <is>
          <t>https://www.facebook.com/sushiaruhi/</t>
        </is>
      </c>
      <c r="L47" s="2" t="inlineStr">
        <is>
          <t>no real website (uses www.facebook.com)</t>
        </is>
      </c>
      <c r="M47" s="2" t="inlineStr">
        <is>
          <t>Hi Sushi Gruhi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7" s="4" t="inlineStr">
        <is>
          <t>Open map</t>
        </is>
      </c>
      <c r="O47" s="2" t="inlineStr">
        <is>
          <t>Not contacted</t>
        </is>
      </c>
      <c r="P47" s="2" t="inlineStr"/>
      <c r="Q47" s="2" t="inlineStr"/>
      <c r="R47" s="2" t="inlineStr"/>
      <c r="S47" s="2" t="inlineStr"/>
    </row>
    <row r="48">
      <c r="A48" s="2" t="n">
        <v>47</v>
      </c>
      <c r="B48" s="3" t="inlineStr">
        <is>
          <t>HIGH</t>
        </is>
      </c>
      <c r="C48" s="2" t="inlineStr">
        <is>
          <t>No own website</t>
        </is>
      </c>
      <c r="D48" s="2" t="inlineStr">
        <is>
          <t>G-Free Donuts</t>
        </is>
      </c>
      <c r="E48" s="2" t="inlineStr">
        <is>
          <t>takeaway</t>
        </is>
      </c>
      <c r="F48" s="2" t="inlineStr">
        <is>
          <t>Brisbane</t>
        </is>
      </c>
      <c r="G48" s="2" t="inlineStr">
        <is>
          <t>Instagram</t>
        </is>
      </c>
      <c r="H48" s="4" t="inlineStr">
        <is>
          <t>https://www.instagram.com/gfreedonuts.uq</t>
        </is>
      </c>
      <c r="I48" s="2" t="inlineStr"/>
      <c r="J48" s="2" t="inlineStr">
        <is>
          <t>+61 404 599 213</t>
        </is>
      </c>
      <c r="K48" s="4" t="inlineStr">
        <is>
          <t>https://www.instagram.com/gfreedonuts.uq</t>
        </is>
      </c>
      <c r="L48" s="2" t="inlineStr">
        <is>
          <t>no real website (uses www.instagram.com)</t>
        </is>
      </c>
      <c r="M48" s="2" t="inlineStr">
        <is>
          <t>Hi G-Free Donuts team! [one real detail from their page]. We're AceAds, a web design studio. We noticed that when people in Brisbane search for a takeaway on Google, they only find your Instagram, not a website of your own. We'd be happy to make you a free preview of what a website could look like. Want one? No cost, no obligation.</t>
        </is>
      </c>
      <c r="N48" s="4" t="inlineStr">
        <is>
          <t>Open map</t>
        </is>
      </c>
      <c r="O48" s="2" t="inlineStr">
        <is>
          <t>Not contacted</t>
        </is>
      </c>
      <c r="P48" s="2" t="inlineStr"/>
      <c r="Q48" s="2" t="inlineStr"/>
      <c r="R48" s="2" t="inlineStr"/>
      <c r="S48" s="2" t="inlineStr"/>
    </row>
    <row r="49">
      <c r="A49" s="2" t="n">
        <v>48</v>
      </c>
      <c r="B49" s="3" t="inlineStr">
        <is>
          <t>HIGH</t>
        </is>
      </c>
      <c r="C49" s="2" t="inlineStr">
        <is>
          <t>No own website</t>
        </is>
      </c>
      <c r="D49" s="2" t="inlineStr">
        <is>
          <t>Kebab &amp; Charcoal Place</t>
        </is>
      </c>
      <c r="E49" s="2" t="inlineStr">
        <is>
          <t>takeaway</t>
        </is>
      </c>
      <c r="F49" s="2" t="inlineStr">
        <is>
          <t>Brisbane</t>
        </is>
      </c>
      <c r="G49" s="2" t="inlineStr">
        <is>
          <t>Facebook</t>
        </is>
      </c>
      <c r="H49" s="2" t="inlineStr"/>
      <c r="I49" s="4" t="inlineStr">
        <is>
          <t>https://www.facebook.com/kebabncharcoalplace</t>
        </is>
      </c>
      <c r="J49" s="2" t="inlineStr">
        <is>
          <t>+61 7 3607 1058</t>
        </is>
      </c>
      <c r="K49" s="4" t="inlineStr">
        <is>
          <t>https://www.facebook.com/kebabncharcoalplace</t>
        </is>
      </c>
      <c r="L49" s="2" t="inlineStr">
        <is>
          <t>no real website (uses www.facebook.com)</t>
        </is>
      </c>
      <c r="M49" s="2" t="inlineStr">
        <is>
          <t>Hi Kebab &amp; Charcoal Place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49" s="4" t="inlineStr">
        <is>
          <t>Open map</t>
        </is>
      </c>
      <c r="O49" s="2" t="inlineStr">
        <is>
          <t>Not contacted</t>
        </is>
      </c>
      <c r="P49" s="2" t="inlineStr"/>
      <c r="Q49" s="2" t="inlineStr"/>
      <c r="R49" s="2" t="inlineStr"/>
      <c r="S49" s="2" t="inlineStr"/>
    </row>
    <row r="50">
      <c r="A50" s="2" t="n">
        <v>49</v>
      </c>
      <c r="B50" s="3" t="inlineStr">
        <is>
          <t>HIGH</t>
        </is>
      </c>
      <c r="C50" s="2" t="inlineStr">
        <is>
          <t>No own website</t>
        </is>
      </c>
      <c r="D50" s="2" t="inlineStr">
        <is>
          <t>Red Dolphin Seafoods</t>
        </is>
      </c>
      <c r="E50" s="2" t="inlineStr">
        <is>
          <t>takeaway</t>
        </is>
      </c>
      <c r="F50" s="2" t="inlineStr">
        <is>
          <t>Brisbane</t>
        </is>
      </c>
      <c r="G50" s="2" t="inlineStr">
        <is>
          <t>Facebook</t>
        </is>
      </c>
      <c r="H50" s="2" t="inlineStr"/>
      <c r="I50" s="4" t="inlineStr">
        <is>
          <t>https://www.facebook.com/profile.php?id=100071592963125</t>
        </is>
      </c>
      <c r="J50" s="2" t="inlineStr">
        <is>
          <t>+61 7 3284 8703</t>
        </is>
      </c>
      <c r="K50" s="4" t="inlineStr">
        <is>
          <t>https://www.facebook.com/profile.php?id=100071592963125</t>
        </is>
      </c>
      <c r="L50" s="2" t="inlineStr">
        <is>
          <t>no real website (uses www.facebook.com)</t>
        </is>
      </c>
      <c r="M50" s="2" t="inlineStr">
        <is>
          <t>Hi Red Dolphin Seafoods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50" s="4" t="inlineStr">
        <is>
          <t>Open map</t>
        </is>
      </c>
      <c r="O50" s="2" t="inlineStr">
        <is>
          <t>Not contacted</t>
        </is>
      </c>
      <c r="P50" s="2" t="inlineStr"/>
      <c r="Q50" s="2" t="inlineStr"/>
      <c r="R50" s="2" t="inlineStr"/>
      <c r="S50" s="2" t="inlineStr"/>
    </row>
    <row r="51">
      <c r="A51" s="2" t="n">
        <v>50</v>
      </c>
      <c r="B51" s="3" t="inlineStr">
        <is>
          <t>HIGH</t>
        </is>
      </c>
      <c r="C51" s="2" t="inlineStr">
        <is>
          <t>No own website</t>
        </is>
      </c>
      <c r="D51" s="2" t="inlineStr">
        <is>
          <t>Yabby Road</t>
        </is>
      </c>
      <c r="E51" s="2" t="inlineStr">
        <is>
          <t>takeaway</t>
        </is>
      </c>
      <c r="F51" s="2" t="inlineStr">
        <is>
          <t>Brisbane</t>
        </is>
      </c>
      <c r="G51" s="2" t="inlineStr">
        <is>
          <t>Facebook</t>
        </is>
      </c>
      <c r="H51" s="2" t="inlineStr"/>
      <c r="I51" s="4" t="inlineStr">
        <is>
          <t>https://www.facebook.com/yabbeyroad/</t>
        </is>
      </c>
      <c r="J51" s="2" t="inlineStr">
        <is>
          <t>+61 499 922 239</t>
        </is>
      </c>
      <c r="K51" s="4" t="inlineStr">
        <is>
          <t>https://www.facebook.com/yabbeyroad/</t>
        </is>
      </c>
      <c r="L51" s="2" t="inlineStr">
        <is>
          <t>no real website (uses www.facebook.com)</t>
        </is>
      </c>
      <c r="M51" s="2" t="inlineStr">
        <is>
          <t>Hi Yabby Road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51" s="4" t="inlineStr">
        <is>
          <t>Open map</t>
        </is>
      </c>
      <c r="O51" s="2" t="inlineStr">
        <is>
          <t>Not contacted</t>
        </is>
      </c>
      <c r="P51" s="2" t="inlineStr"/>
      <c r="Q51" s="2" t="inlineStr"/>
      <c r="R51" s="2" t="inlineStr"/>
      <c r="S51" s="2" t="inlineStr"/>
    </row>
    <row r="52">
      <c r="A52" s="2" t="n">
        <v>51</v>
      </c>
      <c r="B52" s="3" t="inlineStr">
        <is>
          <t>HIGH</t>
        </is>
      </c>
      <c r="C52" s="2" t="inlineStr">
        <is>
          <t>No own website</t>
        </is>
      </c>
      <c r="D52" s="2" t="inlineStr">
        <is>
          <t>Mister Cuts Barber Shop</t>
        </is>
      </c>
      <c r="E52" s="2" t="inlineStr">
        <is>
          <t>barber or hairdresser</t>
        </is>
      </c>
      <c r="F52" s="2" t="inlineStr">
        <is>
          <t>Cairns</t>
        </is>
      </c>
      <c r="G52" s="2" t="inlineStr">
        <is>
          <t>Facebook</t>
        </is>
      </c>
      <c r="H52" s="2" t="inlineStr"/>
      <c r="I52" s="4" t="inlineStr">
        <is>
          <t>https://www.facebook.com/mistercutsbarbershopcairns</t>
        </is>
      </c>
      <c r="J52" s="2" t="inlineStr"/>
      <c r="K52" s="4" t="inlineStr">
        <is>
          <t>https://www.facebook.com/mistercutsbarbershopcairns</t>
        </is>
      </c>
      <c r="L52" s="2" t="inlineStr">
        <is>
          <t>no real website (uses www.facebook.com)</t>
        </is>
      </c>
      <c r="M52" s="2" t="inlineStr">
        <is>
          <t>Hi Mister Cuts Barber Shop team! [one real detail from their page]. We're AceAds, a web design studio. We noticed that when people in Cairns search for a hairdresser on Google, they only find your Facebook, not a website of your own. We'd be happy to make you a free preview of what a website could look like. Want one? No cost, no obligation.</t>
        </is>
      </c>
      <c r="N52" s="4" t="inlineStr">
        <is>
          <t>Open map</t>
        </is>
      </c>
      <c r="O52" s="2" t="inlineStr">
        <is>
          <t>Not contacted</t>
        </is>
      </c>
      <c r="P52" s="2" t="inlineStr"/>
      <c r="Q52" s="2" t="inlineStr"/>
      <c r="R52" s="2" t="inlineStr"/>
      <c r="S52" s="2" t="inlineStr"/>
    </row>
    <row r="53">
      <c r="A53" s="2" t="n">
        <v>52</v>
      </c>
      <c r="B53" s="3" t="inlineStr">
        <is>
          <t>HIGH</t>
        </is>
      </c>
      <c r="C53" s="2" t="inlineStr">
        <is>
          <t>No own website</t>
        </is>
      </c>
      <c r="D53" s="2" t="inlineStr">
        <is>
          <t>Mrs Delicious</t>
        </is>
      </c>
      <c r="E53" s="2" t="inlineStr">
        <is>
          <t>cafe</t>
        </is>
      </c>
      <c r="F53" s="2" t="inlineStr">
        <is>
          <t>Cairns</t>
        </is>
      </c>
      <c r="G53" s="2" t="inlineStr">
        <is>
          <t>Facebook</t>
        </is>
      </c>
      <c r="H53" s="2" t="inlineStr"/>
      <c r="I53" s="4" t="inlineStr">
        <is>
          <t>https://www.facebook.com/photo/?fbid=122113102580862715&amp;set=a.122095944620862715</t>
        </is>
      </c>
      <c r="J53" s="2" t="inlineStr"/>
      <c r="K53" s="4" t="inlineStr">
        <is>
          <t>https://www.facebook.com/photo/?fbid=122113102580862715&amp;set=a.122095944620862715</t>
        </is>
      </c>
      <c r="L53" s="2" t="inlineStr">
        <is>
          <t>no real website (uses www.facebook.com)</t>
        </is>
      </c>
      <c r="M53" s="2" t="inlineStr">
        <is>
          <t>Hi Mrs Delicious team! [one real detail from their page]. We're AceAds, a web design studio. We noticed that when people in Cairns search for a cafe on Google, they only find your Facebook, not a website of your own. We'd be happy to make you a free preview of what a website could look like. Want one? No cost, no obligation.</t>
        </is>
      </c>
      <c r="N53" s="4" t="inlineStr">
        <is>
          <t>Open map</t>
        </is>
      </c>
      <c r="O53" s="2" t="inlineStr">
        <is>
          <t>Not contacted</t>
        </is>
      </c>
      <c r="P53" s="2" t="inlineStr"/>
      <c r="Q53" s="2" t="inlineStr"/>
      <c r="R53" s="2" t="inlineStr"/>
      <c r="S53" s="2" t="inlineStr"/>
    </row>
    <row r="54">
      <c r="A54" s="2" t="n">
        <v>53</v>
      </c>
      <c r="B54" s="3" t="inlineStr">
        <is>
          <t>HIGH</t>
        </is>
      </c>
      <c r="C54" s="2" t="inlineStr">
        <is>
          <t>No own website</t>
        </is>
      </c>
      <c r="D54" s="2" t="inlineStr">
        <is>
          <t>BBQ Brothers</t>
        </is>
      </c>
      <c r="E54" s="2" t="inlineStr">
        <is>
          <t>restaurant</t>
        </is>
      </c>
      <c r="F54" s="2" t="inlineStr">
        <is>
          <t>Cairns</t>
        </is>
      </c>
      <c r="G54" s="2" t="inlineStr">
        <is>
          <t>Facebook</t>
        </is>
      </c>
      <c r="H54" s="2" t="inlineStr"/>
      <c r="I54" s="4" t="inlineStr">
        <is>
          <t>https://www.facebook.com/bbqbrothersaustralia</t>
        </is>
      </c>
      <c r="J54" s="2" t="inlineStr"/>
      <c r="K54" s="4" t="inlineStr">
        <is>
          <t>https://www.facebook.com/bbqbrothersaustralia</t>
        </is>
      </c>
      <c r="L54" s="2" t="inlineStr">
        <is>
          <t>no real website (uses www.facebook.com)</t>
        </is>
      </c>
      <c r="M54" s="2" t="inlineStr">
        <is>
          <t>Hi BBQ Brothers team! [one real detail from their page]. We're AceAds, a web design studio. We noticed that when people in Cairns search for a restaurant on Google, they only find your Facebook, not a website of your own. We'd be happy to make you a free preview of what a website could look like. Want one? No cost, no obligation.</t>
        </is>
      </c>
      <c r="N54" s="4" t="inlineStr">
        <is>
          <t>Open map</t>
        </is>
      </c>
      <c r="O54" s="2" t="inlineStr">
        <is>
          <t>Not contacted</t>
        </is>
      </c>
      <c r="P54" s="2" t="inlineStr"/>
      <c r="Q54" s="2" t="inlineStr"/>
      <c r="R54" s="2" t="inlineStr"/>
      <c r="S54" s="2" t="inlineStr"/>
    </row>
    <row r="55">
      <c r="A55" s="2" t="n">
        <v>54</v>
      </c>
      <c r="B55" s="3" t="inlineStr">
        <is>
          <t>HIGH</t>
        </is>
      </c>
      <c r="C55" s="2" t="inlineStr">
        <is>
          <t>No own website</t>
        </is>
      </c>
      <c r="D55" s="2" t="inlineStr">
        <is>
          <t>Ganbaranba</t>
        </is>
      </c>
      <c r="E55" s="2" t="inlineStr">
        <is>
          <t>restaurant</t>
        </is>
      </c>
      <c r="F55" s="2" t="inlineStr">
        <is>
          <t>Cairns</t>
        </is>
      </c>
      <c r="G55" s="2" t="inlineStr">
        <is>
          <t>Instagram</t>
        </is>
      </c>
      <c r="H55" s="4" t="inlineStr">
        <is>
          <t>https://www.instagram.com/cool_ganba</t>
        </is>
      </c>
      <c r="I55" s="2" t="inlineStr"/>
      <c r="J55" s="2" t="inlineStr"/>
      <c r="K55" s="4" t="inlineStr">
        <is>
          <t>https://www.instagram.com/cool_ganba/</t>
        </is>
      </c>
      <c r="L55" s="2" t="inlineStr">
        <is>
          <t>no real website (uses www.instagram.com)</t>
        </is>
      </c>
      <c r="M55" s="2" t="inlineStr">
        <is>
          <t>Hi Ganbaranba team! [one real detail from their page]. We're AceAds, a web design studio. We noticed that when people in Cairns search for a restaurant on Google, they only find your Instagram, not a website of your own. We'd be happy to make you a free preview of what a website could look like. Want one? No cost, no obligation.</t>
        </is>
      </c>
      <c r="N55" s="4" t="inlineStr">
        <is>
          <t>Open map</t>
        </is>
      </c>
      <c r="O55" s="2" t="inlineStr">
        <is>
          <t>Not contacted</t>
        </is>
      </c>
      <c r="P55" s="2" t="inlineStr"/>
      <c r="Q55" s="2" t="inlineStr"/>
      <c r="R55" s="2" t="inlineStr"/>
      <c r="S55" s="2" t="inlineStr"/>
    </row>
    <row r="56">
      <c r="A56" s="2" t="n">
        <v>55</v>
      </c>
      <c r="B56" s="3" t="inlineStr">
        <is>
          <t>HIGH</t>
        </is>
      </c>
      <c r="C56" s="2" t="inlineStr">
        <is>
          <t>No own website</t>
        </is>
      </c>
      <c r="D56" s="2" t="inlineStr">
        <is>
          <t>Sushi Roll King</t>
        </is>
      </c>
      <c r="E56" s="2" t="inlineStr">
        <is>
          <t>restaurant</t>
        </is>
      </c>
      <c r="F56" s="2" t="inlineStr">
        <is>
          <t>Cairns</t>
        </is>
      </c>
      <c r="G56" s="2" t="inlineStr">
        <is>
          <t>Facebook</t>
        </is>
      </c>
      <c r="H56" s="2" t="inlineStr"/>
      <c r="I56" s="4" t="inlineStr">
        <is>
          <t>https://www.facebook.com/Sushi-Rollking-Sheridan-869079169913894/?notify_field=hours&amp;modal=profile_completion</t>
        </is>
      </c>
      <c r="J56" s="2" t="inlineStr">
        <is>
          <t>+61 490 251 556</t>
        </is>
      </c>
      <c r="K56" s="4" t="inlineStr">
        <is>
          <t>https://www.facebook.com/Sushi-Rollking-Sheridan-869079169913894/?notify_field=hours&amp;modal=profile_completion</t>
        </is>
      </c>
      <c r="L56" s="2" t="inlineStr">
        <is>
          <t>no real website (uses www.facebook.com)</t>
        </is>
      </c>
      <c r="M56" s="2" t="inlineStr">
        <is>
          <t>Hi Sushi Roll King team! [one real detail from their page]. We're AceAds, a web design studio. We noticed that when people in Cairns search for a restaurant on Google, they only find your Facebook, not a website of your own. We'd be happy to make you a free preview of what a website could look like. Want one? No cost, no obligation.</t>
        </is>
      </c>
      <c r="N56" s="4" t="inlineStr">
        <is>
          <t>Open map</t>
        </is>
      </c>
      <c r="O56" s="2" t="inlineStr">
        <is>
          <t>Not contacted</t>
        </is>
      </c>
      <c r="P56" s="2" t="inlineStr"/>
      <c r="Q56" s="2" t="inlineStr"/>
      <c r="R56" s="2" t="inlineStr"/>
      <c r="S56" s="2" t="inlineStr"/>
    </row>
    <row r="57">
      <c r="A57" s="2" t="n">
        <v>56</v>
      </c>
      <c r="B57" s="3" t="inlineStr">
        <is>
          <t>HIGH</t>
        </is>
      </c>
      <c r="C57" s="2" t="inlineStr">
        <is>
          <t>No own website</t>
        </is>
      </c>
      <c r="D57" s="2" t="inlineStr">
        <is>
          <t>Art Taste Cafe</t>
        </is>
      </c>
      <c r="E57" s="2" t="inlineStr">
        <is>
          <t>bakery</t>
        </is>
      </c>
      <c r="F57" s="2" t="inlineStr">
        <is>
          <t>Gold Coast</t>
        </is>
      </c>
      <c r="G57" s="2" t="inlineStr">
        <is>
          <t>Facebook</t>
        </is>
      </c>
      <c r="H57" s="2" t="inlineStr"/>
      <c r="I57" s="4" t="inlineStr">
        <is>
          <t>https://www.facebook.com/Arttastecaferobina/</t>
        </is>
      </c>
      <c r="J57" s="2" t="inlineStr">
        <is>
          <t>+61 7 5580 8609</t>
        </is>
      </c>
      <c r="K57" s="4" t="inlineStr">
        <is>
          <t>https://www.facebook.com/Arttastecaferobina/</t>
        </is>
      </c>
      <c r="L57" s="2" t="inlineStr">
        <is>
          <t>no real website (uses www.facebook.com)</t>
        </is>
      </c>
      <c r="M57" s="2" t="inlineStr">
        <is>
          <t>Hi Art Taste Cafe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7" s="4" t="inlineStr">
        <is>
          <t>Open map</t>
        </is>
      </c>
      <c r="O57" s="2" t="inlineStr">
        <is>
          <t>Not contacted</t>
        </is>
      </c>
      <c r="P57" s="2" t="inlineStr"/>
      <c r="Q57" s="2" t="inlineStr"/>
      <c r="R57" s="2" t="inlineStr"/>
      <c r="S57" s="2" t="inlineStr"/>
    </row>
    <row r="58">
      <c r="A58" s="2" t="n">
        <v>57</v>
      </c>
      <c r="B58" s="3" t="inlineStr">
        <is>
          <t>HIGH</t>
        </is>
      </c>
      <c r="C58" s="2" t="inlineStr">
        <is>
          <t>No own website</t>
        </is>
      </c>
      <c r="D58" s="2" t="inlineStr">
        <is>
          <t>Kirra Beach Bakery</t>
        </is>
      </c>
      <c r="E58" s="2" t="inlineStr">
        <is>
          <t>bakery</t>
        </is>
      </c>
      <c r="F58" s="2" t="inlineStr">
        <is>
          <t>Gold Coast</t>
        </is>
      </c>
      <c r="G58" s="2" t="inlineStr">
        <is>
          <t>Facebook</t>
        </is>
      </c>
      <c r="H58" s="2" t="inlineStr"/>
      <c r="I58" s="4" t="inlineStr">
        <is>
          <t>https://www.facebook.com/kirrabeachbakery/</t>
        </is>
      </c>
      <c r="J58" s="2" t="inlineStr">
        <is>
          <t>+61 7 5536 5358</t>
        </is>
      </c>
      <c r="K58" s="4" t="inlineStr">
        <is>
          <t>https://www.facebook.com/kirrabeachbakery/</t>
        </is>
      </c>
      <c r="L58" s="2" t="inlineStr">
        <is>
          <t>no real website (uses www.facebook.com)</t>
        </is>
      </c>
      <c r="M58" s="2" t="inlineStr">
        <is>
          <t>Hi Kirra Beach Bakery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8" s="4" t="inlineStr">
        <is>
          <t>Open map</t>
        </is>
      </c>
      <c r="O58" s="2" t="inlineStr">
        <is>
          <t>Not contacted</t>
        </is>
      </c>
      <c r="P58" s="2" t="inlineStr"/>
      <c r="Q58" s="2" t="inlineStr"/>
      <c r="R58" s="2" t="inlineStr"/>
      <c r="S58" s="2" t="inlineStr"/>
    </row>
    <row r="59">
      <c r="A59" s="2" t="n">
        <v>58</v>
      </c>
      <c r="B59" s="3" t="inlineStr">
        <is>
          <t>HIGH</t>
        </is>
      </c>
      <c r="C59" s="2" t="inlineStr">
        <is>
          <t>No own website</t>
        </is>
      </c>
      <c r="D59" s="2" t="inlineStr">
        <is>
          <t>Pie Pie</t>
        </is>
      </c>
      <c r="E59" s="2" t="inlineStr">
        <is>
          <t>bakery</t>
        </is>
      </c>
      <c r="F59" s="2" t="inlineStr">
        <is>
          <t>Gold Coast</t>
        </is>
      </c>
      <c r="G59" s="2" t="inlineStr">
        <is>
          <t>Facebook</t>
        </is>
      </c>
      <c r="H59" s="2" t="inlineStr"/>
      <c r="I59" s="4" t="inlineStr">
        <is>
          <t>https://www.facebook.com/piepieburleigh</t>
        </is>
      </c>
      <c r="J59" s="2" t="inlineStr">
        <is>
          <t>+61 7 3103 3503</t>
        </is>
      </c>
      <c r="K59" s="4" t="inlineStr">
        <is>
          <t>https://www.facebook.com/piepieburleigh</t>
        </is>
      </c>
      <c r="L59" s="2" t="inlineStr">
        <is>
          <t>no real website (uses www.facebook.com)</t>
        </is>
      </c>
      <c r="M59" s="2" t="inlineStr">
        <is>
          <t>Hi Pie Pie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9" s="4" t="inlineStr">
        <is>
          <t>Open map</t>
        </is>
      </c>
      <c r="O59" s="2" t="inlineStr">
        <is>
          <t>Not contacted</t>
        </is>
      </c>
      <c r="P59" s="2" t="inlineStr"/>
      <c r="Q59" s="2" t="inlineStr"/>
      <c r="R59" s="2" t="inlineStr"/>
      <c r="S59" s="2" t="inlineStr"/>
    </row>
    <row r="60">
      <c r="A60" s="2" t="n">
        <v>59</v>
      </c>
      <c r="B60" s="3" t="inlineStr">
        <is>
          <t>HIGH</t>
        </is>
      </c>
      <c r="C60" s="2" t="inlineStr">
        <is>
          <t>No own website</t>
        </is>
      </c>
      <c r="D60" s="2" t="inlineStr">
        <is>
          <t>BarberLife</t>
        </is>
      </c>
      <c r="E60" s="2" t="inlineStr">
        <is>
          <t>barber or hairdresser</t>
        </is>
      </c>
      <c r="F60" s="2" t="inlineStr">
        <is>
          <t>Gold Coast</t>
        </is>
      </c>
      <c r="G60" s="2" t="inlineStr">
        <is>
          <t>Facebook</t>
        </is>
      </c>
      <c r="H60" s="2" t="inlineStr"/>
      <c r="I60" s="4" t="inlineStr">
        <is>
          <t>https://www.facebook.com/varsity4227/</t>
        </is>
      </c>
      <c r="J60" s="2" t="inlineStr">
        <is>
          <t>+61 423 663 425</t>
        </is>
      </c>
      <c r="K60" s="4" t="inlineStr">
        <is>
          <t>https://www.facebook.com/varsity4227/</t>
        </is>
      </c>
      <c r="L60" s="2" t="inlineStr">
        <is>
          <t>no real website (uses www.facebook.com)</t>
        </is>
      </c>
      <c r="M60" s="2" t="inlineStr">
        <is>
          <t>Hi BarberLife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60" s="4" t="inlineStr">
        <is>
          <t>Open map</t>
        </is>
      </c>
      <c r="O60" s="2" t="inlineStr">
        <is>
          <t>Not contacted</t>
        </is>
      </c>
      <c r="P60" s="2" t="inlineStr"/>
      <c r="Q60" s="2" t="inlineStr"/>
      <c r="R60" s="2" t="inlineStr"/>
      <c r="S60" s="2" t="inlineStr"/>
    </row>
    <row r="61">
      <c r="A61" s="2" t="n">
        <v>60</v>
      </c>
      <c r="B61" s="3" t="inlineStr">
        <is>
          <t>HIGH</t>
        </is>
      </c>
      <c r="C61" s="2" t="inlineStr">
        <is>
          <t>No own website</t>
        </is>
      </c>
      <c r="D61" s="2" t="inlineStr">
        <is>
          <t>DMH Palm Beach</t>
        </is>
      </c>
      <c r="E61" s="2" t="inlineStr">
        <is>
          <t>barber or hairdresser</t>
        </is>
      </c>
      <c r="F61" s="2" t="inlineStr">
        <is>
          <t>Gold Coast</t>
        </is>
      </c>
      <c r="G61" s="2" t="inlineStr">
        <is>
          <t>Facebook</t>
        </is>
      </c>
      <c r="H61" s="2" t="inlineStr"/>
      <c r="I61" s="4" t="inlineStr">
        <is>
          <t>https://www.facebook.com/DMHPalmBeach/</t>
        </is>
      </c>
      <c r="J61" s="2" t="inlineStr">
        <is>
          <t>+61 405 801 224</t>
        </is>
      </c>
      <c r="K61" s="4" t="inlineStr">
        <is>
          <t>https://www.facebook.com/DMHPalmBeach/</t>
        </is>
      </c>
      <c r="L61" s="2" t="inlineStr">
        <is>
          <t>no real website (uses www.facebook.com)</t>
        </is>
      </c>
      <c r="M61" s="2" t="inlineStr">
        <is>
          <t>Hi DMH Palm Beach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61" s="4" t="inlineStr">
        <is>
          <t>Open map</t>
        </is>
      </c>
      <c r="O61" s="2" t="inlineStr">
        <is>
          <t>Not contacted</t>
        </is>
      </c>
      <c r="P61" s="2" t="inlineStr"/>
      <c r="Q61" s="2" t="inlineStr"/>
      <c r="R61" s="2" t="inlineStr"/>
      <c r="S61" s="2" t="inlineStr"/>
    </row>
    <row r="62">
      <c r="A62" s="2" t="n">
        <v>61</v>
      </c>
      <c r="B62" s="3" t="inlineStr">
        <is>
          <t>HIGH</t>
        </is>
      </c>
      <c r="C62" s="2" t="inlineStr">
        <is>
          <t>No own website</t>
        </is>
      </c>
      <c r="D62" s="2" t="inlineStr">
        <is>
          <t>First Wave Hair</t>
        </is>
      </c>
      <c r="E62" s="2" t="inlineStr">
        <is>
          <t>barber or hairdresser</t>
        </is>
      </c>
      <c r="F62" s="2" t="inlineStr">
        <is>
          <t>Gold Coast</t>
        </is>
      </c>
      <c r="G62" s="2" t="inlineStr">
        <is>
          <t>Facebook</t>
        </is>
      </c>
      <c r="H62" s="2" t="inlineStr"/>
      <c r="I62" s="4" t="inlineStr">
        <is>
          <t>https://www.facebook.com/Firstwave-Hair-Salon-Tugun-1473721922922601/</t>
        </is>
      </c>
      <c r="J62" s="2" t="inlineStr">
        <is>
          <t>+61 7 5534 3036</t>
        </is>
      </c>
      <c r="K62" s="4" t="inlineStr">
        <is>
          <t>https://www.facebook.com/Firstwave-Hair-Salon-Tugun-1473721922922601/</t>
        </is>
      </c>
      <c r="L62" s="2" t="inlineStr">
        <is>
          <t>no real website (uses www.facebook.com)</t>
        </is>
      </c>
      <c r="M62" s="2" t="inlineStr">
        <is>
          <t>Hi First Wave Hair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62" s="4" t="inlineStr">
        <is>
          <t>Open map</t>
        </is>
      </c>
      <c r="O62" s="2" t="inlineStr">
        <is>
          <t>Not contacted</t>
        </is>
      </c>
      <c r="P62" s="2" t="inlineStr"/>
      <c r="Q62" s="2" t="inlineStr"/>
      <c r="R62" s="2" t="inlineStr"/>
      <c r="S62" s="2" t="inlineStr"/>
    </row>
    <row r="63">
      <c r="A63" s="2" t="n">
        <v>62</v>
      </c>
      <c r="B63" s="3" t="inlineStr">
        <is>
          <t>HIGH</t>
        </is>
      </c>
      <c r="C63" s="2" t="inlineStr">
        <is>
          <t>No own website</t>
        </is>
      </c>
      <c r="D63" s="2" t="inlineStr">
        <is>
          <t>Vanity Beauty Services</t>
        </is>
      </c>
      <c r="E63" s="2" t="inlineStr">
        <is>
          <t>beauty salon</t>
        </is>
      </c>
      <c r="F63" s="2" t="inlineStr">
        <is>
          <t>Gold Coast</t>
        </is>
      </c>
      <c r="G63" s="2" t="inlineStr">
        <is>
          <t>Facebook</t>
        </is>
      </c>
      <c r="H63" s="2" t="inlineStr"/>
      <c r="I63" s="4" t="inlineStr">
        <is>
          <t>https://www.facebook.com/vanitybeautyservices/</t>
        </is>
      </c>
      <c r="J63" s="2" t="inlineStr">
        <is>
          <t>+61 422 226 410</t>
        </is>
      </c>
      <c r="K63" s="4" t="inlineStr">
        <is>
          <t>https://www.facebook.com/vanitybeautyservices/</t>
        </is>
      </c>
      <c r="L63" s="2" t="inlineStr">
        <is>
          <t>no real website (uses www.facebook.com)</t>
        </is>
      </c>
      <c r="M63" s="2" t="inlineStr">
        <is>
          <t>Hi Vanity Beauty Services team! [one real detail from their page]. We're AceAds, a web design studio. We noticed that when people in Gold Coast search for a beauty salon on Google, they only find your Facebook, not a website of your own. We'd be happy to make you a free preview of what a website could look like. Want one? No cost, no obligation.</t>
        </is>
      </c>
      <c r="N63" s="4" t="inlineStr">
        <is>
          <t>Open map</t>
        </is>
      </c>
      <c r="O63" s="2" t="inlineStr">
        <is>
          <t>Not contacted</t>
        </is>
      </c>
      <c r="P63" s="2" t="inlineStr"/>
      <c r="Q63" s="2" t="inlineStr"/>
      <c r="R63" s="2" t="inlineStr"/>
      <c r="S63" s="2" t="inlineStr"/>
    </row>
    <row r="64">
      <c r="A64" s="2" t="n">
        <v>63</v>
      </c>
      <c r="B64" s="3" t="inlineStr">
        <is>
          <t>HIGH</t>
        </is>
      </c>
      <c r="C64" s="2" t="inlineStr">
        <is>
          <t>No own website</t>
        </is>
      </c>
      <c r="D64" s="2" t="inlineStr">
        <is>
          <t>Sea Wish</t>
        </is>
      </c>
      <c r="E64" s="2" t="inlineStr">
        <is>
          <t>boutique</t>
        </is>
      </c>
      <c r="F64" s="2" t="inlineStr">
        <is>
          <t>Gold Coast</t>
        </is>
      </c>
      <c r="G64" s="2" t="inlineStr">
        <is>
          <t>Facebook</t>
        </is>
      </c>
      <c r="H64" s="2" t="inlineStr"/>
      <c r="I64" s="4" t="inlineStr">
        <is>
          <t>https://m.facebook.com/SeaWishShop/</t>
        </is>
      </c>
      <c r="J64" s="2" t="inlineStr">
        <is>
          <t>+61 7 5536 3888</t>
        </is>
      </c>
      <c r="K64" s="4" t="inlineStr">
        <is>
          <t>https://m.facebook.com/SeaWishShop/</t>
        </is>
      </c>
      <c r="L64" s="2" t="inlineStr">
        <is>
          <t>no real website (uses m.facebook.com)</t>
        </is>
      </c>
      <c r="M64" s="2" t="inlineStr">
        <is>
          <t>Hi Sea Wish team! [one real detail from their page]. We're AceAds, a web design studio. We noticed that when people in Gold Coast search for a boutique on Google, they only find your Facebook, not a website of your own. We'd be happy to make you a free preview of what a website could look like. Want one? No cost, no obligation.</t>
        </is>
      </c>
      <c r="N64" s="4" t="inlineStr">
        <is>
          <t>Open map</t>
        </is>
      </c>
      <c r="O64" s="2" t="inlineStr">
        <is>
          <t>Not contacted</t>
        </is>
      </c>
      <c r="P64" s="2" t="inlineStr"/>
      <c r="Q64" s="2" t="inlineStr"/>
      <c r="R64" s="2" t="inlineStr"/>
      <c r="S64" s="2" t="inlineStr"/>
    </row>
    <row r="65">
      <c r="A65" s="2" t="n">
        <v>64</v>
      </c>
      <c r="B65" s="3" t="inlineStr">
        <is>
          <t>HIGH</t>
        </is>
      </c>
      <c r="C65" s="2" t="inlineStr">
        <is>
          <t>No own website</t>
        </is>
      </c>
      <c r="D65" s="2" t="inlineStr">
        <is>
          <t>Burleigh Beach Kiosk</t>
        </is>
      </c>
      <c r="E65" s="2" t="inlineStr">
        <is>
          <t>cafe</t>
        </is>
      </c>
      <c r="F65" s="2" t="inlineStr">
        <is>
          <t>Gold Coast</t>
        </is>
      </c>
      <c r="G65" s="2" t="inlineStr">
        <is>
          <t>Facebook</t>
        </is>
      </c>
      <c r="H65" s="2" t="inlineStr"/>
      <c r="I65" s="4" t="inlineStr">
        <is>
          <t>https://www.facebook.com/burleighbeachkiosk</t>
        </is>
      </c>
      <c r="J65" s="2" t="inlineStr">
        <is>
          <t>+61 7 5520 2972</t>
        </is>
      </c>
      <c r="K65" s="4" t="inlineStr">
        <is>
          <t>https://www.facebook.com/burleighbeachkiosk</t>
        </is>
      </c>
      <c r="L65" s="2" t="inlineStr">
        <is>
          <t>no real website (uses www.facebook.com)</t>
        </is>
      </c>
      <c r="M65" s="2" t="inlineStr">
        <is>
          <t>Hi Burleigh Beach Kiosk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5" s="4" t="inlineStr">
        <is>
          <t>Open map</t>
        </is>
      </c>
      <c r="O65" s="2" t="inlineStr">
        <is>
          <t>Not contacted</t>
        </is>
      </c>
      <c r="P65" s="2" t="inlineStr"/>
      <c r="Q65" s="2" t="inlineStr"/>
      <c r="R65" s="2" t="inlineStr"/>
      <c r="S65" s="2" t="inlineStr"/>
    </row>
    <row r="66">
      <c r="A66" s="2" t="n">
        <v>65</v>
      </c>
      <c r="B66" s="3" t="inlineStr">
        <is>
          <t>HIGH</t>
        </is>
      </c>
      <c r="C66" s="2" t="inlineStr">
        <is>
          <t>No own website</t>
        </is>
      </c>
      <c r="D66" s="2" t="inlineStr">
        <is>
          <t>Cafe 1291</t>
        </is>
      </c>
      <c r="E66" s="2" t="inlineStr">
        <is>
          <t>cafe</t>
        </is>
      </c>
      <c r="F66" s="2" t="inlineStr">
        <is>
          <t>Gold Coast</t>
        </is>
      </c>
      <c r="G66" s="2" t="inlineStr">
        <is>
          <t>Facebook</t>
        </is>
      </c>
      <c r="H66" s="2" t="inlineStr"/>
      <c r="I66" s="4" t="inlineStr">
        <is>
          <t>https://www.facebook.com/Cafetwelve91/</t>
        </is>
      </c>
      <c r="J66" s="2" t="inlineStr">
        <is>
          <t>+61 427 883 742</t>
        </is>
      </c>
      <c r="K66" s="4" t="inlineStr">
        <is>
          <t>https://www.facebook.com/Cafetwelve91/</t>
        </is>
      </c>
      <c r="L66" s="2" t="inlineStr">
        <is>
          <t>no real website (uses www.facebook.com)</t>
        </is>
      </c>
      <c r="M66" s="2" t="inlineStr">
        <is>
          <t>Hi Cafe 1291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6" s="4" t="inlineStr">
        <is>
          <t>Open map</t>
        </is>
      </c>
      <c r="O66" s="2" t="inlineStr">
        <is>
          <t>Not contacted</t>
        </is>
      </c>
      <c r="P66" s="2" t="inlineStr"/>
      <c r="Q66" s="2" t="inlineStr"/>
      <c r="R66" s="2" t="inlineStr"/>
      <c r="S66" s="2" t="inlineStr"/>
    </row>
    <row r="67">
      <c r="A67" s="2" t="n">
        <v>66</v>
      </c>
      <c r="B67" s="3" t="inlineStr">
        <is>
          <t>HIGH</t>
        </is>
      </c>
      <c r="C67" s="2" t="inlineStr">
        <is>
          <t>No own website</t>
        </is>
      </c>
      <c r="D67" s="2" t="inlineStr">
        <is>
          <t>Cafe Kirra</t>
        </is>
      </c>
      <c r="E67" s="2" t="inlineStr">
        <is>
          <t>cafe</t>
        </is>
      </c>
      <c r="F67" s="2" t="inlineStr">
        <is>
          <t>Gold Coast</t>
        </is>
      </c>
      <c r="G67" s="2" t="inlineStr">
        <is>
          <t>Facebook</t>
        </is>
      </c>
      <c r="H67" s="2" t="inlineStr"/>
      <c r="I67" s="4" t="inlineStr">
        <is>
          <t>https://www.facebook.com/cafekirra/</t>
        </is>
      </c>
      <c r="J67" s="2" t="inlineStr">
        <is>
          <t>+61 7 5536 2614</t>
        </is>
      </c>
      <c r="K67" s="4" t="inlineStr">
        <is>
          <t>https://www.facebook.com/cafekirra/</t>
        </is>
      </c>
      <c r="L67" s="2" t="inlineStr">
        <is>
          <t>no real website (uses www.facebook.com)</t>
        </is>
      </c>
      <c r="M67" s="2" t="inlineStr">
        <is>
          <t>Hi Cafe Kirra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7" s="4" t="inlineStr">
        <is>
          <t>Open map</t>
        </is>
      </c>
      <c r="O67" s="2" t="inlineStr">
        <is>
          <t>Not contacted</t>
        </is>
      </c>
      <c r="P67" s="2" t="inlineStr"/>
      <c r="Q67" s="2" t="inlineStr"/>
      <c r="R67" s="2" t="inlineStr"/>
      <c r="S67" s="2" t="inlineStr"/>
    </row>
    <row r="68">
      <c r="A68" s="2" t="n">
        <v>67</v>
      </c>
      <c r="B68" s="3" t="inlineStr">
        <is>
          <t>HIGH</t>
        </is>
      </c>
      <c r="C68" s="2" t="inlineStr">
        <is>
          <t>No own website</t>
        </is>
      </c>
      <c r="D68" s="2" t="inlineStr">
        <is>
          <t>Elephant Grounds Cafe</t>
        </is>
      </c>
      <c r="E68" s="2" t="inlineStr">
        <is>
          <t>cafe</t>
        </is>
      </c>
      <c r="F68" s="2" t="inlineStr">
        <is>
          <t>Gold Coast</t>
        </is>
      </c>
      <c r="G68" s="2" t="inlineStr">
        <is>
          <t>Facebook</t>
        </is>
      </c>
      <c r="H68" s="2" t="inlineStr"/>
      <c r="I68" s="4" t="inlineStr">
        <is>
          <t>https://www.facebook.com/Elephant-Grounds-552246915107742/</t>
        </is>
      </c>
      <c r="J68" s="2" t="inlineStr">
        <is>
          <t>+61 419 782 640</t>
        </is>
      </c>
      <c r="K68" s="4" t="inlineStr">
        <is>
          <t>https://www.facebook.com/Elephant-Grounds-552246915107742/</t>
        </is>
      </c>
      <c r="L68" s="2" t="inlineStr">
        <is>
          <t>no real website (uses www.facebook.com)</t>
        </is>
      </c>
      <c r="M68" s="2" t="inlineStr">
        <is>
          <t>Hi Elephant Grounds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8" s="4" t="inlineStr">
        <is>
          <t>Open map</t>
        </is>
      </c>
      <c r="O68" s="2" t="inlineStr">
        <is>
          <t>Not contacted</t>
        </is>
      </c>
      <c r="P68" s="2" t="inlineStr"/>
      <c r="Q68" s="2" t="inlineStr"/>
      <c r="R68" s="2" t="inlineStr"/>
      <c r="S68" s="2" t="inlineStr"/>
    </row>
    <row r="69">
      <c r="A69" s="2" t="n">
        <v>68</v>
      </c>
      <c r="B69" s="3" t="inlineStr">
        <is>
          <t>HIGH</t>
        </is>
      </c>
      <c r="C69" s="2" t="inlineStr">
        <is>
          <t>No own website</t>
        </is>
      </c>
      <c r="D69" s="2" t="inlineStr">
        <is>
          <t>Good Day Coffee</t>
        </is>
      </c>
      <c r="E69" s="2" t="inlineStr">
        <is>
          <t>cafe</t>
        </is>
      </c>
      <c r="F69" s="2" t="inlineStr">
        <is>
          <t>Gold Coast</t>
        </is>
      </c>
      <c r="G69" s="2" t="inlineStr">
        <is>
          <t>Instagram</t>
        </is>
      </c>
      <c r="H69" s="4" t="inlineStr">
        <is>
          <t>https://www.instagram.com/gooddaycoffee/?hl=en</t>
        </is>
      </c>
      <c r="I69" s="2" t="inlineStr"/>
      <c r="J69" s="2" t="inlineStr"/>
      <c r="K69" s="4" t="inlineStr">
        <is>
          <t>https://www.instagram.com/gooddaycoffee/?hl=en</t>
        </is>
      </c>
      <c r="L69" s="2" t="inlineStr">
        <is>
          <t>no real website (uses www.instagram.com)</t>
        </is>
      </c>
      <c r="M69" s="2" t="inlineStr">
        <is>
          <t>Hi Good Day Coffee team! [one real detail from their page]. We're AceAds, a web design studio. We noticed that when people in Gold Coast search for a cafe on Google, they only find your Instagram, not a website of your own. We'd be happy to make you a free preview of what a website could look like. Want one? No cost, no obligation.</t>
        </is>
      </c>
      <c r="N69" s="4" t="inlineStr">
        <is>
          <t>Open map</t>
        </is>
      </c>
      <c r="O69" s="2" t="inlineStr">
        <is>
          <t>Not contacted</t>
        </is>
      </c>
      <c r="P69" s="2" t="inlineStr"/>
      <c r="Q69" s="2" t="inlineStr"/>
      <c r="R69" s="2" t="inlineStr"/>
      <c r="S69" s="2" t="inlineStr"/>
    </row>
    <row r="70">
      <c r="A70" s="2" t="n">
        <v>69</v>
      </c>
      <c r="B70" s="3" t="inlineStr">
        <is>
          <t>HIGH</t>
        </is>
      </c>
      <c r="C70" s="2" t="inlineStr">
        <is>
          <t>No own website</t>
        </is>
      </c>
      <c r="D70" s="2" t="inlineStr">
        <is>
          <t>Los Vegos</t>
        </is>
      </c>
      <c r="E70" s="2" t="inlineStr">
        <is>
          <t>cafe</t>
        </is>
      </c>
      <c r="F70" s="2" t="inlineStr">
        <is>
          <t>Gold Coast</t>
        </is>
      </c>
      <c r="G70" s="2" t="inlineStr">
        <is>
          <t>Facebook</t>
        </is>
      </c>
      <c r="H70" s="2" t="inlineStr"/>
      <c r="I70" s="4" t="inlineStr">
        <is>
          <t>https://www.facebook.com/Los-Vegos-Coolangatta-853780404959832/</t>
        </is>
      </c>
      <c r="J70" s="2" t="inlineStr">
        <is>
          <t>+61 7 5599 3560</t>
        </is>
      </c>
      <c r="K70" s="4" t="inlineStr">
        <is>
          <t>https://www.facebook.com/Los-Vegos-Coolangatta-853780404959832/</t>
        </is>
      </c>
      <c r="L70" s="2" t="inlineStr">
        <is>
          <t>no real website (uses www.facebook.com)</t>
        </is>
      </c>
      <c r="M70" s="2" t="inlineStr">
        <is>
          <t>Hi Los Vegos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0" s="4" t="inlineStr">
        <is>
          <t>Open map</t>
        </is>
      </c>
      <c r="O70" s="2" t="inlineStr">
        <is>
          <t>Not contacted</t>
        </is>
      </c>
      <c r="P70" s="2" t="inlineStr"/>
      <c r="Q70" s="2" t="inlineStr"/>
      <c r="R70" s="2" t="inlineStr"/>
      <c r="S70" s="2" t="inlineStr"/>
    </row>
    <row r="71">
      <c r="A71" s="2" t="n">
        <v>70</v>
      </c>
      <c r="B71" s="3" t="inlineStr">
        <is>
          <t>HIGH</t>
        </is>
      </c>
      <c r="C71" s="2" t="inlineStr">
        <is>
          <t>No own website</t>
        </is>
      </c>
      <c r="D71" s="2" t="inlineStr">
        <is>
          <t>Mokacino's Cafe</t>
        </is>
      </c>
      <c r="E71" s="2" t="inlineStr">
        <is>
          <t>cafe</t>
        </is>
      </c>
      <c r="F71" s="2" t="inlineStr">
        <is>
          <t>Gold Coast</t>
        </is>
      </c>
      <c r="G71" s="2" t="inlineStr">
        <is>
          <t>Facebook</t>
        </is>
      </c>
      <c r="H71" s="2" t="inlineStr"/>
      <c r="I71" s="4" t="inlineStr">
        <is>
          <t>https://www.facebook.com/Mokacinos/</t>
        </is>
      </c>
      <c r="J71" s="2" t="inlineStr">
        <is>
          <t>+61 401 993 633</t>
        </is>
      </c>
      <c r="K71" s="4" t="inlineStr">
        <is>
          <t>https://www.facebook.com/Mokacinos/</t>
        </is>
      </c>
      <c r="L71" s="2" t="inlineStr">
        <is>
          <t>no real website (uses www.facebook.com)</t>
        </is>
      </c>
      <c r="M71" s="2" t="inlineStr">
        <is>
          <t>Hi Mokacino's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1" s="4" t="inlineStr">
        <is>
          <t>Open map</t>
        </is>
      </c>
      <c r="O71" s="2" t="inlineStr">
        <is>
          <t>Not contacted</t>
        </is>
      </c>
      <c r="P71" s="2" t="inlineStr"/>
      <c r="Q71" s="2" t="inlineStr"/>
      <c r="R71" s="2" t="inlineStr"/>
      <c r="S71" s="2" t="inlineStr"/>
    </row>
    <row r="72">
      <c r="A72" s="2" t="n">
        <v>71</v>
      </c>
      <c r="B72" s="3" t="inlineStr">
        <is>
          <t>HIGH</t>
        </is>
      </c>
      <c r="C72" s="2" t="inlineStr">
        <is>
          <t>No own website</t>
        </is>
      </c>
      <c r="D72" s="2" t="inlineStr">
        <is>
          <t>Old Paris Cafe</t>
        </is>
      </c>
      <c r="E72" s="2" t="inlineStr">
        <is>
          <t>cafe</t>
        </is>
      </c>
      <c r="F72" s="2" t="inlineStr">
        <is>
          <t>Gold Coast</t>
        </is>
      </c>
      <c r="G72" s="2" t="inlineStr">
        <is>
          <t>Facebook</t>
        </is>
      </c>
      <c r="H72" s="2" t="inlineStr"/>
      <c r="I72" s="4" t="inlineStr">
        <is>
          <t>https://www.facebook.com/oldparisvarsity/</t>
        </is>
      </c>
      <c r="J72" s="2" t="inlineStr">
        <is>
          <t>+61 7 5636 7477</t>
        </is>
      </c>
      <c r="K72" s="4" t="inlineStr">
        <is>
          <t>https://www.facebook.com/oldparisvarsity/</t>
        </is>
      </c>
      <c r="L72" s="2" t="inlineStr">
        <is>
          <t>no real website (uses www.facebook.com)</t>
        </is>
      </c>
      <c r="M72" s="2" t="inlineStr">
        <is>
          <t>Hi Old Paris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2" s="4" t="inlineStr">
        <is>
          <t>Open map</t>
        </is>
      </c>
      <c r="O72" s="2" t="inlineStr">
        <is>
          <t>Not contacted</t>
        </is>
      </c>
      <c r="P72" s="2" t="inlineStr"/>
      <c r="Q72" s="2" t="inlineStr"/>
      <c r="R72" s="2" t="inlineStr"/>
      <c r="S72" s="2" t="inlineStr"/>
    </row>
    <row r="73">
      <c r="A73" s="2" t="n">
        <v>72</v>
      </c>
      <c r="B73" s="3" t="inlineStr">
        <is>
          <t>HIGH</t>
        </is>
      </c>
      <c r="C73" s="2" t="inlineStr">
        <is>
          <t>No own website</t>
        </is>
      </c>
      <c r="D73" s="2" t="inlineStr">
        <is>
          <t>Seaway Kiosk</t>
        </is>
      </c>
      <c r="E73" s="2" t="inlineStr">
        <is>
          <t>cafe</t>
        </is>
      </c>
      <c r="F73" s="2" t="inlineStr">
        <is>
          <t>Gold Coast</t>
        </is>
      </c>
      <c r="G73" s="2" t="inlineStr">
        <is>
          <t>Facebook</t>
        </is>
      </c>
      <c r="H73" s="2" t="inlineStr"/>
      <c r="I73" s="4" t="inlineStr">
        <is>
          <t>https://www.facebook.com/seawaykioskandjetty/</t>
        </is>
      </c>
      <c r="J73" s="2" t="inlineStr">
        <is>
          <t>+61 7 5591 6970</t>
        </is>
      </c>
      <c r="K73" s="4" t="inlineStr">
        <is>
          <t>https://www.facebook.com/seawaykioskandjetty/</t>
        </is>
      </c>
      <c r="L73" s="2" t="inlineStr">
        <is>
          <t>no real website (uses www.facebook.com)</t>
        </is>
      </c>
      <c r="M73" s="2" t="inlineStr">
        <is>
          <t>Hi Seaway Kiosk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3" s="4" t="inlineStr">
        <is>
          <t>Open map</t>
        </is>
      </c>
      <c r="O73" s="2" t="inlineStr">
        <is>
          <t>Not contacted</t>
        </is>
      </c>
      <c r="P73" s="2" t="inlineStr"/>
      <c r="Q73" s="2" t="inlineStr"/>
      <c r="R73" s="2" t="inlineStr"/>
      <c r="S73" s="2" t="inlineStr"/>
    </row>
    <row r="74">
      <c r="A74" s="2" t="n">
        <v>73</v>
      </c>
      <c r="B74" s="3" t="inlineStr">
        <is>
          <t>HIGH</t>
        </is>
      </c>
      <c r="C74" s="2" t="inlineStr">
        <is>
          <t>No own website</t>
        </is>
      </c>
      <c r="D74" s="2" t="inlineStr">
        <is>
          <t>Sisterhood Coffee</t>
        </is>
      </c>
      <c r="E74" s="2" t="inlineStr">
        <is>
          <t>cafe</t>
        </is>
      </c>
      <c r="F74" s="2" t="inlineStr">
        <is>
          <t>Gold Coast</t>
        </is>
      </c>
      <c r="G74" s="2" t="inlineStr">
        <is>
          <t>Facebook</t>
        </is>
      </c>
      <c r="H74" s="2" t="inlineStr"/>
      <c r="I74" s="4" t="inlineStr">
        <is>
          <t>https://www.facebook.com/Sisterhood-Coffee-2763461207004085/</t>
        </is>
      </c>
      <c r="J74" s="2" t="inlineStr"/>
      <c r="K74" s="4" t="inlineStr">
        <is>
          <t>https://www.facebook.com/Sisterhood-Coffee-2763461207004085/</t>
        </is>
      </c>
      <c r="L74" s="2" t="inlineStr">
        <is>
          <t>no real website (uses www.facebook.com)</t>
        </is>
      </c>
      <c r="M74" s="2" t="inlineStr">
        <is>
          <t>Hi Sisterhood Coffee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4" s="4" t="inlineStr">
        <is>
          <t>Open map</t>
        </is>
      </c>
      <c r="O74" s="2" t="inlineStr">
        <is>
          <t>Not contacted</t>
        </is>
      </c>
      <c r="P74" s="2" t="inlineStr"/>
      <c r="Q74" s="2" t="inlineStr"/>
      <c r="R74" s="2" t="inlineStr"/>
      <c r="S74" s="2" t="inlineStr"/>
    </row>
    <row r="75">
      <c r="A75" s="2" t="n">
        <v>74</v>
      </c>
      <c r="B75" s="3" t="inlineStr">
        <is>
          <t>HIGH</t>
        </is>
      </c>
      <c r="C75" s="2" t="inlineStr">
        <is>
          <t>No own website</t>
        </is>
      </c>
      <c r="D75" s="2" t="inlineStr">
        <is>
          <t>The Lott Cafe</t>
        </is>
      </c>
      <c r="E75" s="2" t="inlineStr">
        <is>
          <t>cafe</t>
        </is>
      </c>
      <c r="F75" s="2" t="inlineStr">
        <is>
          <t>Gold Coast</t>
        </is>
      </c>
      <c r="G75" s="2" t="inlineStr">
        <is>
          <t>Facebook</t>
        </is>
      </c>
      <c r="H75" s="2" t="inlineStr"/>
      <c r="I75" s="4" t="inlineStr">
        <is>
          <t>https://www.facebook.com/The-Lott-Cafe-Robina-1803600919948866/</t>
        </is>
      </c>
      <c r="J75" s="2" t="inlineStr">
        <is>
          <t>+61 7 5593 0388</t>
        </is>
      </c>
      <c r="K75" s="4" t="inlineStr">
        <is>
          <t>https://www.facebook.com/The-Lott-Cafe-Robina-1803600919948866/</t>
        </is>
      </c>
      <c r="L75" s="2" t="inlineStr">
        <is>
          <t>no real website (uses www.facebook.com)</t>
        </is>
      </c>
      <c r="M75" s="2" t="inlineStr">
        <is>
          <t>Hi The Lott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5" s="4" t="inlineStr">
        <is>
          <t>Open map</t>
        </is>
      </c>
      <c r="O75" s="2" t="inlineStr">
        <is>
          <t>Not contacted</t>
        </is>
      </c>
      <c r="P75" s="2" t="inlineStr"/>
      <c r="Q75" s="2" t="inlineStr"/>
      <c r="R75" s="2" t="inlineStr"/>
      <c r="S75" s="2" t="inlineStr"/>
    </row>
    <row r="76">
      <c r="A76" s="2" t="n">
        <v>75</v>
      </c>
      <c r="B76" s="3" t="inlineStr">
        <is>
          <t>HIGH</t>
        </is>
      </c>
      <c r="C76" s="2" t="inlineStr">
        <is>
          <t>No own website</t>
        </is>
      </c>
      <c r="D76" s="2" t="inlineStr">
        <is>
          <t>West Brew Coffee</t>
        </is>
      </c>
      <c r="E76" s="2" t="inlineStr">
        <is>
          <t>cafe</t>
        </is>
      </c>
      <c r="F76" s="2" t="inlineStr">
        <is>
          <t>Gold Coast</t>
        </is>
      </c>
      <c r="G76" s="2" t="inlineStr">
        <is>
          <t>Facebook</t>
        </is>
      </c>
      <c r="H76" s="2" t="inlineStr"/>
      <c r="I76" s="4" t="inlineStr">
        <is>
          <t>https://www.facebook.com/West-Brew-Coffee-106717397834618/</t>
        </is>
      </c>
      <c r="J76" s="2" t="inlineStr">
        <is>
          <t>+61 437 541 888</t>
        </is>
      </c>
      <c r="K76" s="4" t="inlineStr">
        <is>
          <t>https://www.facebook.com/West-Brew-Coffee-106717397834618/</t>
        </is>
      </c>
      <c r="L76" s="2" t="inlineStr">
        <is>
          <t>no real website (uses www.facebook.com)</t>
        </is>
      </c>
      <c r="M76" s="2" t="inlineStr">
        <is>
          <t>Hi West Brew Coffee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6" s="4" t="inlineStr">
        <is>
          <t>Open map</t>
        </is>
      </c>
      <c r="O76" s="2" t="inlineStr">
        <is>
          <t>Not contacted</t>
        </is>
      </c>
      <c r="P76" s="2" t="inlineStr"/>
      <c r="Q76" s="2" t="inlineStr"/>
      <c r="R76" s="2" t="inlineStr"/>
      <c r="S76" s="2" t="inlineStr"/>
    </row>
    <row r="77">
      <c r="A77" s="2" t="n">
        <v>76</v>
      </c>
      <c r="B77" s="3" t="inlineStr">
        <is>
          <t>HIGH</t>
        </is>
      </c>
      <c r="C77" s="2" t="inlineStr">
        <is>
          <t>No own website</t>
        </is>
      </c>
      <c r="D77" s="2" t="inlineStr">
        <is>
          <t>Tugun Veterinary Surgery</t>
        </is>
      </c>
      <c r="E77" s="2" t="inlineStr">
        <is>
          <t>pet business</t>
        </is>
      </c>
      <c r="F77" s="2" t="inlineStr">
        <is>
          <t>Gold Coast</t>
        </is>
      </c>
      <c r="G77" s="2" t="inlineStr">
        <is>
          <t>Facebook</t>
        </is>
      </c>
      <c r="H77" s="2" t="inlineStr"/>
      <c r="I77" s="4" t="inlineStr">
        <is>
          <t>https://www.facebook.com/TugunVets/</t>
        </is>
      </c>
      <c r="J77" s="2" t="inlineStr">
        <is>
          <t>+61 7 5534 1928</t>
        </is>
      </c>
      <c r="K77" s="4" t="inlineStr">
        <is>
          <t>https://www.facebook.com/TugunVets/</t>
        </is>
      </c>
      <c r="L77" s="2" t="inlineStr">
        <is>
          <t>no real website (uses www.facebook.com)</t>
        </is>
      </c>
      <c r="M77" s="2" t="inlineStr">
        <is>
          <t>Hi Tugun Veterinary Surgery team! [one real detail from their page]. We're AceAds, a web design studio. We noticed that when people in Gold Coast search for a pet shop on Google, they only find your Facebook, not a website of your own. We'd be happy to make you a free preview of what a website could look like. Want one? No cost, no obligation.</t>
        </is>
      </c>
      <c r="N77" s="4" t="inlineStr">
        <is>
          <t>Open map</t>
        </is>
      </c>
      <c r="O77" s="2" t="inlineStr">
        <is>
          <t>Not contacted</t>
        </is>
      </c>
      <c r="P77" s="2" t="inlineStr"/>
      <c r="Q77" s="2" t="inlineStr"/>
      <c r="R77" s="2" t="inlineStr"/>
      <c r="S77" s="2" t="inlineStr"/>
    </row>
    <row r="78">
      <c r="A78" s="2" t="n">
        <v>77</v>
      </c>
      <c r="B78" s="3" t="inlineStr">
        <is>
          <t>HIGH</t>
        </is>
      </c>
      <c r="C78" s="2" t="inlineStr">
        <is>
          <t>No own website</t>
        </is>
      </c>
      <c r="D78" s="2" t="inlineStr">
        <is>
          <t>Big Chief</t>
        </is>
      </c>
      <c r="E78" s="2" t="inlineStr">
        <is>
          <t>takeaway</t>
        </is>
      </c>
      <c r="F78" s="2" t="inlineStr">
        <is>
          <t>Gold Coast</t>
        </is>
      </c>
      <c r="G78" s="2" t="inlineStr">
        <is>
          <t>Facebook</t>
        </is>
      </c>
      <c r="H78" s="2" t="inlineStr"/>
      <c r="I78" s="4" t="inlineStr">
        <is>
          <t>https://www.facebook.com/Big-Chief-Burgers-Coolangatta-182275748504697/</t>
        </is>
      </c>
      <c r="J78" s="2" t="inlineStr">
        <is>
          <t>+61 7 5536 1088</t>
        </is>
      </c>
      <c r="K78" s="4" t="inlineStr">
        <is>
          <t>https://www.facebook.com/Big-Chief-Burgers-Coolangatta-182275748504697/</t>
        </is>
      </c>
      <c r="L78" s="2" t="inlineStr">
        <is>
          <t>no real website (uses www.facebook.com)</t>
        </is>
      </c>
      <c r="M78" s="2" t="inlineStr">
        <is>
          <t>Hi Big Chief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78" s="4" t="inlineStr">
        <is>
          <t>Open map</t>
        </is>
      </c>
      <c r="O78" s="2" t="inlineStr">
        <is>
          <t>Not contacted</t>
        </is>
      </c>
      <c r="P78" s="2" t="inlineStr"/>
      <c r="Q78" s="2" t="inlineStr"/>
      <c r="R78" s="2" t="inlineStr"/>
      <c r="S78" s="2" t="inlineStr"/>
    </row>
    <row r="79">
      <c r="A79" s="2" t="n">
        <v>78</v>
      </c>
      <c r="B79" s="3" t="inlineStr">
        <is>
          <t>HIGH</t>
        </is>
      </c>
      <c r="C79" s="2" t="inlineStr">
        <is>
          <t>No own website</t>
        </is>
      </c>
      <c r="D79" s="2" t="inlineStr">
        <is>
          <t>Flying Chicken</t>
        </is>
      </c>
      <c r="E79" s="2" t="inlineStr">
        <is>
          <t>takeaway</t>
        </is>
      </c>
      <c r="F79" s="2" t="inlineStr">
        <is>
          <t>Gold Coast</t>
        </is>
      </c>
      <c r="G79" s="2" t="inlineStr">
        <is>
          <t>Facebook</t>
        </is>
      </c>
      <c r="H79" s="2" t="inlineStr"/>
      <c r="I79" s="4" t="inlineStr">
        <is>
          <t>https://www.facebook.com/pages/Flying-Chicken/2115204535392038</t>
        </is>
      </c>
      <c r="J79" s="2" t="inlineStr">
        <is>
          <t>+61 7 5661 0848</t>
        </is>
      </c>
      <c r="K79" s="4" t="inlineStr">
        <is>
          <t>https://www.facebook.com/pages/Flying-Chicken/2115204535392038</t>
        </is>
      </c>
      <c r="L79" s="2" t="inlineStr">
        <is>
          <t>no real website (uses www.facebook.com)</t>
        </is>
      </c>
      <c r="M79" s="2" t="inlineStr">
        <is>
          <t>Hi Flying Chicken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79" s="4" t="inlineStr">
        <is>
          <t>Open map</t>
        </is>
      </c>
      <c r="O79" s="2" t="inlineStr">
        <is>
          <t>Not contacted</t>
        </is>
      </c>
      <c r="P79" s="2" t="inlineStr"/>
      <c r="Q79" s="2" t="inlineStr"/>
      <c r="R79" s="2" t="inlineStr"/>
      <c r="S79" s="2" t="inlineStr"/>
    </row>
    <row r="80">
      <c r="A80" s="2" t="n">
        <v>79</v>
      </c>
      <c r="B80" s="3" t="inlineStr">
        <is>
          <t>HIGH</t>
        </is>
      </c>
      <c r="C80" s="2" t="inlineStr">
        <is>
          <t>No own website</t>
        </is>
      </c>
      <c r="D80" s="2" t="inlineStr">
        <is>
          <t>JJ's on Golden Four</t>
        </is>
      </c>
      <c r="E80" s="2" t="inlineStr">
        <is>
          <t>takeaway</t>
        </is>
      </c>
      <c r="F80" s="2" t="inlineStr">
        <is>
          <t>Gold Coast</t>
        </is>
      </c>
      <c r="G80" s="2" t="inlineStr">
        <is>
          <t>Facebook</t>
        </is>
      </c>
      <c r="H80" s="2" t="inlineStr"/>
      <c r="I80" s="4" t="inlineStr">
        <is>
          <t>https://www.facebook.com/jjsongoldenfour/</t>
        </is>
      </c>
      <c r="J80" s="2" t="inlineStr">
        <is>
          <t>+61 7 5534 1007</t>
        </is>
      </c>
      <c r="K80" s="4" t="inlineStr">
        <is>
          <t>https://www.facebook.com/jjsongoldenfour/</t>
        </is>
      </c>
      <c r="L80" s="2" t="inlineStr">
        <is>
          <t>no real website (uses www.facebook.com)</t>
        </is>
      </c>
      <c r="M80" s="2" t="inlineStr">
        <is>
          <t>Hi JJ's on Golden Four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80" s="4" t="inlineStr">
        <is>
          <t>Open map</t>
        </is>
      </c>
      <c r="O80" s="2" t="inlineStr">
        <is>
          <t>Not contacted</t>
        </is>
      </c>
      <c r="P80" s="2" t="inlineStr"/>
      <c r="Q80" s="2" t="inlineStr"/>
      <c r="R80" s="2" t="inlineStr"/>
      <c r="S80" s="2" t="inlineStr"/>
    </row>
    <row r="81">
      <c r="A81" s="2" t="n">
        <v>80</v>
      </c>
      <c r="B81" s="3" t="inlineStr">
        <is>
          <t>HIGH</t>
        </is>
      </c>
      <c r="C81" s="2" t="inlineStr">
        <is>
          <t>No own website</t>
        </is>
      </c>
      <c r="D81" s="2" t="inlineStr">
        <is>
          <t>Bottletree Hotel Glamorgan Vale</t>
        </is>
      </c>
      <c r="E81" s="2" t="inlineStr">
        <is>
          <t>bar or pub</t>
        </is>
      </c>
      <c r="F81" s="2" t="inlineStr">
        <is>
          <t>Ipswich</t>
        </is>
      </c>
      <c r="G81" s="2" t="inlineStr">
        <is>
          <t>Facebook</t>
        </is>
      </c>
      <c r="H81" s="2" t="inlineStr"/>
      <c r="I81" s="4" t="inlineStr">
        <is>
          <t>https://www.facebook.com/bottletreepub/</t>
        </is>
      </c>
      <c r="J81" s="2" t="inlineStr"/>
      <c r="K81" s="4" t="inlineStr">
        <is>
          <t>https://www.facebook.com/bottletreepub/</t>
        </is>
      </c>
      <c r="L81" s="2" t="inlineStr">
        <is>
          <t>no real website (uses www.facebook.com)</t>
        </is>
      </c>
      <c r="M81" s="2" t="inlineStr">
        <is>
          <t>Hi Bottletree Hotel Glamorgan Vale team! [one real detail from their page]. We're AceAds, a web design studio. We noticed that when people in Ipswich search for a bar on Google, they only find your Facebook, not a website of your own. We'd be happy to make you a free preview of what a website could look like. Want one? No cost, no obligation.</t>
        </is>
      </c>
      <c r="N81" s="4" t="inlineStr">
        <is>
          <t>Open map</t>
        </is>
      </c>
      <c r="O81" s="2" t="inlineStr">
        <is>
          <t>Not contacted</t>
        </is>
      </c>
      <c r="P81" s="2" t="inlineStr"/>
      <c r="Q81" s="2" t="inlineStr"/>
      <c r="R81" s="2" t="inlineStr"/>
      <c r="S81" s="2" t="inlineStr"/>
    </row>
    <row r="82">
      <c r="A82" s="2" t="n">
        <v>81</v>
      </c>
      <c r="B82" s="3" t="inlineStr">
        <is>
          <t>HIGH</t>
        </is>
      </c>
      <c r="C82" s="2" t="inlineStr">
        <is>
          <t>No own website</t>
        </is>
      </c>
      <c r="D82" s="2" t="inlineStr">
        <is>
          <t>Loui's Fruit Market</t>
        </is>
      </c>
      <c r="E82" s="2" t="inlineStr">
        <is>
          <t>deli or specialty food</t>
        </is>
      </c>
      <c r="F82" s="2" t="inlineStr">
        <is>
          <t>Ipswich</t>
        </is>
      </c>
      <c r="G82" s="2" t="inlineStr">
        <is>
          <t>Facebook</t>
        </is>
      </c>
      <c r="H82" s="2" t="inlineStr"/>
      <c r="I82" s="4" t="inlineStr">
        <is>
          <t>https://www.facebook.com/louisboovalfruitmarket/</t>
        </is>
      </c>
      <c r="J82" s="2" t="inlineStr">
        <is>
          <t>+61 7 3202 1544</t>
        </is>
      </c>
      <c r="K82" s="4" t="inlineStr">
        <is>
          <t>https://www.facebook.com/louisboovalfruitmarket/</t>
        </is>
      </c>
      <c r="L82" s="2" t="inlineStr">
        <is>
          <t>no real website (uses www.facebook.com)</t>
        </is>
      </c>
      <c r="M82" s="2" t="inlineStr">
        <is>
          <t>Hi Loui's Fruit Market team! [one real detail from their page]. We're AceAds, a web design studio. We noticed that when people in Ipswich search for a local food store on Google, they only find your Facebook, not a website of your own. We'd be happy to make you a free preview of what a website could look like. Want one? No cost, no obligation.</t>
        </is>
      </c>
      <c r="N82" s="4" t="inlineStr">
        <is>
          <t>Open map</t>
        </is>
      </c>
      <c r="O82" s="2" t="inlineStr">
        <is>
          <t>Not contacted</t>
        </is>
      </c>
      <c r="P82" s="2" t="inlineStr"/>
      <c r="Q82" s="2" t="inlineStr"/>
      <c r="R82" s="2" t="inlineStr"/>
      <c r="S82" s="2" t="inlineStr"/>
    </row>
    <row r="83">
      <c r="A83" s="2" t="n">
        <v>82</v>
      </c>
      <c r="B83" s="3" t="inlineStr">
        <is>
          <t>HIGH</t>
        </is>
      </c>
      <c r="C83" s="2" t="inlineStr">
        <is>
          <t>No own website</t>
        </is>
      </c>
      <c r="D83" s="2" t="inlineStr">
        <is>
          <t>Booval Seafood</t>
        </is>
      </c>
      <c r="E83" s="2" t="inlineStr">
        <is>
          <t>takeaway</t>
        </is>
      </c>
      <c r="F83" s="2" t="inlineStr">
        <is>
          <t>Ipswich</t>
        </is>
      </c>
      <c r="G83" s="2" t="inlineStr">
        <is>
          <t>Facebook</t>
        </is>
      </c>
      <c r="H83" s="2" t="inlineStr"/>
      <c r="I83" s="4" t="inlineStr">
        <is>
          <t>https://www.facebook.com/boovalseafood/</t>
        </is>
      </c>
      <c r="J83" s="2" t="inlineStr">
        <is>
          <t>+61 7 3812 2888</t>
        </is>
      </c>
      <c r="K83" s="4" t="inlineStr">
        <is>
          <t>https://www.facebook.com/boovalseafood/</t>
        </is>
      </c>
      <c r="L83" s="2" t="inlineStr">
        <is>
          <t>no real website (uses www.facebook.com)</t>
        </is>
      </c>
      <c r="M83" s="2" t="inlineStr">
        <is>
          <t>Hi Booval Seafood team! [one real detail from their page]. We're AceAds, a web design studio. We noticed that when people in Ipswich search for a takeaway on Google, they only find your Facebook, not a website of your own. We'd be happy to make you a free preview of what a website could look like. Want one? No cost, no obligation.</t>
        </is>
      </c>
      <c r="N83" s="4" t="inlineStr">
        <is>
          <t>Open map</t>
        </is>
      </c>
      <c r="O83" s="2" t="inlineStr">
        <is>
          <t>Not contacted</t>
        </is>
      </c>
      <c r="P83" s="2" t="inlineStr"/>
      <c r="Q83" s="2" t="inlineStr"/>
      <c r="R83" s="2" t="inlineStr"/>
      <c r="S83" s="2" t="inlineStr"/>
    </row>
    <row r="84">
      <c r="A84" s="2" t="n">
        <v>83</v>
      </c>
      <c r="B84" s="3" t="inlineStr">
        <is>
          <t>HIGH</t>
        </is>
      </c>
      <c r="C84" s="2" t="inlineStr">
        <is>
          <t>No own website</t>
        </is>
      </c>
      <c r="D84" s="2" t="inlineStr">
        <is>
          <t>The Grazing Goat Cafe</t>
        </is>
      </c>
      <c r="E84" s="2" t="inlineStr">
        <is>
          <t>cafe</t>
        </is>
      </c>
      <c r="F84" s="2" t="inlineStr">
        <is>
          <t>Mackay</t>
        </is>
      </c>
      <c r="G84" s="2" t="inlineStr">
        <is>
          <t>Facebook</t>
        </is>
      </c>
      <c r="H84" s="2" t="inlineStr"/>
      <c r="I84" s="4" t="inlineStr">
        <is>
          <t>https://www.facebook.com/GrazingGoatCafe/</t>
        </is>
      </c>
      <c r="J84" s="2" t="inlineStr">
        <is>
          <t>+61 7 4953 2623</t>
        </is>
      </c>
      <c r="K84" s="4" t="inlineStr">
        <is>
          <t>https://www.facebook.com/GrazingGoatCafe/</t>
        </is>
      </c>
      <c r="L84" s="2" t="inlineStr">
        <is>
          <t>no real website (uses www.facebook.com)</t>
        </is>
      </c>
      <c r="M84" s="2" t="inlineStr">
        <is>
          <t>Hi The Grazing Goat Cafe team! [one real detail from their page]. We're AceAds, a web design studio. We noticed that when people in Mackay search for a cafe on Google, they only find your Facebook, not a website of your own. We'd be happy to make you a free preview of what a website could look like. Want one? No cost, no obligation.</t>
        </is>
      </c>
      <c r="N84" s="4" t="inlineStr">
        <is>
          <t>Open map</t>
        </is>
      </c>
      <c r="O84" s="2" t="inlineStr">
        <is>
          <t>Not contacted</t>
        </is>
      </c>
      <c r="P84" s="2" t="inlineStr"/>
      <c r="Q84" s="2" t="inlineStr"/>
      <c r="R84" s="2" t="inlineStr"/>
      <c r="S84" s="2" t="inlineStr"/>
    </row>
    <row r="85">
      <c r="A85" s="2" t="n">
        <v>84</v>
      </c>
      <c r="B85" s="3" t="inlineStr">
        <is>
          <t>HIGH</t>
        </is>
      </c>
      <c r="C85" s="2" t="inlineStr">
        <is>
          <t>No own website</t>
        </is>
      </c>
      <c r="D85" s="2" t="inlineStr">
        <is>
          <t>RARE Bar &amp; Grill</t>
        </is>
      </c>
      <c r="E85" s="2" t="inlineStr">
        <is>
          <t>restaurant</t>
        </is>
      </c>
      <c r="F85" s="2" t="inlineStr">
        <is>
          <t>Mackay</t>
        </is>
      </c>
      <c r="G85" s="2" t="inlineStr">
        <is>
          <t>Facebook</t>
        </is>
      </c>
      <c r="H85" s="2" t="inlineStr"/>
      <c r="I85" s="4" t="inlineStr">
        <is>
          <t>https://www.facebook.com/rarebarandgrillmackay</t>
        </is>
      </c>
      <c r="J85" s="2" t="inlineStr">
        <is>
          <t>+61 437 176 863</t>
        </is>
      </c>
      <c r="K85" s="4" t="inlineStr">
        <is>
          <t>https://www.facebook.com/rarebarandgrillmackay</t>
        </is>
      </c>
      <c r="L85" s="2" t="inlineStr">
        <is>
          <t>no real website (uses www.facebook.com)</t>
        </is>
      </c>
      <c r="M85" s="2" t="inlineStr">
        <is>
          <t>Hi RARE Bar &amp; Grill team! [one real detail from their page]. We're AceAds, a web design studio. We noticed that when people in Mackay search for a restaurant on Google, they only find your Facebook, not a website of your own. We'd be happy to make you a free preview of what a website could look like. Want one? No cost, no obligation.</t>
        </is>
      </c>
      <c r="N85" s="4" t="inlineStr">
        <is>
          <t>Open map</t>
        </is>
      </c>
      <c r="O85" s="2" t="inlineStr">
        <is>
          <t>Not contacted</t>
        </is>
      </c>
      <c r="P85" s="2" t="inlineStr"/>
      <c r="Q85" s="2" t="inlineStr"/>
      <c r="R85" s="2" t="inlineStr"/>
      <c r="S85" s="2" t="inlineStr"/>
    </row>
    <row r="86">
      <c r="A86" s="2" t="n">
        <v>85</v>
      </c>
      <c r="B86" s="3" t="inlineStr">
        <is>
          <t>HIGH</t>
        </is>
      </c>
      <c r="C86" s="2" t="inlineStr">
        <is>
          <t>No own website</t>
        </is>
      </c>
      <c r="D86" s="2" t="inlineStr">
        <is>
          <t>U Rok Hair &amp; Beauty</t>
        </is>
      </c>
      <c r="E86" s="2" t="inlineStr">
        <is>
          <t>barber or hairdresser</t>
        </is>
      </c>
      <c r="F86" s="2" t="inlineStr">
        <is>
          <t>Rockhampton</t>
        </is>
      </c>
      <c r="G86" s="2" t="inlineStr">
        <is>
          <t>Facebook</t>
        </is>
      </c>
      <c r="H86" s="2" t="inlineStr"/>
      <c r="I86" s="4" t="inlineStr">
        <is>
          <t>https://www.facebook.com/URokHairMakeupDesign/</t>
        </is>
      </c>
      <c r="J86" s="2" t="inlineStr">
        <is>
          <t>+61 419 727 326</t>
        </is>
      </c>
      <c r="K86" s="4" t="inlineStr">
        <is>
          <t>https://www.facebook.com/URokHairMakeupDesign/</t>
        </is>
      </c>
      <c r="L86" s="2" t="inlineStr">
        <is>
          <t>no real website (uses www.facebook.com)</t>
        </is>
      </c>
      <c r="M86" s="2" t="inlineStr">
        <is>
          <t>Hi U Rok Hair &amp; Beauty team! [one real detail from their page]. We're AceAds, a web design studio. We noticed that when people in Rockhampton search for a hairdresser on Google, they only find your Facebook, not a website of your own. We'd be happy to make you a free preview of what a website could look like. Want one? No cost, no obligation.</t>
        </is>
      </c>
      <c r="N86" s="4" t="inlineStr">
        <is>
          <t>Open map</t>
        </is>
      </c>
      <c r="O86" s="2" t="inlineStr">
        <is>
          <t>Not contacted</t>
        </is>
      </c>
      <c r="P86" s="2" t="inlineStr"/>
      <c r="Q86" s="2" t="inlineStr"/>
      <c r="R86" s="2" t="inlineStr"/>
      <c r="S86" s="2" t="inlineStr"/>
    </row>
    <row r="87">
      <c r="A87" s="2" t="n">
        <v>86</v>
      </c>
      <c r="B87" s="3" t="inlineStr">
        <is>
          <t>HIGH</t>
        </is>
      </c>
      <c r="C87" s="2" t="inlineStr">
        <is>
          <t>No own website</t>
        </is>
      </c>
      <c r="D87" s="2" t="inlineStr">
        <is>
          <t>Coffee Society</t>
        </is>
      </c>
      <c r="E87" s="2" t="inlineStr">
        <is>
          <t>cafe</t>
        </is>
      </c>
      <c r="F87" s="2" t="inlineStr">
        <is>
          <t>Rockhampton</t>
        </is>
      </c>
      <c r="G87" s="2" t="inlineStr">
        <is>
          <t>Facebook</t>
        </is>
      </c>
      <c r="H87" s="2" t="inlineStr"/>
      <c r="I87" s="4" t="inlineStr">
        <is>
          <t>https://www.facebook.com/coffeesocietyrockhampton/</t>
        </is>
      </c>
      <c r="J87" s="2" t="inlineStr">
        <is>
          <t>+61 408 335 908</t>
        </is>
      </c>
      <c r="K87" s="4" t="inlineStr">
        <is>
          <t>https://www.facebook.com/coffeesocietyrockhampton/</t>
        </is>
      </c>
      <c r="L87" s="2" t="inlineStr">
        <is>
          <t>no real website (uses www.facebook.com)</t>
        </is>
      </c>
      <c r="M87" s="2" t="inlineStr">
        <is>
          <t>Hi Coffee Society team! [one real detail from their page]. We're AceAds, a web design studio. We noticed that when people in Rockhampton search for a cafe on Google, they only find your Facebook, not a website of your own. We'd be happy to make you a free preview of what a website could look like. Want one? No cost, no obligation.</t>
        </is>
      </c>
      <c r="N87" s="4" t="inlineStr">
        <is>
          <t>Open map</t>
        </is>
      </c>
      <c r="O87" s="2" t="inlineStr">
        <is>
          <t>Not contacted</t>
        </is>
      </c>
      <c r="P87" s="2" t="inlineStr"/>
      <c r="Q87" s="2" t="inlineStr"/>
      <c r="R87" s="2" t="inlineStr"/>
      <c r="S87" s="2" t="inlineStr"/>
    </row>
    <row r="88">
      <c r="A88" s="2" t="n">
        <v>87</v>
      </c>
      <c r="B88" s="3" t="inlineStr">
        <is>
          <t>HIGH</t>
        </is>
      </c>
      <c r="C88" s="2" t="inlineStr">
        <is>
          <t>No own website</t>
        </is>
      </c>
      <c r="D88" s="2" t="inlineStr">
        <is>
          <t>Rockhampton Fitness Centre</t>
        </is>
      </c>
      <c r="E88" s="2" t="inlineStr">
        <is>
          <t>gym or studio</t>
        </is>
      </c>
      <c r="F88" s="2" t="inlineStr">
        <is>
          <t>Rockhampton</t>
        </is>
      </c>
      <c r="G88" s="2" t="inlineStr">
        <is>
          <t>Facebook</t>
        </is>
      </c>
      <c r="H88" s="2" t="inlineStr"/>
      <c r="I88" s="4" t="inlineStr">
        <is>
          <t>https://www.facebook.com/rockhamptonfitness.centre/</t>
        </is>
      </c>
      <c r="J88" s="2" t="inlineStr">
        <is>
          <t>+61 7 4927 8880</t>
        </is>
      </c>
      <c r="K88" s="4" t="inlineStr">
        <is>
          <t>https://www.facebook.com/rockhamptonfitness.centre/</t>
        </is>
      </c>
      <c r="L88" s="2" t="inlineStr">
        <is>
          <t>no real website (uses www.facebook.com)</t>
        </is>
      </c>
      <c r="M88" s="2" t="inlineStr">
        <is>
          <t>Hi Rockhampton Fitness Centre team! [one real detail from their page]. We're AceAds, a web design studio. We noticed that when people in Rockhampton search for a gym on Google, they only find your Facebook, not a website of your own. We'd be happy to make you a free preview of what a website could look like. Want one? No cost, no obligation.</t>
        </is>
      </c>
      <c r="N88" s="4" t="inlineStr">
        <is>
          <t>Open map</t>
        </is>
      </c>
      <c r="O88" s="2" t="inlineStr">
        <is>
          <t>Not contacted</t>
        </is>
      </c>
      <c r="P88" s="2" t="inlineStr"/>
      <c r="Q88" s="2" t="inlineStr"/>
      <c r="R88" s="2" t="inlineStr"/>
      <c r="S88" s="2" t="inlineStr"/>
    </row>
    <row r="89">
      <c r="A89" s="2" t="n">
        <v>88</v>
      </c>
      <c r="B89" s="3" t="inlineStr">
        <is>
          <t>HIGH</t>
        </is>
      </c>
      <c r="C89" s="2" t="inlineStr">
        <is>
          <t>No own website</t>
        </is>
      </c>
      <c r="D89" s="2" t="inlineStr">
        <is>
          <t>Capricornia Remedial Massage</t>
        </is>
      </c>
      <c r="E89" s="2" t="inlineStr">
        <is>
          <t>massage or spa</t>
        </is>
      </c>
      <c r="F89" s="2" t="inlineStr">
        <is>
          <t>Rockhampton</t>
        </is>
      </c>
      <c r="G89" s="2" t="inlineStr">
        <is>
          <t>Facebook</t>
        </is>
      </c>
      <c r="H89" s="2" t="inlineStr"/>
      <c r="I89" s="4" t="inlineStr">
        <is>
          <t>https://www.facebook.com/capricorniaremedialmassage</t>
        </is>
      </c>
      <c r="J89" s="2" t="inlineStr">
        <is>
          <t>+61 409 708 830</t>
        </is>
      </c>
      <c r="K89" s="4" t="inlineStr">
        <is>
          <t>https://capricorniaremedialmassagerockhampton.gettimely.com/</t>
        </is>
      </c>
      <c r="L89" s="2" t="inlineStr">
        <is>
          <t>no real website (uses capricorniaremedialmassagerockhampton.gettimely.com)</t>
        </is>
      </c>
      <c r="M89" s="2" t="inlineStr">
        <is>
          <t>Hi Capricornia Remedial Massage team! [one real detail from their page]. We're AceAds, a web design studio. We noticed that when people in Rockhampton search for a massage on Google, they only find your Facebook, not a website of your own. We'd be happy to make you a free preview of what a website could look like. Want one? No cost, no obligation.</t>
        </is>
      </c>
      <c r="N89" s="4" t="inlineStr">
        <is>
          <t>Open map</t>
        </is>
      </c>
      <c r="O89" s="2" t="inlineStr">
        <is>
          <t>Not contacted</t>
        </is>
      </c>
      <c r="P89" s="2" t="inlineStr"/>
      <c r="Q89" s="2" t="inlineStr"/>
      <c r="R89" s="2" t="inlineStr"/>
      <c r="S89" s="2" t="inlineStr"/>
    </row>
    <row r="90">
      <c r="A90" s="2" t="n">
        <v>89</v>
      </c>
      <c r="B90" s="3" t="inlineStr">
        <is>
          <t>HIGH</t>
        </is>
      </c>
      <c r="C90" s="2" t="inlineStr">
        <is>
          <t>No own website</t>
        </is>
      </c>
      <c r="D90" s="2" t="inlineStr">
        <is>
          <t>Parklands Bakery</t>
        </is>
      </c>
      <c r="E90" s="2" t="inlineStr">
        <is>
          <t>bakery</t>
        </is>
      </c>
      <c r="F90" s="2" t="inlineStr">
        <is>
          <t>Sunshine Coast</t>
        </is>
      </c>
      <c r="G90" s="2" t="inlineStr">
        <is>
          <t>Facebook</t>
        </is>
      </c>
      <c r="H90" s="2" t="inlineStr"/>
      <c r="I90" s="4" t="inlineStr">
        <is>
          <t>https://facebook.com/parklandsbakery/</t>
        </is>
      </c>
      <c r="J90" s="2" t="inlineStr">
        <is>
          <t>+61 7 5438 2211</t>
        </is>
      </c>
      <c r="K90" s="4" t="inlineStr">
        <is>
          <t>https://facebook.com/parklandsbakery/</t>
        </is>
      </c>
      <c r="L90" s="2" t="inlineStr">
        <is>
          <t>no real website (uses facebook.com)</t>
        </is>
      </c>
      <c r="M90" s="2" t="inlineStr">
        <is>
          <t>Hi Parklands Bakery team! [one real detail from their page]. We're AceAds, a web design studio. We noticed that when people in Sunshine Coast search for a bakery on Google, they only find your Facebook, not a website of your own. We'd be happy to make you a free preview of what a website could look like. Want one? No cost, no obligation.</t>
        </is>
      </c>
      <c r="N90" s="4" t="inlineStr">
        <is>
          <t>Open map</t>
        </is>
      </c>
      <c r="O90" s="2" t="inlineStr">
        <is>
          <t>Not contacted</t>
        </is>
      </c>
      <c r="P90" s="2" t="inlineStr"/>
      <c r="Q90" s="2" t="inlineStr"/>
      <c r="R90" s="2" t="inlineStr"/>
      <c r="S90" s="2" t="inlineStr"/>
    </row>
    <row r="91">
      <c r="A91" s="2" t="n">
        <v>90</v>
      </c>
      <c r="B91" s="3" t="inlineStr">
        <is>
          <t>HIGH</t>
        </is>
      </c>
      <c r="C91" s="2" t="inlineStr">
        <is>
          <t>No own website</t>
        </is>
      </c>
      <c r="D91" s="2" t="inlineStr">
        <is>
          <t>Pete's Village Bakery</t>
        </is>
      </c>
      <c r="E91" s="2" t="inlineStr">
        <is>
          <t>bakery</t>
        </is>
      </c>
      <c r="F91" s="2" t="inlineStr">
        <is>
          <t>Sunshine Coast</t>
        </is>
      </c>
      <c r="G91" s="2" t="inlineStr">
        <is>
          <t>Facebook</t>
        </is>
      </c>
      <c r="H91" s="2" t="inlineStr"/>
      <c r="I91" s="4" t="inlineStr">
        <is>
          <t>https://www.facebook.com/petesvillagebakery</t>
        </is>
      </c>
      <c r="J91" s="2" t="inlineStr">
        <is>
          <t>+61 7 5446 7629</t>
        </is>
      </c>
      <c r="K91" s="4" t="inlineStr">
        <is>
          <t>https://www.facebook.com/petesvillagebakery</t>
        </is>
      </c>
      <c r="L91" s="2" t="inlineStr">
        <is>
          <t>no real website (uses www.facebook.com)</t>
        </is>
      </c>
      <c r="M91" s="2" t="inlineStr">
        <is>
          <t>Hi Pete's Village Bakery team! [one real detail from their page]. We're AceAds, a web design studio. We noticed that when people in Sunshine Coast search for a bakery on Google, they only find your Facebook, not a website of your own. We'd be happy to make you a free preview of what a website could look like. Want one? No cost, no obligation.</t>
        </is>
      </c>
      <c r="N91" s="4" t="inlineStr">
        <is>
          <t>Open map</t>
        </is>
      </c>
      <c r="O91" s="2" t="inlineStr">
        <is>
          <t>Not contacted</t>
        </is>
      </c>
      <c r="P91" s="2" t="inlineStr"/>
      <c r="Q91" s="2" t="inlineStr"/>
      <c r="R91" s="2" t="inlineStr"/>
      <c r="S91" s="2" t="inlineStr"/>
    </row>
    <row r="92">
      <c r="A92" s="2" t="n">
        <v>91</v>
      </c>
      <c r="B92" s="3" t="inlineStr">
        <is>
          <t>HIGH</t>
        </is>
      </c>
      <c r="C92" s="2" t="inlineStr">
        <is>
          <t>No own website</t>
        </is>
      </c>
      <c r="D92" s="2" t="inlineStr">
        <is>
          <t>Hair at Mooloolaba</t>
        </is>
      </c>
      <c r="E92" s="2" t="inlineStr">
        <is>
          <t>barber or hairdresser</t>
        </is>
      </c>
      <c r="F92" s="2" t="inlineStr">
        <is>
          <t>Sunshine Coast</t>
        </is>
      </c>
      <c r="G92" s="2" t="inlineStr">
        <is>
          <t>Facebook</t>
        </is>
      </c>
      <c r="H92" s="2" t="inlineStr"/>
      <c r="I92" s="4" t="inlineStr">
        <is>
          <t>https://m.facebook.com/@hairstudiomooloolabah</t>
        </is>
      </c>
      <c r="J92" s="2" t="inlineStr">
        <is>
          <t>+61 7 5294 6373</t>
        </is>
      </c>
      <c r="K92" s="4" t="inlineStr">
        <is>
          <t>https://m.facebook.com/@hairstudiomooloolabah</t>
        </is>
      </c>
      <c r="L92" s="2" t="inlineStr">
        <is>
          <t>no real website (uses m.facebook.com)</t>
        </is>
      </c>
      <c r="M92" s="2" t="inlineStr">
        <is>
          <t>Hi Hair at Mooloolaba team! [one real detail from their page]. We're AceAds, a web design studio. We noticed that when people in Sunshine Coast search for a hairdresser on Google, they only find your Facebook, not a website of your own. We'd be happy to make you a free preview of what a website could look like. Want one? No cost, no obligation.</t>
        </is>
      </c>
      <c r="N92" s="4" t="inlineStr">
        <is>
          <t>Open map</t>
        </is>
      </c>
      <c r="O92" s="2" t="inlineStr">
        <is>
          <t>Not contacted</t>
        </is>
      </c>
      <c r="P92" s="2" t="inlineStr"/>
      <c r="Q92" s="2" t="inlineStr"/>
      <c r="R92" s="2" t="inlineStr"/>
      <c r="S92" s="2" t="inlineStr"/>
    </row>
    <row r="93">
      <c r="A93" s="2" t="n">
        <v>92</v>
      </c>
      <c r="B93" s="3" t="inlineStr">
        <is>
          <t>HIGH</t>
        </is>
      </c>
      <c r="C93" s="2" t="inlineStr">
        <is>
          <t>No own website</t>
        </is>
      </c>
      <c r="D93" s="2" t="inlineStr">
        <is>
          <t>Ocean Spa Nails</t>
        </is>
      </c>
      <c r="E93" s="2" t="inlineStr">
        <is>
          <t>beauty salon</t>
        </is>
      </c>
      <c r="F93" s="2" t="inlineStr">
        <is>
          <t>Sunshine Coast</t>
        </is>
      </c>
      <c r="G93" s="2" t="inlineStr">
        <is>
          <t>Facebook</t>
        </is>
      </c>
      <c r="H93" s="2" t="inlineStr"/>
      <c r="I93" s="4" t="inlineStr">
        <is>
          <t>https://www.facebook.com/Ocean-Spa-Nails-Currimundi-100394445284468/</t>
        </is>
      </c>
      <c r="J93" s="2" t="inlineStr">
        <is>
          <t>+61 7 5337 6337</t>
        </is>
      </c>
      <c r="K93" s="4" t="inlineStr">
        <is>
          <t>https://www.facebook.com/Ocean-Spa-Nails-Currimundi-100394445284468/</t>
        </is>
      </c>
      <c r="L93" s="2" t="inlineStr">
        <is>
          <t>no real website (uses www.facebook.com)</t>
        </is>
      </c>
      <c r="M93" s="2" t="inlineStr">
        <is>
          <t>Hi Ocean Spa Nails team! [one real detail from their page]. We're AceAds, a web design studio. We noticed that when people in Sunshine Coast search for a beauty salon on Google, they only find your Facebook, not a website of your own. We'd be happy to make you a free preview of what a website could look like. Want one? No cost, no obligation.</t>
        </is>
      </c>
      <c r="N93" s="4" t="inlineStr">
        <is>
          <t>Open map</t>
        </is>
      </c>
      <c r="O93" s="2" t="inlineStr">
        <is>
          <t>Not contacted</t>
        </is>
      </c>
      <c r="P93" s="2" t="inlineStr"/>
      <c r="Q93" s="2" t="inlineStr"/>
      <c r="R93" s="2" t="inlineStr"/>
      <c r="S93" s="2" t="inlineStr"/>
    </row>
    <row r="94">
      <c r="A94" s="2" t="n">
        <v>93</v>
      </c>
      <c r="B94" s="3" t="inlineStr">
        <is>
          <t>HIGH</t>
        </is>
      </c>
      <c r="C94" s="2" t="inlineStr">
        <is>
          <t>No own website</t>
        </is>
      </c>
      <c r="D94" s="2" t="inlineStr">
        <is>
          <t>Sushi 79</t>
        </is>
      </c>
      <c r="E94" s="2" t="inlineStr">
        <is>
          <t>restaurant</t>
        </is>
      </c>
      <c r="F94" s="2" t="inlineStr">
        <is>
          <t>Sunshine Coast</t>
        </is>
      </c>
      <c r="G94" s="2" t="inlineStr">
        <is>
          <t>Facebook</t>
        </is>
      </c>
      <c r="H94" s="2" t="inlineStr"/>
      <c r="I94" s="4" t="inlineStr">
        <is>
          <t>https://www.facebook.com/THESUSHI79CURRIMUNDI/</t>
        </is>
      </c>
      <c r="J94" s="2" t="inlineStr">
        <is>
          <t>+61 7 5437 8208</t>
        </is>
      </c>
      <c r="K94" s="4" t="inlineStr">
        <is>
          <t>https://www.facebook.com/THESUSHI79CURRIMUNDI/</t>
        </is>
      </c>
      <c r="L94" s="2" t="inlineStr">
        <is>
          <t>no real website (uses www.facebook.com)</t>
        </is>
      </c>
      <c r="M94" s="2" t="inlineStr">
        <is>
          <t>Hi Sushi 79 team! [one real detail from their page]. We're AceAds, a web design studio. We noticed that when people in Sunshine Coast search for a restaurant on Google, they only find your Facebook, not a website of your own. We'd be happy to make you a free preview of what a website could look like. Want one? No cost, no obligation.</t>
        </is>
      </c>
      <c r="N94" s="4" t="inlineStr">
        <is>
          <t>Open map</t>
        </is>
      </c>
      <c r="O94" s="2" t="inlineStr">
        <is>
          <t>Not contacted</t>
        </is>
      </c>
      <c r="P94" s="2" t="inlineStr"/>
      <c r="Q94" s="2" t="inlineStr"/>
      <c r="R94" s="2" t="inlineStr"/>
      <c r="S94" s="2" t="inlineStr"/>
    </row>
    <row r="95">
      <c r="A95" s="2" t="n">
        <v>94</v>
      </c>
      <c r="B95" s="3" t="inlineStr">
        <is>
          <t>HIGH</t>
        </is>
      </c>
      <c r="C95" s="2" t="inlineStr">
        <is>
          <t>No own website</t>
        </is>
      </c>
      <c r="D95" s="2" t="inlineStr">
        <is>
          <t>Wok@Li Noodles</t>
        </is>
      </c>
      <c r="E95" s="2" t="inlineStr">
        <is>
          <t>restaurant</t>
        </is>
      </c>
      <c r="F95" s="2" t="inlineStr">
        <is>
          <t>Sunshine Coast</t>
        </is>
      </c>
      <c r="G95" s="2" t="inlineStr">
        <is>
          <t>Facebook</t>
        </is>
      </c>
      <c r="H95" s="2" t="inlineStr"/>
      <c r="I95" s="4" t="inlineStr">
        <is>
          <t>https://www.facebook.com/Wok-at-Li-noodles-595307274287896/</t>
        </is>
      </c>
      <c r="J95" s="2" t="inlineStr">
        <is>
          <t>+61 7 5438 8234</t>
        </is>
      </c>
      <c r="K95" s="4" t="inlineStr">
        <is>
          <t>https://www.facebook.com/Wok-at-Li-noodles-595307274287896/</t>
        </is>
      </c>
      <c r="L95" s="2" t="inlineStr">
        <is>
          <t>no real website (uses www.facebook.com)</t>
        </is>
      </c>
      <c r="M95" s="2" t="inlineStr">
        <is>
          <t>Hi Wok@Li Noodles team! [one real detail from their page]. We're AceAds, a web design studio. We noticed that when people in Sunshine Coast search for a restaurant on Google, they only find your Facebook, not a website of your own. We'd be happy to make you a free preview of what a website could look like. Want one? No cost, no obligation.</t>
        </is>
      </c>
      <c r="N95" s="4" t="inlineStr">
        <is>
          <t>Open map</t>
        </is>
      </c>
      <c r="O95" s="2" t="inlineStr">
        <is>
          <t>Not contacted</t>
        </is>
      </c>
      <c r="P95" s="2" t="inlineStr"/>
      <c r="Q95" s="2" t="inlineStr"/>
      <c r="R95" s="2" t="inlineStr"/>
      <c r="S95" s="2" t="inlineStr"/>
    </row>
    <row r="96">
      <c r="A96" s="2" t="n">
        <v>95</v>
      </c>
      <c r="B96" s="3" t="inlineStr">
        <is>
          <t>HIGH</t>
        </is>
      </c>
      <c r="C96" s="2" t="inlineStr">
        <is>
          <t>No own website</t>
        </is>
      </c>
      <c r="D96" s="2" t="inlineStr">
        <is>
          <t>Clancy's Beachside Takeaway</t>
        </is>
      </c>
      <c r="E96" s="2" t="inlineStr">
        <is>
          <t>takeaway</t>
        </is>
      </c>
      <c r="F96" s="2" t="inlineStr">
        <is>
          <t>Sunshine Coast</t>
        </is>
      </c>
      <c r="G96" s="2" t="inlineStr">
        <is>
          <t>Facebook</t>
        </is>
      </c>
      <c r="H96" s="2" t="inlineStr"/>
      <c r="I96" s="4" t="inlineStr">
        <is>
          <t>https://www.facebook.com/clancys.beachside.takeaway/</t>
        </is>
      </c>
      <c r="J96" s="2" t="inlineStr">
        <is>
          <t>+61 7 5491 3940</t>
        </is>
      </c>
      <c r="K96" s="4" t="inlineStr">
        <is>
          <t>https://www.facebook.com/clancys.beachside.takeaway/</t>
        </is>
      </c>
      <c r="L96" s="2" t="inlineStr">
        <is>
          <t>no real website (uses www.facebook.com)</t>
        </is>
      </c>
      <c r="M96" s="2" t="inlineStr">
        <is>
          <t>Hi Clancy's Beachside Takeaway team! [one real detail from their page]. We're AceAds, a web design studio. We noticed that when people in Sunshine Coast search for a takeaway on Google, they only find your Facebook, not a website of your own. We'd be happy to make you a free preview of what a website could look like. Want one? No cost, no obligation.</t>
        </is>
      </c>
      <c r="N96" s="4" t="inlineStr">
        <is>
          <t>Open map</t>
        </is>
      </c>
      <c r="O96" s="2" t="inlineStr">
        <is>
          <t>Not contacted</t>
        </is>
      </c>
      <c r="P96" s="2" t="inlineStr"/>
      <c r="Q96" s="2" t="inlineStr"/>
      <c r="R96" s="2" t="inlineStr"/>
      <c r="S96" s="2" t="inlineStr"/>
    </row>
    <row r="97">
      <c r="A97" s="2" t="n">
        <v>96</v>
      </c>
      <c r="B97" s="3" t="inlineStr">
        <is>
          <t>HIGH</t>
        </is>
      </c>
      <c r="C97" s="2" t="inlineStr">
        <is>
          <t>No own website</t>
        </is>
      </c>
      <c r="D97" s="2" t="inlineStr">
        <is>
          <t>Australian Hotel</t>
        </is>
      </c>
      <c r="E97" s="2" t="inlineStr">
        <is>
          <t>bar or pub</t>
        </is>
      </c>
      <c r="F97" s="2" t="inlineStr">
        <is>
          <t>Townsville</t>
        </is>
      </c>
      <c r="G97" s="2" t="inlineStr">
        <is>
          <t>Facebook</t>
        </is>
      </c>
      <c r="H97" s="2" t="inlineStr"/>
      <c r="I97" s="4" t="inlineStr">
        <is>
          <t>https://www.facebook.com/australianhoteltownsville</t>
        </is>
      </c>
      <c r="J97" s="2" t="inlineStr"/>
      <c r="K97" s="4" t="inlineStr">
        <is>
          <t>https://www.facebook.com/australianhoteltownsville</t>
        </is>
      </c>
      <c r="L97" s="2" t="inlineStr">
        <is>
          <t>no real website (uses www.facebook.com)</t>
        </is>
      </c>
      <c r="M97" s="2" t="inlineStr">
        <is>
          <t>Hi Australian Hotel team! [one real detail from their page]. We're AceAds, a web design studio. We noticed that when people in Townsville search for a bar on Google, they only find your Facebook, not a website of your own. We'd be happy to make you a free preview of what a website could look like. Want one? No cost, no obligation.</t>
        </is>
      </c>
      <c r="N97" s="4" t="inlineStr">
        <is>
          <t>Open map</t>
        </is>
      </c>
      <c r="O97" s="2" t="inlineStr">
        <is>
          <t>Not contacted</t>
        </is>
      </c>
      <c r="P97" s="2" t="inlineStr"/>
      <c r="Q97" s="2" t="inlineStr"/>
      <c r="R97" s="2" t="inlineStr"/>
      <c r="S97" s="2" t="inlineStr"/>
    </row>
    <row r="98">
      <c r="A98" s="2" t="n">
        <v>97</v>
      </c>
      <c r="B98" s="3" t="inlineStr">
        <is>
          <t>HIGH</t>
        </is>
      </c>
      <c r="C98" s="2" t="inlineStr">
        <is>
          <t>No own website</t>
        </is>
      </c>
      <c r="D98" s="2" t="inlineStr">
        <is>
          <t>Gentleman Jones Barber Shop</t>
        </is>
      </c>
      <c r="E98" s="2" t="inlineStr">
        <is>
          <t>barber or hairdresser</t>
        </is>
      </c>
      <c r="F98" s="2" t="inlineStr">
        <is>
          <t>Townsville</t>
        </is>
      </c>
      <c r="G98" s="2" t="inlineStr">
        <is>
          <t>Facebook</t>
        </is>
      </c>
      <c r="H98" s="2" t="inlineStr"/>
      <c r="I98" s="4" t="inlineStr">
        <is>
          <t>https://www.facebook.com/pages/category/Local-Business/Gentleman-Jones-235990806595718</t>
        </is>
      </c>
      <c r="J98" s="2" t="inlineStr"/>
      <c r="K98" s="4" t="inlineStr">
        <is>
          <t>https://www.facebook.com/pages/category/Local-Business/Gentleman-Jones-235990806595718</t>
        </is>
      </c>
      <c r="L98" s="2" t="inlineStr">
        <is>
          <t>no real website (uses www.facebook.com)</t>
        </is>
      </c>
      <c r="M98" s="2" t="inlineStr">
        <is>
          <t>Hi Gentleman Jones Barber Shop team! [one real detail from their page]. We're AceAds, a web design studio. We noticed that when people in Townsville search for a hairdresser on Google, they only find your Facebook, not a website of your own. We'd be happy to make you a free preview of what a website could look like. Want one? No cost, no obligation.</t>
        </is>
      </c>
      <c r="N98" s="4" t="inlineStr">
        <is>
          <t>Open map</t>
        </is>
      </c>
      <c r="O98" s="2" t="inlineStr">
        <is>
          <t>Not contacted</t>
        </is>
      </c>
      <c r="P98" s="2" t="inlineStr"/>
      <c r="Q98" s="2" t="inlineStr"/>
      <c r="R98" s="2" t="inlineStr"/>
      <c r="S98" s="2" t="inlineStr"/>
    </row>
    <row r="99">
      <c r="A99" s="2" t="n">
        <v>98</v>
      </c>
      <c r="B99" s="3" t="inlineStr">
        <is>
          <t>HIGH</t>
        </is>
      </c>
      <c r="C99" s="2" t="inlineStr">
        <is>
          <t>No own website</t>
        </is>
      </c>
      <c r="D99" s="2" t="inlineStr">
        <is>
          <t>She Creative Hair</t>
        </is>
      </c>
      <c r="E99" s="2" t="inlineStr">
        <is>
          <t>barber or hairdresser</t>
        </is>
      </c>
      <c r="F99" s="2" t="inlineStr">
        <is>
          <t>Townsville</t>
        </is>
      </c>
      <c r="G99" s="2" t="inlineStr">
        <is>
          <t>Facebook</t>
        </is>
      </c>
      <c r="H99" s="2" t="inlineStr"/>
      <c r="I99" s="4" t="inlineStr">
        <is>
          <t>https://www.facebook.com/shecreativehair.com.au/</t>
        </is>
      </c>
      <c r="J99" s="2" t="inlineStr">
        <is>
          <t>+61 7 4721 1110</t>
        </is>
      </c>
      <c r="K99" s="4" t="inlineStr">
        <is>
          <t>https://www.facebook.com/shecreativehair.com.au/</t>
        </is>
      </c>
      <c r="L99" s="2" t="inlineStr">
        <is>
          <t>no real website (uses www.facebook.com)</t>
        </is>
      </c>
      <c r="M99" s="2" t="inlineStr">
        <is>
          <t>Hi She Creative Hair team! [one real detail from their page]. We're AceAds, a web design studio. We noticed that when people in Townsville search for a hairdresser on Google, they only find your Facebook, not a website of your own. We'd be happy to make you a free preview of what a website could look like. Want one? No cost, no obligation.</t>
        </is>
      </c>
      <c r="N99" s="4" t="inlineStr">
        <is>
          <t>Open map</t>
        </is>
      </c>
      <c r="O99" s="2" t="inlineStr">
        <is>
          <t>Not contacted</t>
        </is>
      </c>
      <c r="P99" s="2" t="inlineStr"/>
      <c r="Q99" s="2" t="inlineStr"/>
      <c r="R99" s="2" t="inlineStr"/>
      <c r="S99" s="2" t="inlineStr"/>
    </row>
    <row r="100">
      <c r="A100" s="2" t="n">
        <v>99</v>
      </c>
      <c r="B100" s="3" t="inlineStr">
        <is>
          <t>HIGH</t>
        </is>
      </c>
      <c r="C100" s="2" t="inlineStr">
        <is>
          <t>No own website</t>
        </is>
      </c>
      <c r="D100" s="2" t="inlineStr">
        <is>
          <t>Alt Brew</t>
        </is>
      </c>
      <c r="E100" s="2" t="inlineStr">
        <is>
          <t>cafe</t>
        </is>
      </c>
      <c r="F100" s="2" t="inlineStr">
        <is>
          <t>Townsville</t>
        </is>
      </c>
      <c r="G100" s="2" t="inlineStr">
        <is>
          <t>Facebook</t>
        </is>
      </c>
      <c r="H100" s="2" t="inlineStr"/>
      <c r="I100" s="4" t="inlineStr">
        <is>
          <t>https://www.facebook.com/Alt-Brew-1325275994229457</t>
        </is>
      </c>
      <c r="J100" s="2" t="inlineStr"/>
      <c r="K100" s="4" t="inlineStr">
        <is>
          <t>https://www.facebook.com/Alt-Brew-1325275994229457</t>
        </is>
      </c>
      <c r="L100" s="2" t="inlineStr">
        <is>
          <t>no real website (uses www.facebook.com)</t>
        </is>
      </c>
      <c r="M100" s="2" t="inlineStr">
        <is>
          <t>Hi Alt Brew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00" s="4" t="inlineStr">
        <is>
          <t>Open map</t>
        </is>
      </c>
      <c r="O100" s="2" t="inlineStr">
        <is>
          <t>Not contacted</t>
        </is>
      </c>
      <c r="P100" s="2" t="inlineStr"/>
      <c r="Q100" s="2" t="inlineStr"/>
      <c r="R100" s="2" t="inlineStr"/>
      <c r="S100" s="2" t="inlineStr"/>
    </row>
    <row r="101">
      <c r="A101" s="2" t="n">
        <v>100</v>
      </c>
      <c r="B101" s="3" t="inlineStr">
        <is>
          <t>HIGH</t>
        </is>
      </c>
      <c r="C101" s="2" t="inlineStr">
        <is>
          <t>No own website</t>
        </is>
      </c>
      <c r="D101" s="2" t="inlineStr">
        <is>
          <t>Old Railway Cafe</t>
        </is>
      </c>
      <c r="E101" s="2" t="inlineStr">
        <is>
          <t>cafe</t>
        </is>
      </c>
      <c r="F101" s="2" t="inlineStr">
        <is>
          <t>Townsville</t>
        </is>
      </c>
      <c r="G101" s="2" t="inlineStr">
        <is>
          <t>Facebook</t>
        </is>
      </c>
      <c r="H101" s="2" t="inlineStr"/>
      <c r="I101" s="4" t="inlineStr">
        <is>
          <t>https://www.facebook.com/theoldrailwaycafe</t>
        </is>
      </c>
      <c r="J101" s="2" t="inlineStr"/>
      <c r="K101" s="4" t="inlineStr">
        <is>
          <t>https://www.facebook.com/theoldrailwaycafe</t>
        </is>
      </c>
      <c r="L101" s="2" t="inlineStr">
        <is>
          <t>no real website (uses www.facebook.com)</t>
        </is>
      </c>
      <c r="M101" s="2" t="inlineStr">
        <is>
          <t>Hi Old Railway Cafe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01" s="4" t="inlineStr">
        <is>
          <t>Open map</t>
        </is>
      </c>
      <c r="O101" s="2" t="inlineStr">
        <is>
          <t>Not contacted</t>
        </is>
      </c>
      <c r="P101" s="2" t="inlineStr"/>
      <c r="Q101" s="2" t="inlineStr"/>
      <c r="R101" s="2" t="inlineStr"/>
      <c r="S101" s="2" t="inlineStr"/>
    </row>
    <row r="102">
      <c r="A102" s="2" t="n">
        <v>101</v>
      </c>
      <c r="B102" s="3" t="inlineStr">
        <is>
          <t>HIGH</t>
        </is>
      </c>
      <c r="C102" s="2" t="inlineStr">
        <is>
          <t>No own website</t>
        </is>
      </c>
      <c r="D102" s="2" t="inlineStr">
        <is>
          <t>The Spirited Goat</t>
        </is>
      </c>
      <c r="E102" s="2" t="inlineStr">
        <is>
          <t>cafe</t>
        </is>
      </c>
      <c r="F102" s="2" t="inlineStr">
        <is>
          <t>Townsville</t>
        </is>
      </c>
      <c r="G102" s="2" t="inlineStr">
        <is>
          <t>Facebook</t>
        </is>
      </c>
      <c r="H102" s="2" t="inlineStr"/>
      <c r="I102" s="4" t="inlineStr">
        <is>
          <t>https://www.facebook.com/The-Spirited-Goat-475954869187116</t>
        </is>
      </c>
      <c r="J102" s="2" t="inlineStr"/>
      <c r="K102" s="4" t="inlineStr">
        <is>
          <t>https://www.facebook.com/The-Spirited-Goat-475954869187116</t>
        </is>
      </c>
      <c r="L102" s="2" t="inlineStr">
        <is>
          <t>no real website (uses www.facebook.com)</t>
        </is>
      </c>
      <c r="M102" s="2" t="inlineStr">
        <is>
          <t>Hi The Spirited Goat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02" s="4" t="inlineStr">
        <is>
          <t>Open map</t>
        </is>
      </c>
      <c r="O102" s="2" t="inlineStr">
        <is>
          <t>Not contacted</t>
        </is>
      </c>
      <c r="P102" s="2" t="inlineStr"/>
      <c r="Q102" s="2" t="inlineStr"/>
      <c r="R102" s="2" t="inlineStr"/>
      <c r="S102" s="2" t="inlineStr"/>
    </row>
    <row r="103">
      <c r="A103" s="2" t="n">
        <v>102</v>
      </c>
      <c r="B103" s="3" t="inlineStr">
        <is>
          <t>HIGH</t>
        </is>
      </c>
      <c r="C103" s="2" t="inlineStr">
        <is>
          <t>No own website</t>
        </is>
      </c>
      <c r="D103" s="2" t="inlineStr">
        <is>
          <t>Precinct Fine Meats</t>
        </is>
      </c>
      <c r="E103" s="2" t="inlineStr">
        <is>
          <t>deli or specialty food</t>
        </is>
      </c>
      <c r="F103" s="2" t="inlineStr">
        <is>
          <t>Townsville</t>
        </is>
      </c>
      <c r="G103" s="2" t="inlineStr">
        <is>
          <t>Facebook</t>
        </is>
      </c>
      <c r="H103" s="2" t="inlineStr"/>
      <c r="I103" s="4" t="inlineStr">
        <is>
          <t>https://www.facebook.com/ottosmarketprecinct</t>
        </is>
      </c>
      <c r="J103" s="2" t="inlineStr"/>
      <c r="K103" s="4" t="inlineStr">
        <is>
          <t>https://www.facebook.com/ottosmarketprecinct</t>
        </is>
      </c>
      <c r="L103" s="2" t="inlineStr">
        <is>
          <t>no real website (uses www.facebook.com)</t>
        </is>
      </c>
      <c r="M103" s="2" t="inlineStr">
        <is>
          <t>Hi Precinct Fine Meats team! [one real detail from their page]. We're AceAds, a web design studio. We noticed that when people in Townsville search for a local food store on Google, they only find your Facebook, not a website of your own. We'd be happy to make you a free preview of what a website could look like. Want one? No cost, no obligation.</t>
        </is>
      </c>
      <c r="N103" s="4" t="inlineStr">
        <is>
          <t>Open map</t>
        </is>
      </c>
      <c r="O103" s="2" t="inlineStr">
        <is>
          <t>Not contacted</t>
        </is>
      </c>
      <c r="P103" s="2" t="inlineStr"/>
      <c r="Q103" s="2" t="inlineStr"/>
      <c r="R103" s="2" t="inlineStr"/>
      <c r="S103" s="2" t="inlineStr"/>
    </row>
    <row r="104">
      <c r="A104" s="2" t="n">
        <v>103</v>
      </c>
      <c r="B104" s="3" t="inlineStr">
        <is>
          <t>HIGH</t>
        </is>
      </c>
      <c r="C104" s="2" t="inlineStr">
        <is>
          <t>No own website</t>
        </is>
      </c>
      <c r="D104" s="2" t="inlineStr">
        <is>
          <t>NCS Automotive Townsville</t>
        </is>
      </c>
      <c r="E104" s="2" t="inlineStr">
        <is>
          <t>mechanic</t>
        </is>
      </c>
      <c r="F104" s="2" t="inlineStr">
        <is>
          <t>Townsville</t>
        </is>
      </c>
      <c r="G104" s="2" t="inlineStr">
        <is>
          <t>Facebook</t>
        </is>
      </c>
      <c r="H104" s="2" t="inlineStr"/>
      <c r="I104" s="4" t="inlineStr">
        <is>
          <t>https://www.facebook.com/NCSAutomotiveTownsville/</t>
        </is>
      </c>
      <c r="J104" s="2" t="inlineStr">
        <is>
          <t>+61 7 4775 5665</t>
        </is>
      </c>
      <c r="K104" s="4" t="inlineStr">
        <is>
          <t>https://www.facebook.com/NCSAutomotiveTownsville/</t>
        </is>
      </c>
      <c r="L104" s="2" t="inlineStr">
        <is>
          <t>no real website (uses www.facebook.com)</t>
        </is>
      </c>
      <c r="M104" s="2" t="inlineStr">
        <is>
          <t>Hi NCS Automotive Townsville team! [one real detail from their page]. We're AceAds, a web design studio. We noticed that when people in Townsville search for a mechanic on Google, they only find your Facebook, not a website of your own. We'd be happy to make you a free preview of what a website could look like. Want one? No cost, no obligation.</t>
        </is>
      </c>
      <c r="N104" s="4" t="inlineStr">
        <is>
          <t>Open map</t>
        </is>
      </c>
      <c r="O104" s="2" t="inlineStr">
        <is>
          <t>Not contacted</t>
        </is>
      </c>
      <c r="P104" s="2" t="inlineStr"/>
      <c r="Q104" s="2" t="inlineStr"/>
      <c r="R104" s="2" t="inlineStr"/>
      <c r="S104" s="2" t="inlineStr"/>
    </row>
    <row r="105">
      <c r="A105" s="2" t="n">
        <v>104</v>
      </c>
      <c r="B105" s="3" t="inlineStr">
        <is>
          <t>HIGH</t>
        </is>
      </c>
      <c r="C105" s="2" t="inlineStr">
        <is>
          <t>No own website</t>
        </is>
      </c>
      <c r="D105" s="2" t="inlineStr">
        <is>
          <t>Aroi Bangkok Thai Restaurant</t>
        </is>
      </c>
      <c r="E105" s="2" t="inlineStr">
        <is>
          <t>restaurant</t>
        </is>
      </c>
      <c r="F105" s="2" t="inlineStr">
        <is>
          <t>Townsville</t>
        </is>
      </c>
      <c r="G105" s="2" t="inlineStr">
        <is>
          <t>Facebook</t>
        </is>
      </c>
      <c r="H105" s="2" t="inlineStr"/>
      <c r="I105" s="4" t="inlineStr">
        <is>
          <t>https://www.facebook.com/AroiBangkokThaiRestaurant</t>
        </is>
      </c>
      <c r="J105" s="2" t="inlineStr"/>
      <c r="K105" s="4" t="inlineStr">
        <is>
          <t>https://www.facebook.com/AroiBangkokThaiRestaurant</t>
        </is>
      </c>
      <c r="L105" s="2" t="inlineStr">
        <is>
          <t>no real website (uses www.facebook.com)</t>
        </is>
      </c>
      <c r="M105" s="2" t="inlineStr">
        <is>
          <t>Hi Aroi Bangkok Thai Restaurant team! [one real detail from their page]. We're AceAds, a web design studio. We noticed that when people in Townsville search for a restaurant on Google, they only find your Facebook, not a website of your own. We'd be happy to make you a free preview of what a website could look like. Want one? No cost, no obligation.</t>
        </is>
      </c>
      <c r="N105" s="4" t="inlineStr">
        <is>
          <t>Open map</t>
        </is>
      </c>
      <c r="O105" s="2" t="inlineStr">
        <is>
          <t>Not contacted</t>
        </is>
      </c>
      <c r="P105" s="2" t="inlineStr"/>
      <c r="Q105" s="2" t="inlineStr"/>
      <c r="R105" s="2" t="inlineStr"/>
      <c r="S105" s="2" t="inlineStr"/>
    </row>
    <row r="106">
      <c r="A106" s="2" t="n">
        <v>105</v>
      </c>
      <c r="B106" s="3" t="inlineStr">
        <is>
          <t>HIGH</t>
        </is>
      </c>
      <c r="C106" s="2" t="inlineStr">
        <is>
          <t>No own website</t>
        </is>
      </c>
      <c r="D106" s="2" t="inlineStr">
        <is>
          <t>Lotus Saigon</t>
        </is>
      </c>
      <c r="E106" s="2" t="inlineStr">
        <is>
          <t>restaurant</t>
        </is>
      </c>
      <c r="F106" s="2" t="inlineStr">
        <is>
          <t>Townsville</t>
        </is>
      </c>
      <c r="G106" s="2" t="inlineStr">
        <is>
          <t>Instagram</t>
        </is>
      </c>
      <c r="H106" s="4" t="inlineStr">
        <is>
          <t>https://www.instagram.com/lotussaigonts</t>
        </is>
      </c>
      <c r="I106" s="4" t="inlineStr">
        <is>
          <t>https://www.facebook.com/lotussaigontsv</t>
        </is>
      </c>
      <c r="J106" s="2" t="inlineStr">
        <is>
          <t>+61 7 4721 3349</t>
        </is>
      </c>
      <c r="K106" s="4" t="inlineStr">
        <is>
          <t>https://lotus-saigon.business.site/</t>
        </is>
      </c>
      <c r="L106" s="2" t="inlineStr">
        <is>
          <t>no real website (uses lotus-saigon.business.site)</t>
        </is>
      </c>
      <c r="M106" s="2" t="inlineStr">
        <is>
          <t>Hi Lotus Saigon team! [one real detail from their page]. We're AceAds, a web design studio. We noticed that when people in Townsville search for a restaurant on Google, they only find your Instagram, not a website of your own. We'd be happy to make you a free preview of what a website could look like. Want one? No cost, no obligation.</t>
        </is>
      </c>
      <c r="N106" s="4" t="inlineStr">
        <is>
          <t>Open map</t>
        </is>
      </c>
      <c r="O106" s="2" t="inlineStr">
        <is>
          <t>Not contacted</t>
        </is>
      </c>
      <c r="P106" s="2" t="inlineStr"/>
      <c r="Q106" s="2" t="inlineStr"/>
      <c r="R106" s="2" t="inlineStr"/>
      <c r="S106" s="2" t="inlineStr"/>
    </row>
    <row r="107">
      <c r="A107" s="2" t="n">
        <v>106</v>
      </c>
      <c r="B107" s="3" t="inlineStr">
        <is>
          <t>HIGH</t>
        </is>
      </c>
      <c r="C107" s="2" t="inlineStr">
        <is>
          <t>'Not secure' warning</t>
        </is>
      </c>
      <c r="D107" s="2" t="inlineStr">
        <is>
          <t>Wavell Heights Kindergarten</t>
        </is>
      </c>
      <c r="E107" s="2" t="inlineStr">
        <is>
          <t>childcare</t>
        </is>
      </c>
      <c r="F107" s="2" t="inlineStr">
        <is>
          <t>Brisbane</t>
        </is>
      </c>
      <c r="G107" s="2" t="inlineStr">
        <is>
          <t>Facebook</t>
        </is>
      </c>
      <c r="H107" s="2" t="inlineStr"/>
      <c r="I107" s="4" t="inlineStr">
        <is>
          <t>https://www.facebook.com/WHKindy/</t>
        </is>
      </c>
      <c r="J107" s="2" t="inlineStr"/>
      <c r="K107" s="4" t="inlineStr">
        <is>
          <t>https://www.wavellheightskindergarten.com.au</t>
        </is>
      </c>
      <c r="L107" s="2" t="inlineStr">
        <is>
          <t>security certificate error (browsers warn visitors away)</t>
        </is>
      </c>
      <c r="M107" s="2" t="inlineStr">
        <is>
          <t>Hi Wavell Heights Kindergarten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07" s="4" t="inlineStr">
        <is>
          <t>Open map</t>
        </is>
      </c>
      <c r="O107" s="2" t="inlineStr">
        <is>
          <t>Not contacted</t>
        </is>
      </c>
      <c r="P107" s="2" t="inlineStr"/>
      <c r="Q107" s="2" t="inlineStr"/>
      <c r="R107" s="2" t="inlineStr"/>
      <c r="S107" s="2" t="inlineStr"/>
    </row>
    <row r="108">
      <c r="A108" s="2" t="n">
        <v>107</v>
      </c>
      <c r="B108" s="3" t="inlineStr">
        <is>
          <t>HIGH</t>
        </is>
      </c>
      <c r="C108" s="2" t="inlineStr">
        <is>
          <t>'Not secure' warning</t>
        </is>
      </c>
      <c r="D108" s="2" t="inlineStr">
        <is>
          <t>Dutton Park Family Dental</t>
        </is>
      </c>
      <c r="E108" s="2" t="inlineStr">
        <is>
          <t>dentist</t>
        </is>
      </c>
      <c r="F108" s="2" t="inlineStr">
        <is>
          <t>Brisbane</t>
        </is>
      </c>
      <c r="G108" s="2" t="inlineStr">
        <is>
          <t>Instagram</t>
        </is>
      </c>
      <c r="H108" s="4" t="inlineStr">
        <is>
          <t>https://www.instagram.com/duttonparkfamilydental</t>
        </is>
      </c>
      <c r="I108" s="2" t="inlineStr"/>
      <c r="J108" s="2" t="inlineStr">
        <is>
          <t>+61 7 3179 7800</t>
        </is>
      </c>
      <c r="K108" s="4" t="inlineStr">
        <is>
          <t>https://www.duttonparkfamilydental.com.au/</t>
        </is>
      </c>
      <c r="L108" s="2" t="inlineStr">
        <is>
          <t>security certificate error (browsers warn visitors away)</t>
        </is>
      </c>
      <c r="M108" s="2" t="inlineStr">
        <is>
          <t>Hi Dutton Park Family Dental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08" s="4" t="inlineStr">
        <is>
          <t>Open map</t>
        </is>
      </c>
      <c r="O108" s="2" t="inlineStr">
        <is>
          <t>Not contacted</t>
        </is>
      </c>
      <c r="P108" s="2" t="inlineStr"/>
      <c r="Q108" s="2" t="inlineStr"/>
      <c r="R108" s="2" t="inlineStr"/>
      <c r="S108" s="2" t="inlineStr"/>
    </row>
    <row r="109">
      <c r="A109" s="2" t="n">
        <v>108</v>
      </c>
      <c r="B109" s="3" t="inlineStr">
        <is>
          <t>HIGH</t>
        </is>
      </c>
      <c r="C109" s="2" t="inlineStr">
        <is>
          <t>'Not secure' warning</t>
        </is>
      </c>
      <c r="D109" s="2" t="inlineStr">
        <is>
          <t>Oxley Nursery</t>
        </is>
      </c>
      <c r="E109" s="2" t="inlineStr">
        <is>
          <t>landscaper</t>
        </is>
      </c>
      <c r="F109" s="2" t="inlineStr">
        <is>
          <t>Brisbane</t>
        </is>
      </c>
      <c r="G109" s="2" t="inlineStr">
        <is>
          <t>Facebook</t>
        </is>
      </c>
      <c r="H109" s="2" t="inlineStr"/>
      <c r="I109" s="4" t="inlineStr">
        <is>
          <t>https://www.facebook.com/oxleynursery/</t>
        </is>
      </c>
      <c r="J109" s="2" t="inlineStr"/>
      <c r="K109" s="4" t="inlineStr">
        <is>
          <t>https://www.oxleynursery.com.au/</t>
        </is>
      </c>
      <c r="L109" s="2" t="inlineStr">
        <is>
          <t>security certificate error (browsers warn visitors away)</t>
        </is>
      </c>
      <c r="M109" s="2" t="inlineStr">
        <is>
          <t>Hi Oxley Nursery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09" s="4" t="inlineStr">
        <is>
          <t>Open map</t>
        </is>
      </c>
      <c r="O109" s="2" t="inlineStr">
        <is>
          <t>Not contacted</t>
        </is>
      </c>
      <c r="P109" s="2" t="inlineStr"/>
      <c r="Q109" s="2" t="inlineStr"/>
      <c r="R109" s="2" t="inlineStr"/>
      <c r="S109" s="2" t="inlineStr"/>
    </row>
    <row r="110">
      <c r="A110" s="2" t="n">
        <v>109</v>
      </c>
      <c r="B110" s="3" t="inlineStr">
        <is>
          <t>HIGH</t>
        </is>
      </c>
      <c r="C110" s="2" t="inlineStr">
        <is>
          <t>'Not secure' warning</t>
        </is>
      </c>
      <c r="D110" s="2" t="inlineStr">
        <is>
          <t>Supperclub Maggie May</t>
        </is>
      </c>
      <c r="E110" s="2" t="inlineStr">
        <is>
          <t>restaurant</t>
        </is>
      </c>
      <c r="F110" s="2" t="inlineStr">
        <is>
          <t>Brisbane</t>
        </is>
      </c>
      <c r="G110" s="2" t="inlineStr">
        <is>
          <t>Instagram</t>
        </is>
      </c>
      <c r="H110" s="4" t="inlineStr">
        <is>
          <t>https://www.instagram.com/maggiemaybne</t>
        </is>
      </c>
      <c r="I110" s="4" t="inlineStr">
        <is>
          <t>https://www.facebook.com/maggiemaybne</t>
        </is>
      </c>
      <c r="J110" s="2" t="inlineStr">
        <is>
          <t>+61 7 3166 2479</t>
        </is>
      </c>
      <c r="K110" s="4" t="inlineStr">
        <is>
          <t>https://maggiemaybne.com.au/</t>
        </is>
      </c>
      <c r="L110" s="2" t="inlineStr">
        <is>
          <t>security certificate error (browsers warn visitors away)</t>
        </is>
      </c>
      <c r="M110" s="2" t="inlineStr">
        <is>
          <t>Hi Supperclub Maggie May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0" s="4" t="inlineStr">
        <is>
          <t>Open map</t>
        </is>
      </c>
      <c r="O110" s="2" t="inlineStr">
        <is>
          <t>Not contacted</t>
        </is>
      </c>
      <c r="P110" s="2" t="inlineStr"/>
      <c r="Q110" s="2" t="inlineStr"/>
      <c r="R110" s="2" t="inlineStr"/>
      <c r="S110" s="2" t="inlineStr"/>
    </row>
    <row r="111">
      <c r="A111" s="2" t="n">
        <v>110</v>
      </c>
      <c r="B111" s="3" t="inlineStr">
        <is>
          <t>HIGH</t>
        </is>
      </c>
      <c r="C111" s="2" t="inlineStr">
        <is>
          <t>'Not secure' warning</t>
        </is>
      </c>
      <c r="D111" s="2" t="inlineStr">
        <is>
          <t>Flour of Life Bakery</t>
        </is>
      </c>
      <c r="E111" s="2" t="inlineStr">
        <is>
          <t>bakery</t>
        </is>
      </c>
      <c r="F111" s="2" t="inlineStr">
        <is>
          <t>Gold Coast</t>
        </is>
      </c>
      <c r="G111" s="2" t="inlineStr">
        <is>
          <t>Facebook</t>
        </is>
      </c>
      <c r="H111" s="2" t="inlineStr"/>
      <c r="I111" s="4" t="inlineStr">
        <is>
          <t>https://www.facebook.com/FlourOfLife</t>
        </is>
      </c>
      <c r="J111" s="2" t="inlineStr">
        <is>
          <t>+61 7 5511 1676</t>
        </is>
      </c>
      <c r="K111" s="4" t="inlineStr">
        <is>
          <t>https://flouroflifebakery.com.au</t>
        </is>
      </c>
      <c r="L111" s="2" t="inlineStr">
        <is>
          <t>security certificate error (browsers warn visitors away)</t>
        </is>
      </c>
      <c r="M111" s="2" t="inlineStr">
        <is>
          <t>Hi Flour of Life Bakery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1" s="4" t="inlineStr">
        <is>
          <t>Open map</t>
        </is>
      </c>
      <c r="O111" s="2" t="inlineStr">
        <is>
          <t>Not contacted</t>
        </is>
      </c>
      <c r="P111" s="2" t="inlineStr"/>
      <c r="Q111" s="2" t="inlineStr"/>
      <c r="R111" s="2" t="inlineStr"/>
      <c r="S111" s="2" t="inlineStr"/>
    </row>
    <row r="112">
      <c r="A112" s="2" t="n">
        <v>111</v>
      </c>
      <c r="B112" s="3" t="inlineStr">
        <is>
          <t>HIGH</t>
        </is>
      </c>
      <c r="C112" s="2" t="inlineStr">
        <is>
          <t>'Not secure' warning</t>
        </is>
      </c>
      <c r="D112" s="2" t="inlineStr">
        <is>
          <t>Naughty Bean Cafe</t>
        </is>
      </c>
      <c r="E112" s="2" t="inlineStr">
        <is>
          <t>cafe</t>
        </is>
      </c>
      <c r="F112" s="2" t="inlineStr">
        <is>
          <t>Gold Coast</t>
        </is>
      </c>
      <c r="G112" s="2" t="inlineStr">
        <is>
          <t>Facebook</t>
        </is>
      </c>
      <c r="H112" s="2" t="inlineStr"/>
      <c r="I112" s="4" t="inlineStr">
        <is>
          <t>https://www.facebook.com/beancafe2016/</t>
        </is>
      </c>
      <c r="J112" s="2" t="inlineStr">
        <is>
          <t>+61 7 5520 4209</t>
        </is>
      </c>
      <c r="K112" s="4" t="inlineStr">
        <is>
          <t>https://naughtybeancafe.com.au/</t>
        </is>
      </c>
      <c r="L112" s="2" t="inlineStr">
        <is>
          <t>security certificate error (browsers warn visitors away)</t>
        </is>
      </c>
      <c r="M112" s="2" t="inlineStr">
        <is>
          <t>Hi Naughty Bean Cafe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2" s="4" t="inlineStr">
        <is>
          <t>Open map</t>
        </is>
      </c>
      <c r="O112" s="2" t="inlineStr">
        <is>
          <t>Not contacted</t>
        </is>
      </c>
      <c r="P112" s="2" t="inlineStr"/>
      <c r="Q112" s="2" t="inlineStr"/>
      <c r="R112" s="2" t="inlineStr"/>
      <c r="S112" s="2" t="inlineStr"/>
    </row>
    <row r="113">
      <c r="A113" s="2" t="n">
        <v>112</v>
      </c>
      <c r="B113" s="3" t="inlineStr">
        <is>
          <t>HIGH</t>
        </is>
      </c>
      <c r="C113" s="2" t="inlineStr">
        <is>
          <t>'Not secure' warning</t>
        </is>
      </c>
      <c r="D113" s="2" t="inlineStr">
        <is>
          <t>The Witch Hotel</t>
        </is>
      </c>
      <c r="E113" s="2" t="inlineStr">
        <is>
          <t>bar or pub</t>
        </is>
      </c>
      <c r="F113" s="2" t="inlineStr">
        <is>
          <t>Ipswich</t>
        </is>
      </c>
      <c r="G113" s="2" t="inlineStr">
        <is>
          <t>Facebook</t>
        </is>
      </c>
      <c r="H113" s="2" t="inlineStr"/>
      <c r="I113" s="4" t="inlineStr">
        <is>
          <t>https://www.facebook.com/thewitchhotel/</t>
        </is>
      </c>
      <c r="J113" s="2" t="inlineStr">
        <is>
          <t>+61 7 3812 1113</t>
        </is>
      </c>
      <c r="K113" s="4" t="inlineStr">
        <is>
          <t>https://www.witchhotel.com/</t>
        </is>
      </c>
      <c r="L113" s="2" t="inlineStr">
        <is>
          <t>security certificate error (browsers warn visitors away)</t>
        </is>
      </c>
      <c r="M113" s="2" t="inlineStr">
        <is>
          <t>Hi The Witch Hotel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3" s="4" t="inlineStr">
        <is>
          <t>Open map</t>
        </is>
      </c>
      <c r="O113" s="2" t="inlineStr">
        <is>
          <t>Not contacted</t>
        </is>
      </c>
      <c r="P113" s="2" t="inlineStr"/>
      <c r="Q113" s="2" t="inlineStr"/>
      <c r="R113" s="2" t="inlineStr"/>
      <c r="S113" s="2" t="inlineStr"/>
    </row>
    <row r="114">
      <c r="A114" s="2" t="n">
        <v>113</v>
      </c>
      <c r="B114" s="3" t="inlineStr">
        <is>
          <t>HIGH</t>
        </is>
      </c>
      <c r="C114" s="2" t="inlineStr">
        <is>
          <t>'Not secure' warning</t>
        </is>
      </c>
      <c r="D114" s="2" t="inlineStr">
        <is>
          <t>Westbrook Tavern</t>
        </is>
      </c>
      <c r="E114" s="2" t="inlineStr">
        <is>
          <t>bar or pub</t>
        </is>
      </c>
      <c r="F114" s="2" t="inlineStr">
        <is>
          <t>Toowoomba</t>
        </is>
      </c>
      <c r="G114" s="2" t="inlineStr">
        <is>
          <t>Facebook</t>
        </is>
      </c>
      <c r="H114" s="2" t="inlineStr"/>
      <c r="I114" s="4" t="inlineStr">
        <is>
          <t>https://www.facebook.com/westbrooktavern</t>
        </is>
      </c>
      <c r="J114" s="2" t="inlineStr"/>
      <c r="K114" s="4" t="inlineStr">
        <is>
          <t>https://www.westbrooktavern.com.au/</t>
        </is>
      </c>
      <c r="L114" s="2" t="inlineStr">
        <is>
          <t>security certificate error (browsers warn visitors away)</t>
        </is>
      </c>
      <c r="M114" s="2" t="inlineStr">
        <is>
          <t>Hi Westbrook Tavern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4" s="4" t="inlineStr">
        <is>
          <t>Open map</t>
        </is>
      </c>
      <c r="O114" s="2" t="inlineStr">
        <is>
          <t>Not contacted</t>
        </is>
      </c>
      <c r="P114" s="2" t="inlineStr"/>
      <c r="Q114" s="2" t="inlineStr"/>
      <c r="R114" s="2" t="inlineStr"/>
      <c r="S114" s="2" t="inlineStr"/>
    </row>
    <row r="115">
      <c r="A115" s="2" t="n">
        <v>114</v>
      </c>
      <c r="B115" s="3" t="inlineStr">
        <is>
          <t>HIGH</t>
        </is>
      </c>
      <c r="C115" s="2" t="inlineStr">
        <is>
          <t>'Not secure' warning</t>
        </is>
      </c>
      <c r="D115" s="2" t="inlineStr">
        <is>
          <t>Black Temple</t>
        </is>
      </c>
      <c r="E115" s="2" t="inlineStr">
        <is>
          <t>tattoo studio</t>
        </is>
      </c>
      <c r="F115" s="2" t="inlineStr">
        <is>
          <t>Townsville</t>
        </is>
      </c>
      <c r="G115" s="2" t="inlineStr">
        <is>
          <t>Instagram</t>
        </is>
      </c>
      <c r="H115" s="4" t="inlineStr">
        <is>
          <t>https://www.instagram.com/blacktempletattootsv</t>
        </is>
      </c>
      <c r="I115" s="4" t="inlineStr">
        <is>
          <t>https://www.facebook.com/blacktempletattootownsville</t>
        </is>
      </c>
      <c r="J115" s="2" t="inlineStr">
        <is>
          <t>+61 435 822 760</t>
        </is>
      </c>
      <c r="K115" s="4" t="inlineStr">
        <is>
          <t>https://blacktempletattoo.com.au</t>
        </is>
      </c>
      <c r="L115" s="2" t="inlineStr">
        <is>
          <t>security certificate error (browsers warn visitors away)</t>
        </is>
      </c>
      <c r="M115" s="2" t="inlineStr">
        <is>
          <t>Hi Black Temple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15" s="4" t="inlineStr">
        <is>
          <t>Open map</t>
        </is>
      </c>
      <c r="O115" s="2" t="inlineStr">
        <is>
          <t>Not contacted</t>
        </is>
      </c>
      <c r="P115" s="2" t="inlineStr"/>
      <c r="Q115" s="2" t="inlineStr"/>
      <c r="R115" s="2" t="inlineStr"/>
      <c r="S115" s="2" t="inlineStr"/>
    </row>
    <row r="116">
      <c r="A116" s="2" t="n">
        <v>115</v>
      </c>
      <c r="B116" s="5" t="inlineStr">
        <is>
          <t>VERIFY FIRST</t>
        </is>
      </c>
      <c r="C116" s="2" t="inlineStr">
        <is>
          <t>No website found</t>
        </is>
      </c>
      <c r="D116" s="2" t="inlineStr">
        <is>
          <t>Colonial Court Holiday Apartments</t>
        </is>
      </c>
      <c r="E116" s="2" t="inlineStr">
        <is>
          <t>accommodation</t>
        </is>
      </c>
      <c r="F116" s="2" t="inlineStr">
        <is>
          <t>Airlie Beach</t>
        </is>
      </c>
      <c r="G116" s="2" t="inlineStr">
        <is>
          <t>Facebook</t>
        </is>
      </c>
      <c r="H116" s="2" t="inlineStr"/>
      <c r="I116" s="4" t="inlineStr">
        <is>
          <t>https://www.facebook.com/ColonialCourtHolidayApartements</t>
        </is>
      </c>
      <c r="J116" s="2" t="inlineStr"/>
      <c r="K116" s="2" t="inlineStr"/>
      <c r="L116" s="2" t="inlineStr">
        <is>
          <t>no website listed, only social media (verify on Google Maps)</t>
        </is>
      </c>
      <c r="M116" s="2" t="inlineStr">
        <is>
          <t>Hi Colonial Court Holiday Apartments team! [one real detail from their page]. We're AceAds, a web design studio. We couldn't find a website for Colonial Court Holiday Apartments, only your Facebook. We'd be happy to make you a free preview of what a website could look like. Want one? No cost, no obligation.</t>
        </is>
      </c>
      <c r="N116" s="4" t="inlineStr">
        <is>
          <t>Open map</t>
        </is>
      </c>
      <c r="O116" s="2" t="inlineStr">
        <is>
          <t>Not contacted</t>
        </is>
      </c>
      <c r="P116" s="2" t="inlineStr"/>
      <c r="Q116" s="2" t="inlineStr"/>
      <c r="R116" s="2" t="inlineStr"/>
      <c r="S116" s="2" t="inlineStr"/>
    </row>
    <row r="117">
      <c r="A117" s="2" t="n">
        <v>116</v>
      </c>
      <c r="B117" s="5" t="inlineStr">
        <is>
          <t>VERIFY FIRST</t>
        </is>
      </c>
      <c r="C117" s="2" t="inlineStr">
        <is>
          <t>No website found</t>
        </is>
      </c>
      <c r="D117" s="2" t="inlineStr">
        <is>
          <t>Artisan Bakehouse</t>
        </is>
      </c>
      <c r="E117" s="2" t="inlineStr">
        <is>
          <t>bakery</t>
        </is>
      </c>
      <c r="F117" s="2" t="inlineStr">
        <is>
          <t>Airlie Beach</t>
        </is>
      </c>
      <c r="G117" s="2" t="inlineStr">
        <is>
          <t>Facebook</t>
        </is>
      </c>
      <c r="H117" s="2" t="inlineStr"/>
      <c r="I117" s="4" t="inlineStr">
        <is>
          <t>https://www.facebook.com/100065184004602</t>
        </is>
      </c>
      <c r="J117" s="2" t="inlineStr"/>
      <c r="K117" s="2" t="inlineStr"/>
      <c r="L117" s="2" t="inlineStr">
        <is>
          <t>no website listed, only social media (verify on Google Maps)</t>
        </is>
      </c>
      <c r="M117" s="2" t="inlineStr">
        <is>
          <t>Hi Artisan Bakehouse team! [one real detail from their page]. We're AceAds, a web design studio. We couldn't find a website for Artisan Bakehouse, only your Facebook. We'd be happy to make you a free preview of what a website could look like. Want one? No cost, no obligation.</t>
        </is>
      </c>
      <c r="N117" s="4" t="inlineStr">
        <is>
          <t>Open map</t>
        </is>
      </c>
      <c r="O117" s="2" t="inlineStr">
        <is>
          <t>Not contacted</t>
        </is>
      </c>
      <c r="P117" s="2" t="inlineStr"/>
      <c r="Q117" s="2" t="inlineStr"/>
      <c r="R117" s="2" t="inlineStr"/>
      <c r="S117" s="2" t="inlineStr"/>
    </row>
    <row r="118">
      <c r="A118" s="2" t="n">
        <v>117</v>
      </c>
      <c r="B118" s="5" t="inlineStr">
        <is>
          <t>VERIFY FIRST</t>
        </is>
      </c>
      <c r="C118" s="2" t="inlineStr">
        <is>
          <t>No website found</t>
        </is>
      </c>
      <c r="D118" s="2" t="inlineStr">
        <is>
          <t>BOHO Cafe</t>
        </is>
      </c>
      <c r="E118" s="2" t="inlineStr">
        <is>
          <t>cafe</t>
        </is>
      </c>
      <c r="F118" s="2" t="inlineStr">
        <is>
          <t>Airlie Beach</t>
        </is>
      </c>
      <c r="G118" s="2" t="inlineStr">
        <is>
          <t>Instagram</t>
        </is>
      </c>
      <c r="H118" s="4" t="inlineStr">
        <is>
          <t>https://www.instagram.com/bohocafe_airlie</t>
        </is>
      </c>
      <c r="I118" s="2" t="inlineStr"/>
      <c r="J118" s="2" t="inlineStr"/>
      <c r="K118" s="2" t="inlineStr"/>
      <c r="L118" s="2" t="inlineStr">
        <is>
          <t>no website listed, only social media (verify on Google Maps)</t>
        </is>
      </c>
      <c r="M118" s="2" t="inlineStr">
        <is>
          <t>Hi BOHO Cafe team! [one real detail from their page]. We're AceAds, a web design studio. We couldn't find a website for BOHO Cafe, only your Instagram. We'd be happy to make you a free preview of what a website could look like. Want one? No cost, no obligation.</t>
        </is>
      </c>
      <c r="N118" s="4" t="inlineStr">
        <is>
          <t>Open map</t>
        </is>
      </c>
      <c r="O118" s="2" t="inlineStr">
        <is>
          <t>Not contacted</t>
        </is>
      </c>
      <c r="P118" s="2" t="inlineStr"/>
      <c r="Q118" s="2" t="inlineStr"/>
      <c r="R118" s="2" t="inlineStr"/>
      <c r="S118" s="2" t="inlineStr"/>
    </row>
    <row r="119">
      <c r="A119" s="2" t="n">
        <v>118</v>
      </c>
      <c r="B119" s="5" t="inlineStr">
        <is>
          <t>VERIFY FIRST</t>
        </is>
      </c>
      <c r="C119" s="2" t="inlineStr">
        <is>
          <t>No website found</t>
        </is>
      </c>
      <c r="D119" s="2" t="inlineStr">
        <is>
          <t>Le Shack Cafe</t>
        </is>
      </c>
      <c r="E119" s="2" t="inlineStr">
        <is>
          <t>cafe</t>
        </is>
      </c>
      <c r="F119" s="2" t="inlineStr">
        <is>
          <t>Airlie Beach</t>
        </is>
      </c>
      <c r="G119" s="2" t="inlineStr">
        <is>
          <t>Instagram</t>
        </is>
      </c>
      <c r="H119" s="4" t="inlineStr">
        <is>
          <t>https://www.instagram.com/leshack_airliebeach</t>
        </is>
      </c>
      <c r="I119" s="4" t="inlineStr">
        <is>
          <t>https://www.facebook.com/Le-SHACK-Airlie-Beach-113645703851003</t>
        </is>
      </c>
      <c r="J119" s="2" t="inlineStr"/>
      <c r="K119" s="2" t="inlineStr"/>
      <c r="L119" s="2" t="inlineStr">
        <is>
          <t>no website listed, only social media (verify on Google Maps)</t>
        </is>
      </c>
      <c r="M119" s="2" t="inlineStr">
        <is>
          <t>Hi Le Shack Cafe team! [one real detail from their page]. We're AceAds, a web design studio. We couldn't find a website for Le Shack Cafe, only your Instagram. We'd be happy to make you a free preview of what a website could look like. Want one? No cost, no obligation.</t>
        </is>
      </c>
      <c r="N119" s="4" t="inlineStr">
        <is>
          <t>Open map</t>
        </is>
      </c>
      <c r="O119" s="2" t="inlineStr">
        <is>
          <t>Not contacted</t>
        </is>
      </c>
      <c r="P119" s="2" t="inlineStr"/>
      <c r="Q119" s="2" t="inlineStr"/>
      <c r="R119" s="2" t="inlineStr"/>
      <c r="S119" s="2" t="inlineStr"/>
    </row>
    <row r="120">
      <c r="A120" s="2" t="n">
        <v>119</v>
      </c>
      <c r="B120" s="5" t="inlineStr">
        <is>
          <t>VERIFY FIRST</t>
        </is>
      </c>
      <c r="C120" s="2" t="inlineStr">
        <is>
          <t>No website found</t>
        </is>
      </c>
      <c r="D120" s="2" t="inlineStr">
        <is>
          <t>Kenmore Village Bakery</t>
        </is>
      </c>
      <c r="E120" s="2" t="inlineStr">
        <is>
          <t>bakery</t>
        </is>
      </c>
      <c r="F120" s="2" t="inlineStr">
        <is>
          <t>Brisbane</t>
        </is>
      </c>
      <c r="G120" s="2" t="inlineStr">
        <is>
          <t>Facebook</t>
        </is>
      </c>
      <c r="H120" s="2" t="inlineStr"/>
      <c r="I120" s="4" t="inlineStr">
        <is>
          <t>https://www.facebook.com/kenmorebakery/</t>
        </is>
      </c>
      <c r="J120" s="2" t="inlineStr"/>
      <c r="K120" s="2" t="inlineStr"/>
      <c r="L120" s="2" t="inlineStr">
        <is>
          <t>no website listed, only social media (verify on Google Maps)</t>
        </is>
      </c>
      <c r="M120" s="2" t="inlineStr">
        <is>
          <t>Hi Kenmore Village Bakery team! [one real detail from their page]. We're AceAds, a web design studio. We couldn't find a website for Kenmore Village Bakery, only your Facebook. We'd be happy to make you a free preview of what a website could look like. Want one? No cost, no obligation.</t>
        </is>
      </c>
      <c r="N120" s="4" t="inlineStr">
        <is>
          <t>Open map</t>
        </is>
      </c>
      <c r="O120" s="2" t="inlineStr">
        <is>
          <t>Not contacted</t>
        </is>
      </c>
      <c r="P120" s="2" t="inlineStr"/>
      <c r="Q120" s="2" t="inlineStr"/>
      <c r="R120" s="2" t="inlineStr"/>
      <c r="S120" s="2" t="inlineStr"/>
    </row>
    <row r="121">
      <c r="A121" s="2" t="n">
        <v>120</v>
      </c>
      <c r="B121" s="5" t="inlineStr">
        <is>
          <t>VERIFY FIRST</t>
        </is>
      </c>
      <c r="C121" s="2" t="inlineStr">
        <is>
          <t>No website found</t>
        </is>
      </c>
      <c r="D121" s="2" t="inlineStr">
        <is>
          <t>Mount Cotton Sourdough Bakers</t>
        </is>
      </c>
      <c r="E121" s="2" t="inlineStr">
        <is>
          <t>bakery</t>
        </is>
      </c>
      <c r="F121" s="2" t="inlineStr">
        <is>
          <t>Brisbane</t>
        </is>
      </c>
      <c r="G121" s="2" t="inlineStr">
        <is>
          <t>Facebook</t>
        </is>
      </c>
      <c r="H121" s="2" t="inlineStr"/>
      <c r="I121" s="4" t="inlineStr">
        <is>
          <t>https://www.facebook.com/Mountcottonsourdoughbakers/</t>
        </is>
      </c>
      <c r="J121" s="2" t="inlineStr"/>
      <c r="K121" s="2" t="inlineStr"/>
      <c r="L121" s="2" t="inlineStr">
        <is>
          <t>no website listed, only social media (verify on Google Maps)</t>
        </is>
      </c>
      <c r="M121" s="2" t="inlineStr">
        <is>
          <t>Hi Mount Cotton Sourdough Bakers team! [one real detail from their page]. We're AceAds, a web design studio. We couldn't find a website for Mount Cotton Sourdough Bakers, only your Facebook. We'd be happy to make you a free preview of what a website could look like. Want one? No cost, no obligation.</t>
        </is>
      </c>
      <c r="N121" s="4" t="inlineStr">
        <is>
          <t>Open map</t>
        </is>
      </c>
      <c r="O121" s="2" t="inlineStr">
        <is>
          <t>Not contacted</t>
        </is>
      </c>
      <c r="P121" s="2" t="inlineStr"/>
      <c r="Q121" s="2" t="inlineStr"/>
      <c r="R121" s="2" t="inlineStr"/>
      <c r="S121" s="2" t="inlineStr"/>
    </row>
    <row r="122">
      <c r="A122" s="2" t="n">
        <v>121</v>
      </c>
      <c r="B122" s="5" t="inlineStr">
        <is>
          <t>VERIFY FIRST</t>
        </is>
      </c>
      <c r="C122" s="2" t="inlineStr">
        <is>
          <t>No website found</t>
        </is>
      </c>
      <c r="D122" s="2" t="inlineStr">
        <is>
          <t>Mountview Bakehouse</t>
        </is>
      </c>
      <c r="E122" s="2" t="inlineStr">
        <is>
          <t>bakery</t>
        </is>
      </c>
      <c r="F122" s="2" t="inlineStr">
        <is>
          <t>Brisbane</t>
        </is>
      </c>
      <c r="G122" s="2" t="inlineStr">
        <is>
          <t>Facebook</t>
        </is>
      </c>
      <c r="H122" s="2" t="inlineStr"/>
      <c r="I122" s="4" t="inlineStr">
        <is>
          <t>https://www.facebook.com/mountviewbakehouse/</t>
        </is>
      </c>
      <c r="J122" s="2" t="inlineStr"/>
      <c r="K122" s="2" t="inlineStr"/>
      <c r="L122" s="2" t="inlineStr">
        <is>
          <t>no website listed, only social media (verify on Google Maps)</t>
        </is>
      </c>
      <c r="M122" s="2" t="inlineStr">
        <is>
          <t>Hi Mountview Bakehouse team! [one real detail from their page]. We're AceAds, a web design studio. We couldn't find a website for Mountview Bakehouse, only your Facebook. We'd be happy to make you a free preview of what a website could look like. Want one? No cost, no obligation.</t>
        </is>
      </c>
      <c r="N122" s="4" t="inlineStr">
        <is>
          <t>Open map</t>
        </is>
      </c>
      <c r="O122" s="2" t="inlineStr">
        <is>
          <t>Not contacted</t>
        </is>
      </c>
      <c r="P122" s="2" t="inlineStr"/>
      <c r="Q122" s="2" t="inlineStr"/>
      <c r="R122" s="2" t="inlineStr"/>
      <c r="S122" s="2" t="inlineStr"/>
    </row>
    <row r="123">
      <c r="A123" s="2" t="n">
        <v>122</v>
      </c>
      <c r="B123" s="5" t="inlineStr">
        <is>
          <t>VERIFY FIRST</t>
        </is>
      </c>
      <c r="C123" s="2" t="inlineStr">
        <is>
          <t>No website found</t>
        </is>
      </c>
      <c r="D123" s="2" t="inlineStr">
        <is>
          <t>Mum's Bakehouse</t>
        </is>
      </c>
      <c r="E123" s="2" t="inlineStr">
        <is>
          <t>bakery</t>
        </is>
      </c>
      <c r="F123" s="2" t="inlineStr">
        <is>
          <t>Brisbane</t>
        </is>
      </c>
      <c r="G123" s="2" t="inlineStr">
        <is>
          <t>Facebook</t>
        </is>
      </c>
      <c r="H123" s="2" t="inlineStr"/>
      <c r="I123" s="4" t="inlineStr">
        <is>
          <t>https://www.facebook.com/kedronmumsbakehouse/?_rdr</t>
        </is>
      </c>
      <c r="J123" s="2" t="inlineStr">
        <is>
          <t>+61 403 998 838</t>
        </is>
      </c>
      <c r="K123" s="2" t="inlineStr"/>
      <c r="L123" s="2" t="inlineStr">
        <is>
          <t>no website listed, only social media (verify on Google Maps)</t>
        </is>
      </c>
      <c r="M123" s="2" t="inlineStr">
        <is>
          <t>Hi Mum's Bakehouse team! [one real detail from their page]. We're AceAds, a web design studio. We couldn't find a website for Mum's Bakehouse, only your Facebook. We'd be happy to make you a free preview of what a website could look like. Want one? No cost, no obligation.</t>
        </is>
      </c>
      <c r="N123" s="4" t="inlineStr">
        <is>
          <t>Open map</t>
        </is>
      </c>
      <c r="O123" s="2" t="inlineStr">
        <is>
          <t>Not contacted</t>
        </is>
      </c>
      <c r="P123" s="2" t="inlineStr"/>
      <c r="Q123" s="2" t="inlineStr"/>
      <c r="R123" s="2" t="inlineStr"/>
      <c r="S123" s="2" t="inlineStr"/>
    </row>
    <row r="124">
      <c r="A124" s="2" t="n">
        <v>123</v>
      </c>
      <c r="B124" s="5" t="inlineStr">
        <is>
          <t>VERIFY FIRST</t>
        </is>
      </c>
      <c r="C124" s="2" t="inlineStr">
        <is>
          <t>No website found</t>
        </is>
      </c>
      <c r="D124" s="2" t="inlineStr">
        <is>
          <t>88 BILLIARDS</t>
        </is>
      </c>
      <c r="E124" s="2" t="inlineStr">
        <is>
          <t>bar or pub</t>
        </is>
      </c>
      <c r="F124" s="2" t="inlineStr">
        <is>
          <t>Brisbane</t>
        </is>
      </c>
      <c r="G124" s="2" t="inlineStr">
        <is>
          <t>Instagram</t>
        </is>
      </c>
      <c r="H124" s="4" t="inlineStr">
        <is>
          <t>https://www.instagram.com/88billiards</t>
        </is>
      </c>
      <c r="I124" s="2" t="inlineStr"/>
      <c r="J124" s="2" t="inlineStr">
        <is>
          <t>+61 416 253 407</t>
        </is>
      </c>
      <c r="K124" s="2" t="inlineStr"/>
      <c r="L124" s="2" t="inlineStr">
        <is>
          <t>no website listed, only social media (verify on Google Maps)</t>
        </is>
      </c>
      <c r="M124" s="2" t="inlineStr">
        <is>
          <t>Hi 88 BILLIARDS team! [one real detail from their page]. We're AceAds, a web design studio. We couldn't find a website for 88 BILLIARDS, only your Instagram. We'd be happy to make you a free preview of what a website could look like. Want one? No cost, no obligation.</t>
        </is>
      </c>
      <c r="N124" s="4" t="inlineStr">
        <is>
          <t>Open map</t>
        </is>
      </c>
      <c r="O124" s="2" t="inlineStr">
        <is>
          <t>Not contacted</t>
        </is>
      </c>
      <c r="P124" s="2" t="inlineStr"/>
      <c r="Q124" s="2" t="inlineStr"/>
      <c r="R124" s="2" t="inlineStr"/>
      <c r="S124" s="2" t="inlineStr"/>
    </row>
    <row r="125">
      <c r="A125" s="2" t="n">
        <v>124</v>
      </c>
      <c r="B125" s="5" t="inlineStr">
        <is>
          <t>VERIFY FIRST</t>
        </is>
      </c>
      <c r="C125" s="2" t="inlineStr">
        <is>
          <t>No website found</t>
        </is>
      </c>
      <c r="D125" s="2" t="inlineStr">
        <is>
          <t>Bar Cooper's</t>
        </is>
      </c>
      <c r="E125" s="2" t="inlineStr">
        <is>
          <t>bar or pub</t>
        </is>
      </c>
      <c r="F125" s="2" t="inlineStr">
        <is>
          <t>Brisbane</t>
        </is>
      </c>
      <c r="G125" s="2" t="inlineStr">
        <is>
          <t>Instagram</t>
        </is>
      </c>
      <c r="H125" s="4" t="inlineStr">
        <is>
          <t>https://www.instagram.com/barcoopers.bne</t>
        </is>
      </c>
      <c r="I125" s="2" t="inlineStr"/>
      <c r="J125" s="2" t="inlineStr"/>
      <c r="K125" s="2" t="inlineStr"/>
      <c r="L125" s="2" t="inlineStr">
        <is>
          <t>no website listed, only social media (verify on Google Maps)</t>
        </is>
      </c>
      <c r="M125" s="2" t="inlineStr">
        <is>
          <t>Hi Bar Cooper's team! [one real detail from their page]. We're AceAds, a web design studio. We couldn't find a website for Bar Cooper's, only your Instagram. We'd be happy to make you a free preview of what a website could look like. Want one? No cost, no obligation.</t>
        </is>
      </c>
      <c r="N125" s="4" t="inlineStr">
        <is>
          <t>Open map</t>
        </is>
      </c>
      <c r="O125" s="2" t="inlineStr">
        <is>
          <t>Not contacted</t>
        </is>
      </c>
      <c r="P125" s="2" t="inlineStr"/>
      <c r="Q125" s="2" t="inlineStr"/>
      <c r="R125" s="2" t="inlineStr"/>
      <c r="S125" s="2" t="inlineStr"/>
    </row>
    <row r="126">
      <c r="A126" s="2" t="n">
        <v>125</v>
      </c>
      <c r="B126" s="5" t="inlineStr">
        <is>
          <t>VERIFY FIRST</t>
        </is>
      </c>
      <c r="C126" s="2" t="inlineStr">
        <is>
          <t>No website found</t>
        </is>
      </c>
      <c r="D126" s="2" t="inlineStr">
        <is>
          <t>Maker</t>
        </is>
      </c>
      <c r="E126" s="2" t="inlineStr">
        <is>
          <t>bar or pub</t>
        </is>
      </c>
      <c r="F126" s="2" t="inlineStr">
        <is>
          <t>Brisbane</t>
        </is>
      </c>
      <c r="G126" s="2" t="inlineStr">
        <is>
          <t>Instagram</t>
        </is>
      </c>
      <c r="H126" s="4" t="inlineStr">
        <is>
          <t>https://www.instagram.com/makerbrisbane/</t>
        </is>
      </c>
      <c r="I126" s="2" t="inlineStr"/>
      <c r="J126" s="2" t="inlineStr"/>
      <c r="K126" s="2" t="inlineStr"/>
      <c r="L126" s="2" t="inlineStr">
        <is>
          <t>no website listed, only social media (verify on Google Maps)</t>
        </is>
      </c>
      <c r="M126" s="2" t="inlineStr">
        <is>
          <t>Hi Maker team! [one real detail from their page]. We're AceAds, a web design studio. We couldn't find a website for Maker, only your Instagram. We'd be happy to make you a free preview of what a website could look like. Want one? No cost, no obligation.</t>
        </is>
      </c>
      <c r="N126" s="4" t="inlineStr">
        <is>
          <t>Open map</t>
        </is>
      </c>
      <c r="O126" s="2" t="inlineStr">
        <is>
          <t>Not contacted</t>
        </is>
      </c>
      <c r="P126" s="2" t="inlineStr"/>
      <c r="Q126" s="2" t="inlineStr"/>
      <c r="R126" s="2" t="inlineStr"/>
      <c r="S126" s="2" t="inlineStr"/>
    </row>
    <row r="127">
      <c r="A127" s="2" t="n">
        <v>126</v>
      </c>
      <c r="B127" s="5" t="inlineStr">
        <is>
          <t>VERIFY FIRST</t>
        </is>
      </c>
      <c r="C127" s="2" t="inlineStr">
        <is>
          <t>No website found</t>
        </is>
      </c>
      <c r="D127" s="2" t="inlineStr">
        <is>
          <t>QUIVR GAR</t>
        </is>
      </c>
      <c r="E127" s="2" t="inlineStr">
        <is>
          <t>bar or pub</t>
        </is>
      </c>
      <c r="F127" s="2" t="inlineStr">
        <is>
          <t>Brisbane</t>
        </is>
      </c>
      <c r="G127" s="2" t="inlineStr">
        <is>
          <t>Instagram</t>
        </is>
      </c>
      <c r="H127" s="4" t="inlineStr">
        <is>
          <t>https://www.instagram.com/thequivr</t>
        </is>
      </c>
      <c r="I127" s="2" t="inlineStr"/>
      <c r="J127" s="2" t="inlineStr"/>
      <c r="K127" s="2" t="inlineStr"/>
      <c r="L127" s="2" t="inlineStr">
        <is>
          <t>no website listed, only social media (verify on Google Maps)</t>
        </is>
      </c>
      <c r="M127" s="2" t="inlineStr">
        <is>
          <t>Hi QUIVR GAR team! [one real detail from their page]. We're AceAds, a web design studio. We couldn't find a website for QUIVR GAR, only your Instagram. We'd be happy to make you a free preview of what a website could look like. Want one? No cost, no obligation.</t>
        </is>
      </c>
      <c r="N127" s="4" t="inlineStr">
        <is>
          <t>Open map</t>
        </is>
      </c>
      <c r="O127" s="2" t="inlineStr">
        <is>
          <t>Not contacted</t>
        </is>
      </c>
      <c r="P127" s="2" t="inlineStr"/>
      <c r="Q127" s="2" t="inlineStr"/>
      <c r="R127" s="2" t="inlineStr"/>
      <c r="S127" s="2" t="inlineStr"/>
    </row>
    <row r="128">
      <c r="A128" s="2" t="n">
        <v>127</v>
      </c>
      <c r="B128" s="5" t="inlineStr">
        <is>
          <t>VERIFY FIRST</t>
        </is>
      </c>
      <c r="C128" s="2" t="inlineStr">
        <is>
          <t>No website found</t>
        </is>
      </c>
      <c r="D128" s="2" t="inlineStr">
        <is>
          <t>Stafford Tavern</t>
        </is>
      </c>
      <c r="E128" s="2" t="inlineStr">
        <is>
          <t>bar or pub</t>
        </is>
      </c>
      <c r="F128" s="2" t="inlineStr">
        <is>
          <t>Brisbane</t>
        </is>
      </c>
      <c r="G128" s="2" t="inlineStr">
        <is>
          <t>Facebook</t>
        </is>
      </c>
      <c r="H128" s="2" t="inlineStr"/>
      <c r="I128" s="4" t="inlineStr">
        <is>
          <t>https://www.facebook.com/thestaffordtavern</t>
        </is>
      </c>
      <c r="J128" s="2" t="inlineStr">
        <is>
          <t>+61 7 3513 2100</t>
        </is>
      </c>
      <c r="K128" s="2" t="inlineStr"/>
      <c r="L128" s="2" t="inlineStr">
        <is>
          <t>no website listed, only social media (verify on Google Maps)</t>
        </is>
      </c>
      <c r="M128" s="2" t="inlineStr">
        <is>
          <t>Hi Stafford Tavern team! [one real detail from their page]. We're AceAds, a web design studio. We couldn't find a website for Stafford Tavern, only your Facebook. We'd be happy to make you a free preview of what a website could look like. Want one? No cost, no obligation.</t>
        </is>
      </c>
      <c r="N128" s="4" t="inlineStr">
        <is>
          <t>Open map</t>
        </is>
      </c>
      <c r="O128" s="2" t="inlineStr">
        <is>
          <t>Not contacted</t>
        </is>
      </c>
      <c r="P128" s="2" t="inlineStr"/>
      <c r="Q128" s="2" t="inlineStr"/>
      <c r="R128" s="2" t="inlineStr"/>
      <c r="S128" s="2" t="inlineStr"/>
    </row>
    <row r="129">
      <c r="A129" s="2" t="n">
        <v>128</v>
      </c>
      <c r="B129" s="5" t="inlineStr">
        <is>
          <t>VERIFY FIRST</t>
        </is>
      </c>
      <c r="C129" s="2" t="inlineStr">
        <is>
          <t>No website found</t>
        </is>
      </c>
      <c r="D129" s="2" t="inlineStr">
        <is>
          <t>Suburban Social</t>
        </is>
      </c>
      <c r="E129" s="2" t="inlineStr">
        <is>
          <t>bar or pub</t>
        </is>
      </c>
      <c r="F129" s="2" t="inlineStr">
        <is>
          <t>Brisbane</t>
        </is>
      </c>
      <c r="G129" s="2" t="inlineStr">
        <is>
          <t>Facebook</t>
        </is>
      </c>
      <c r="H129" s="2" t="inlineStr"/>
      <c r="I129" s="4" t="inlineStr">
        <is>
          <t>https://www.facebook.com/SuburbanSocialNeighbourhoodBarandKitchen/</t>
        </is>
      </c>
      <c r="J129" s="2" t="inlineStr"/>
      <c r="K129" s="2" t="inlineStr"/>
      <c r="L129" s="2" t="inlineStr">
        <is>
          <t>no website listed, only social media (verify on Google Maps)</t>
        </is>
      </c>
      <c r="M129" s="2" t="inlineStr">
        <is>
          <t>Hi Suburban Social team! [one real detail from their page]. We're AceAds, a web design studio. We couldn't find a website for Suburban Social, only your Facebook. We'd be happy to make you a free preview of what a website could look like. Want one? No cost, no obligation.</t>
        </is>
      </c>
      <c r="N129" s="4" t="inlineStr">
        <is>
          <t>Open map</t>
        </is>
      </c>
      <c r="O129" s="2" t="inlineStr">
        <is>
          <t>Not contacted</t>
        </is>
      </c>
      <c r="P129" s="2" t="inlineStr"/>
      <c r="Q129" s="2" t="inlineStr"/>
      <c r="R129" s="2" t="inlineStr"/>
      <c r="S129" s="2" t="inlineStr"/>
    </row>
    <row r="130">
      <c r="A130" s="2" t="n">
        <v>129</v>
      </c>
      <c r="B130" s="5" t="inlineStr">
        <is>
          <t>VERIFY FIRST</t>
        </is>
      </c>
      <c r="C130" s="2" t="inlineStr">
        <is>
          <t>No website found</t>
        </is>
      </c>
      <c r="D130" s="2" t="inlineStr">
        <is>
          <t>Brookfield Hair Studio</t>
        </is>
      </c>
      <c r="E130" s="2" t="inlineStr">
        <is>
          <t>barber or hairdresser</t>
        </is>
      </c>
      <c r="F130" s="2" t="inlineStr">
        <is>
          <t>Brisbane</t>
        </is>
      </c>
      <c r="G130" s="2" t="inlineStr">
        <is>
          <t>Facebook</t>
        </is>
      </c>
      <c r="H130" s="2" t="inlineStr"/>
      <c r="I130" s="4" t="inlineStr">
        <is>
          <t>https://www.facebook.com/brookfieldhairstudio</t>
        </is>
      </c>
      <c r="J130" s="2" t="inlineStr">
        <is>
          <t>+61 7 3374 1088</t>
        </is>
      </c>
      <c r="K130" s="2" t="inlineStr"/>
      <c r="L130" s="2" t="inlineStr">
        <is>
          <t>no website listed, only social media (verify on Google Maps)</t>
        </is>
      </c>
      <c r="M130" s="2" t="inlineStr">
        <is>
          <t>Hi Brookfield Hair Studio team! [one real detail from their page]. We're AceAds, a web design studio. We couldn't find a website for Brookfield Hair Studio, only your Facebook. We'd be happy to make you a free preview of what a website could look like. Want one? No cost, no obligation.</t>
        </is>
      </c>
      <c r="N130" s="4" t="inlineStr">
        <is>
          <t>Open map</t>
        </is>
      </c>
      <c r="O130" s="2" t="inlineStr">
        <is>
          <t>Not contacted</t>
        </is>
      </c>
      <c r="P130" s="2" t="inlineStr"/>
      <c r="Q130" s="2" t="inlineStr"/>
      <c r="R130" s="2" t="inlineStr"/>
      <c r="S130" s="2" t="inlineStr"/>
    </row>
    <row r="131">
      <c r="A131" s="2" t="n">
        <v>130</v>
      </c>
      <c r="B131" s="5" t="inlineStr">
        <is>
          <t>VERIFY FIRST</t>
        </is>
      </c>
      <c r="C131" s="2" t="inlineStr">
        <is>
          <t>No website found</t>
        </is>
      </c>
      <c r="D131" s="2" t="inlineStr">
        <is>
          <t>Charlie Parrella Hairdresser</t>
        </is>
      </c>
      <c r="E131" s="2" t="inlineStr">
        <is>
          <t>barber or hairdresser</t>
        </is>
      </c>
      <c r="F131" s="2" t="inlineStr">
        <is>
          <t>Brisbane</t>
        </is>
      </c>
      <c r="G131" s="2" t="inlineStr">
        <is>
          <t>Facebook</t>
        </is>
      </c>
      <c r="H131" s="2" t="inlineStr"/>
      <c r="I131" s="4" t="inlineStr">
        <is>
          <t>https://www.facebook.com/483499168383610</t>
        </is>
      </c>
      <c r="J131" s="2" t="inlineStr">
        <is>
          <t>+61 424 039 183</t>
        </is>
      </c>
      <c r="K131" s="2" t="inlineStr"/>
      <c r="L131" s="2" t="inlineStr">
        <is>
          <t>no website listed, only social media (verify on Google Maps)</t>
        </is>
      </c>
      <c r="M131" s="2" t="inlineStr">
        <is>
          <t>Hi Charlie Parrella Hairdresser team! [one real detail from their page]. We're AceAds, a web design studio. We couldn't find a website for Charlie Parrella Hairdresser, only your Facebook. We'd be happy to make you a free preview of what a website could look like. Want one? No cost, no obligation.</t>
        </is>
      </c>
      <c r="N131" s="4" t="inlineStr">
        <is>
          <t>Open map</t>
        </is>
      </c>
      <c r="O131" s="2" t="inlineStr">
        <is>
          <t>Not contacted</t>
        </is>
      </c>
      <c r="P131" s="2" t="inlineStr"/>
      <c r="Q131" s="2" t="inlineStr"/>
      <c r="R131" s="2" t="inlineStr"/>
      <c r="S131" s="2" t="inlineStr"/>
    </row>
    <row r="132">
      <c r="A132" s="2" t="n">
        <v>131</v>
      </c>
      <c r="B132" s="5" t="inlineStr">
        <is>
          <t>VERIFY FIRST</t>
        </is>
      </c>
      <c r="C132" s="2" t="inlineStr">
        <is>
          <t>No website found</t>
        </is>
      </c>
      <c r="D132" s="2" t="inlineStr">
        <is>
          <t>Eddy’s Barber Shop</t>
        </is>
      </c>
      <c r="E132" s="2" t="inlineStr">
        <is>
          <t>barber or hairdresser</t>
        </is>
      </c>
      <c r="F132" s="2" t="inlineStr">
        <is>
          <t>Brisbane</t>
        </is>
      </c>
      <c r="G132" s="2" t="inlineStr">
        <is>
          <t>Facebook</t>
        </is>
      </c>
      <c r="H132" s="2" t="inlineStr"/>
      <c r="I132" s="4" t="inlineStr">
        <is>
          <t>https://www.facebook.com/Moorooka/</t>
        </is>
      </c>
      <c r="J132" s="2" t="inlineStr"/>
      <c r="K132" s="2" t="inlineStr"/>
      <c r="L132" s="2" t="inlineStr">
        <is>
          <t>no website listed, only social media (verify on Google Maps)</t>
        </is>
      </c>
      <c r="M132" s="2" t="inlineStr">
        <is>
          <t>Hi Eddy’s Barber Shop team! [one real detail from their page]. We're AceAds, a web design studio. We couldn't find a website for Eddy’s Barber Shop, only your Facebook. We'd be happy to make you a free preview of what a website could look like. Want one? No cost, no obligation.</t>
        </is>
      </c>
      <c r="N132" s="4" t="inlineStr">
        <is>
          <t>Open map</t>
        </is>
      </c>
      <c r="O132" s="2" t="inlineStr">
        <is>
          <t>Not contacted</t>
        </is>
      </c>
      <c r="P132" s="2" t="inlineStr"/>
      <c r="Q132" s="2" t="inlineStr"/>
      <c r="R132" s="2" t="inlineStr"/>
      <c r="S132" s="2" t="inlineStr"/>
    </row>
    <row r="133">
      <c r="A133" s="2" t="n">
        <v>132</v>
      </c>
      <c r="B133" s="5" t="inlineStr">
        <is>
          <t>VERIFY FIRST</t>
        </is>
      </c>
      <c r="C133" s="2" t="inlineStr">
        <is>
          <t>No website found</t>
        </is>
      </c>
      <c r="D133" s="2" t="inlineStr">
        <is>
          <t>Hair to be</t>
        </is>
      </c>
      <c r="E133" s="2" t="inlineStr">
        <is>
          <t>barber or hairdresser</t>
        </is>
      </c>
      <c r="F133" s="2" t="inlineStr">
        <is>
          <t>Brisbane</t>
        </is>
      </c>
      <c r="G133" s="2" t="inlineStr">
        <is>
          <t>Instagram</t>
        </is>
      </c>
      <c r="H133" s="4" t="inlineStr">
        <is>
          <t>https://www.instagram.com/hairtobeaustralia/</t>
        </is>
      </c>
      <c r="I133" s="2" t="inlineStr"/>
      <c r="J133" s="2" t="inlineStr">
        <is>
          <t>+61 7 3134 2526</t>
        </is>
      </c>
      <c r="K133" s="2" t="inlineStr"/>
      <c r="L133" s="2" t="inlineStr">
        <is>
          <t>no website listed, only social media (verify on Google Maps)</t>
        </is>
      </c>
      <c r="M133" s="2" t="inlineStr">
        <is>
          <t>Hi Hair to be team! [one real detail from their page]. We're AceAds, a web design studio. We couldn't find a website for Hair to be, only your Instagram. We'd be happy to make you a free preview of what a website could look like. Want one? No cost, no obligation.</t>
        </is>
      </c>
      <c r="N133" s="4" t="inlineStr">
        <is>
          <t>Open map</t>
        </is>
      </c>
      <c r="O133" s="2" t="inlineStr">
        <is>
          <t>Not contacted</t>
        </is>
      </c>
      <c r="P133" s="2" t="inlineStr"/>
      <c r="Q133" s="2" t="inlineStr"/>
      <c r="R133" s="2" t="inlineStr"/>
      <c r="S133" s="2" t="inlineStr"/>
    </row>
    <row r="134">
      <c r="A134" s="2" t="n">
        <v>133</v>
      </c>
      <c r="B134" s="5" t="inlineStr">
        <is>
          <t>VERIFY FIRST</t>
        </is>
      </c>
      <c r="C134" s="2" t="inlineStr">
        <is>
          <t>No website found</t>
        </is>
      </c>
      <c r="D134" s="2" t="inlineStr">
        <is>
          <t>Hikari Hair Studio</t>
        </is>
      </c>
      <c r="E134" s="2" t="inlineStr">
        <is>
          <t>barber or hairdresser</t>
        </is>
      </c>
      <c r="F134" s="2" t="inlineStr">
        <is>
          <t>Brisbane</t>
        </is>
      </c>
      <c r="G134" s="2" t="inlineStr">
        <is>
          <t>Facebook</t>
        </is>
      </c>
      <c r="H134" s="2" t="inlineStr"/>
      <c r="I134" s="4" t="inlineStr">
        <is>
          <t>https://www.facebook.com/hikarihairstudio</t>
        </is>
      </c>
      <c r="J134" s="2" t="inlineStr"/>
      <c r="K134" s="2" t="inlineStr"/>
      <c r="L134" s="2" t="inlineStr">
        <is>
          <t>no website listed, only social media (verify on Google Maps)</t>
        </is>
      </c>
      <c r="M134" s="2" t="inlineStr">
        <is>
          <t>Hi Hikari Hair Studio team! [one real detail from their page]. We're AceAds, a web design studio. We couldn't find a website for Hikari Hair Studio, only your Facebook. We'd be happy to make you a free preview of what a website could look like. Want one? No cost, no obligation.</t>
        </is>
      </c>
      <c r="N134" s="4" t="inlineStr">
        <is>
          <t>Open map</t>
        </is>
      </c>
      <c r="O134" s="2" t="inlineStr">
        <is>
          <t>Not contacted</t>
        </is>
      </c>
      <c r="P134" s="2" t="inlineStr"/>
      <c r="Q134" s="2" t="inlineStr"/>
      <c r="R134" s="2" t="inlineStr"/>
      <c r="S134" s="2" t="inlineStr"/>
    </row>
    <row r="135">
      <c r="A135" s="2" t="n">
        <v>134</v>
      </c>
      <c r="B135" s="5" t="inlineStr">
        <is>
          <t>VERIFY FIRST</t>
        </is>
      </c>
      <c r="C135" s="2" t="inlineStr">
        <is>
          <t>No website found</t>
        </is>
      </c>
      <c r="D135" s="2" t="inlineStr">
        <is>
          <t>Jack's Barber</t>
        </is>
      </c>
      <c r="E135" s="2" t="inlineStr">
        <is>
          <t>barber or hairdresser</t>
        </is>
      </c>
      <c r="F135" s="2" t="inlineStr">
        <is>
          <t>Brisbane</t>
        </is>
      </c>
      <c r="G135" s="2" t="inlineStr">
        <is>
          <t>Facebook</t>
        </is>
      </c>
      <c r="H135" s="2" t="inlineStr"/>
      <c r="I135" s="4" t="inlineStr">
        <is>
          <t>https://www.facebook.com/jacksbarber4171</t>
        </is>
      </c>
      <c r="J135" s="2" t="inlineStr">
        <is>
          <t>+61 7 3399 9900</t>
        </is>
      </c>
      <c r="K135" s="2" t="inlineStr"/>
      <c r="L135" s="2" t="inlineStr">
        <is>
          <t>no website listed, only social media (verify on Google Maps)</t>
        </is>
      </c>
      <c r="M135" s="2" t="inlineStr">
        <is>
          <t>Hi Jack's Barber team! [one real detail from their page]. We're AceAds, a web design studio. We couldn't find a website for Jack's Barber, only your Facebook. We'd be happy to make you a free preview of what a website could look like. Want one? No cost, no obligation.</t>
        </is>
      </c>
      <c r="N135" s="4" t="inlineStr">
        <is>
          <t>Open map</t>
        </is>
      </c>
      <c r="O135" s="2" t="inlineStr">
        <is>
          <t>Not contacted</t>
        </is>
      </c>
      <c r="P135" s="2" t="inlineStr"/>
      <c r="Q135" s="2" t="inlineStr"/>
      <c r="R135" s="2" t="inlineStr"/>
      <c r="S135" s="2" t="inlineStr"/>
    </row>
    <row r="136">
      <c r="A136" s="2" t="n">
        <v>135</v>
      </c>
      <c r="B136" s="5" t="inlineStr">
        <is>
          <t>VERIFY FIRST</t>
        </is>
      </c>
      <c r="C136" s="2" t="inlineStr">
        <is>
          <t>No website found</t>
        </is>
      </c>
      <c r="D136" s="2" t="inlineStr">
        <is>
          <t>Jules &amp; Ginger</t>
        </is>
      </c>
      <c r="E136" s="2" t="inlineStr">
        <is>
          <t>barber or hairdresser</t>
        </is>
      </c>
      <c r="F136" s="2" t="inlineStr">
        <is>
          <t>Brisbane</t>
        </is>
      </c>
      <c r="G136" s="2" t="inlineStr">
        <is>
          <t>Facebook</t>
        </is>
      </c>
      <c r="H136" s="2" t="inlineStr"/>
      <c r="I136" s="4" t="inlineStr">
        <is>
          <t>https://www.facebook.com/julesandginger</t>
        </is>
      </c>
      <c r="J136" s="2" t="inlineStr"/>
      <c r="K136" s="2" t="inlineStr"/>
      <c r="L136" s="2" t="inlineStr">
        <is>
          <t>no website listed, only social media (verify on Google Maps)</t>
        </is>
      </c>
      <c r="M136" s="2" t="inlineStr">
        <is>
          <t>Hi Jules &amp; Ginger team! [one real detail from their page]. We're AceAds, a web design studio. We couldn't find a website for Jules &amp; Ginger, only your Facebook. We'd be happy to make you a free preview of what a website could look like. Want one? No cost, no obligation.</t>
        </is>
      </c>
      <c r="N136" s="4" t="inlineStr">
        <is>
          <t>Open map</t>
        </is>
      </c>
      <c r="O136" s="2" t="inlineStr">
        <is>
          <t>Not contacted</t>
        </is>
      </c>
      <c r="P136" s="2" t="inlineStr"/>
      <c r="Q136" s="2" t="inlineStr"/>
      <c r="R136" s="2" t="inlineStr"/>
      <c r="S136" s="2" t="inlineStr"/>
    </row>
    <row r="137">
      <c r="A137" s="2" t="n">
        <v>136</v>
      </c>
      <c r="B137" s="5" t="inlineStr">
        <is>
          <t>VERIFY FIRST</t>
        </is>
      </c>
      <c r="C137" s="2" t="inlineStr">
        <is>
          <t>No website found</t>
        </is>
      </c>
      <c r="D137" s="2" t="inlineStr">
        <is>
          <t>Kaija Hairdresser</t>
        </is>
      </c>
      <c r="E137" s="2" t="inlineStr">
        <is>
          <t>barber or hairdresser</t>
        </is>
      </c>
      <c r="F137" s="2" t="inlineStr">
        <is>
          <t>Brisbane</t>
        </is>
      </c>
      <c r="G137" s="2" t="inlineStr">
        <is>
          <t>Facebook</t>
        </is>
      </c>
      <c r="H137" s="2" t="inlineStr"/>
      <c r="I137" s="4" t="inlineStr">
        <is>
          <t>https://www.facebook.com/p/Kaija-hairdressing-make-up--100054313728630/</t>
        </is>
      </c>
      <c r="J137" s="2" t="inlineStr">
        <is>
          <t>+61 414 568 084</t>
        </is>
      </c>
      <c r="K137" s="2" t="inlineStr"/>
      <c r="L137" s="2" t="inlineStr">
        <is>
          <t>no website listed, only social media (verify on Google Maps)</t>
        </is>
      </c>
      <c r="M137" s="2" t="inlineStr">
        <is>
          <t>Hi Kaija Hairdresser team! [one real detail from their page]. We're AceAds, a web design studio. We couldn't find a website for Kaija Hairdresser, only your Facebook. We'd be happy to make you a free preview of what a website could look like. Want one? No cost, no obligation.</t>
        </is>
      </c>
      <c r="N137" s="4" t="inlineStr">
        <is>
          <t>Open map</t>
        </is>
      </c>
      <c r="O137" s="2" t="inlineStr">
        <is>
          <t>Not contacted</t>
        </is>
      </c>
      <c r="P137" s="2" t="inlineStr"/>
      <c r="Q137" s="2" t="inlineStr"/>
      <c r="R137" s="2" t="inlineStr"/>
      <c r="S137" s="2" t="inlineStr"/>
    </row>
    <row r="138">
      <c r="A138" s="2" t="n">
        <v>137</v>
      </c>
      <c r="B138" s="5" t="inlineStr">
        <is>
          <t>VERIFY FIRST</t>
        </is>
      </c>
      <c r="C138" s="2" t="inlineStr">
        <is>
          <t>No website found</t>
        </is>
      </c>
      <c r="D138" s="2" t="inlineStr">
        <is>
          <t>MC Barbers</t>
        </is>
      </c>
      <c r="E138" s="2" t="inlineStr">
        <is>
          <t>barber or hairdresser</t>
        </is>
      </c>
      <c r="F138" s="2" t="inlineStr">
        <is>
          <t>Brisbane</t>
        </is>
      </c>
      <c r="G138" s="2" t="inlineStr">
        <is>
          <t>Facebook</t>
        </is>
      </c>
      <c r="H138" s="2" t="inlineStr"/>
      <c r="I138" s="4" t="inlineStr">
        <is>
          <t>https://www.facebook.com/Mcbarbers2021</t>
        </is>
      </c>
      <c r="J138" s="2" t="inlineStr"/>
      <c r="K138" s="2" t="inlineStr"/>
      <c r="L138" s="2" t="inlineStr">
        <is>
          <t>no website listed, only social media (verify on Google Maps)</t>
        </is>
      </c>
      <c r="M138" s="2" t="inlineStr">
        <is>
          <t>Hi MC Barbers team! [one real detail from their page]. We're AceAds, a web design studio. We couldn't find a website for MC Barbers, only your Facebook. We'd be happy to make you a free preview of what a website could look like. Want one? No cost, no obligation.</t>
        </is>
      </c>
      <c r="N138" s="4" t="inlineStr">
        <is>
          <t>Open map</t>
        </is>
      </c>
      <c r="O138" s="2" t="inlineStr">
        <is>
          <t>Not contacted</t>
        </is>
      </c>
      <c r="P138" s="2" t="inlineStr"/>
      <c r="Q138" s="2" t="inlineStr"/>
      <c r="R138" s="2" t="inlineStr"/>
      <c r="S138" s="2" t="inlineStr"/>
    </row>
    <row r="139">
      <c r="A139" s="2" t="n">
        <v>138</v>
      </c>
      <c r="B139" s="5" t="inlineStr">
        <is>
          <t>VERIFY FIRST</t>
        </is>
      </c>
      <c r="C139" s="2" t="inlineStr">
        <is>
          <t>No website found</t>
        </is>
      </c>
      <c r="D139" s="2" t="inlineStr">
        <is>
          <t>OU Hair</t>
        </is>
      </c>
      <c r="E139" s="2" t="inlineStr">
        <is>
          <t>barber or hairdresser</t>
        </is>
      </c>
      <c r="F139" s="2" t="inlineStr">
        <is>
          <t>Brisbane</t>
        </is>
      </c>
      <c r="G139" s="2" t="inlineStr">
        <is>
          <t>Instagram</t>
        </is>
      </c>
      <c r="H139" s="4" t="inlineStr">
        <is>
          <t>https://www.instagram.com/ouhair_rochedale/?hl=en</t>
        </is>
      </c>
      <c r="I139" s="4" t="inlineStr">
        <is>
          <t>https://www.facebook.com/ouhairRochedale</t>
        </is>
      </c>
      <c r="J139" s="2" t="inlineStr"/>
      <c r="K139" s="2" t="inlineStr"/>
      <c r="L139" s="2" t="inlineStr">
        <is>
          <t>no website listed, only social media (verify on Google Maps)</t>
        </is>
      </c>
      <c r="M139" s="2" t="inlineStr">
        <is>
          <t>Hi OU Hair team! [one real detail from their page]. We're AceAds, a web design studio. We couldn't find a website for OU Hair, only your Instagram. We'd be happy to make you a free preview of what a website could look like. Want one? No cost, no obligation.</t>
        </is>
      </c>
      <c r="N139" s="4" t="inlineStr">
        <is>
          <t>Open map</t>
        </is>
      </c>
      <c r="O139" s="2" t="inlineStr">
        <is>
          <t>Not contacted</t>
        </is>
      </c>
      <c r="P139" s="2" t="inlineStr"/>
      <c r="Q139" s="2" t="inlineStr"/>
      <c r="R139" s="2" t="inlineStr"/>
      <c r="S139" s="2" t="inlineStr"/>
    </row>
    <row r="140">
      <c r="A140" s="2" t="n">
        <v>139</v>
      </c>
      <c r="B140" s="5" t="inlineStr">
        <is>
          <t>VERIFY FIRST</t>
        </is>
      </c>
      <c r="C140" s="2" t="inlineStr">
        <is>
          <t>No website found</t>
        </is>
      </c>
      <c r="D140" s="2" t="inlineStr">
        <is>
          <t>Saba Hair Studio</t>
        </is>
      </c>
      <c r="E140" s="2" t="inlineStr">
        <is>
          <t>barber or hairdresser</t>
        </is>
      </c>
      <c r="F140" s="2" t="inlineStr">
        <is>
          <t>Brisbane</t>
        </is>
      </c>
      <c r="G140" s="2" t="inlineStr">
        <is>
          <t>Facebook</t>
        </is>
      </c>
      <c r="H140" s="2" t="inlineStr"/>
      <c r="I140" s="4" t="inlineStr">
        <is>
          <t>https://www.facebook.com/people/Saba-hair-studio/100083090384553/</t>
        </is>
      </c>
      <c r="J140" s="2" t="inlineStr"/>
      <c r="K140" s="2" t="inlineStr"/>
      <c r="L140" s="2" t="inlineStr">
        <is>
          <t>no website listed, only social media (verify on Google Maps)</t>
        </is>
      </c>
      <c r="M140" s="2" t="inlineStr">
        <is>
          <t>Hi Saba Hair Studio team! [one real detail from their page]. We're AceAds, a web design studio. We couldn't find a website for Saba Hair Studio, only your Facebook. We'd be happy to make you a free preview of what a website could look like. Want one? No cost, no obligation.</t>
        </is>
      </c>
      <c r="N140" s="4" t="inlineStr">
        <is>
          <t>Open map</t>
        </is>
      </c>
      <c r="O140" s="2" t="inlineStr">
        <is>
          <t>Not contacted</t>
        </is>
      </c>
      <c r="P140" s="2" t="inlineStr"/>
      <c r="Q140" s="2" t="inlineStr"/>
      <c r="R140" s="2" t="inlineStr"/>
      <c r="S140" s="2" t="inlineStr"/>
    </row>
    <row r="141">
      <c r="A141" s="2" t="n">
        <v>140</v>
      </c>
      <c r="B141" s="5" t="inlineStr">
        <is>
          <t>VERIFY FIRST</t>
        </is>
      </c>
      <c r="C141" s="2" t="inlineStr">
        <is>
          <t>No website found</t>
        </is>
      </c>
      <c r="D141" s="2" t="inlineStr">
        <is>
          <t>Stranz Hair Design</t>
        </is>
      </c>
      <c r="E141" s="2" t="inlineStr">
        <is>
          <t>barber or hairdresser</t>
        </is>
      </c>
      <c r="F141" s="2" t="inlineStr">
        <is>
          <t>Brisbane</t>
        </is>
      </c>
      <c r="G141" s="2" t="inlineStr">
        <is>
          <t>Facebook</t>
        </is>
      </c>
      <c r="H141" s="2" t="inlineStr"/>
      <c r="I141" s="4" t="inlineStr">
        <is>
          <t>https://www.facebook.com/stranzhairdesignbulimba/</t>
        </is>
      </c>
      <c r="J141" s="2" t="inlineStr">
        <is>
          <t>+61 7 3399 7699</t>
        </is>
      </c>
      <c r="K141" s="2" t="inlineStr"/>
      <c r="L141" s="2" t="inlineStr">
        <is>
          <t>no website listed, only social media (verify on Google Maps)</t>
        </is>
      </c>
      <c r="M141" s="2" t="inlineStr">
        <is>
          <t>Hi Stranz Hair Design team! [one real detail from their page]. We're AceAds, a web design studio. We couldn't find a website for Stranz Hair Design, only your Facebook. We'd be happy to make you a free preview of what a website could look like. Want one? No cost, no obligation.</t>
        </is>
      </c>
      <c r="N141" s="4" t="inlineStr">
        <is>
          <t>Open map</t>
        </is>
      </c>
      <c r="O141" s="2" t="inlineStr">
        <is>
          <t>Not contacted</t>
        </is>
      </c>
      <c r="P141" s="2" t="inlineStr"/>
      <c r="Q141" s="2" t="inlineStr"/>
      <c r="R141" s="2" t="inlineStr"/>
      <c r="S141" s="2" t="inlineStr"/>
    </row>
    <row r="142">
      <c r="A142" s="2" t="n">
        <v>141</v>
      </c>
      <c r="B142" s="5" t="inlineStr">
        <is>
          <t>VERIFY FIRST</t>
        </is>
      </c>
      <c r="C142" s="2" t="inlineStr">
        <is>
          <t>No website found</t>
        </is>
      </c>
      <c r="D142" s="2" t="inlineStr">
        <is>
          <t>The Secret Hair Color</t>
        </is>
      </c>
      <c r="E142" s="2" t="inlineStr">
        <is>
          <t>barber or hairdresser</t>
        </is>
      </c>
      <c r="F142" s="2" t="inlineStr">
        <is>
          <t>Brisbane</t>
        </is>
      </c>
      <c r="G142" s="2" t="inlineStr">
        <is>
          <t>Facebook</t>
        </is>
      </c>
      <c r="H142" s="2" t="inlineStr"/>
      <c r="I142" s="4" t="inlineStr">
        <is>
          <t>https://www.facebook.com/thesecrethaircolor/</t>
        </is>
      </c>
      <c r="J142" s="2" t="inlineStr">
        <is>
          <t>+61 422 522 311</t>
        </is>
      </c>
      <c r="K142" s="2" t="inlineStr"/>
      <c r="L142" s="2" t="inlineStr">
        <is>
          <t>no website listed, only social media (verify on Google Maps)</t>
        </is>
      </c>
      <c r="M142" s="2" t="inlineStr">
        <is>
          <t>Hi The Secret Hair Color team! [one real detail from their page]. We're AceAds, a web design studio. We couldn't find a website for The Secret Hair Color, only your Facebook. We'd be happy to make you a free preview of what a website could look like. Want one? No cost, no obligation.</t>
        </is>
      </c>
      <c r="N142" s="4" t="inlineStr">
        <is>
          <t>Open map</t>
        </is>
      </c>
      <c r="O142" s="2" t="inlineStr">
        <is>
          <t>Not contacted</t>
        </is>
      </c>
      <c r="P142" s="2" t="inlineStr"/>
      <c r="Q142" s="2" t="inlineStr"/>
      <c r="R142" s="2" t="inlineStr"/>
      <c r="S142" s="2" t="inlineStr"/>
    </row>
    <row r="143">
      <c r="A143" s="2" t="n">
        <v>142</v>
      </c>
      <c r="B143" s="5" t="inlineStr">
        <is>
          <t>VERIFY FIRST</t>
        </is>
      </c>
      <c r="C143" s="2" t="inlineStr">
        <is>
          <t>No website found</t>
        </is>
      </c>
      <c r="D143" s="2" t="inlineStr">
        <is>
          <t>9889 Nails and Beauty</t>
        </is>
      </c>
      <c r="E143" s="2" t="inlineStr">
        <is>
          <t>beauty salon</t>
        </is>
      </c>
      <c r="F143" s="2" t="inlineStr">
        <is>
          <t>Brisbane</t>
        </is>
      </c>
      <c r="G143" s="2" t="inlineStr">
        <is>
          <t>Facebook</t>
        </is>
      </c>
      <c r="H143" s="2" t="inlineStr"/>
      <c r="I143" s="4" t="inlineStr">
        <is>
          <t>https://www.facebook.com/9889nailsandbeauty</t>
        </is>
      </c>
      <c r="J143" s="2" t="inlineStr"/>
      <c r="K143" s="2" t="inlineStr"/>
      <c r="L143" s="2" t="inlineStr">
        <is>
          <t>no website listed, only social media (verify on Google Maps)</t>
        </is>
      </c>
      <c r="M143" s="2" t="inlineStr">
        <is>
          <t>Hi 9889 Nails and Beauty team! [one real detail from their page]. We're AceAds, a web design studio. We couldn't find a website for 9889 Nails and Beauty, only your Facebook. We'd be happy to make you a free preview of what a website could look like. Want one? No cost, no obligation.</t>
        </is>
      </c>
      <c r="N143" s="4" t="inlineStr">
        <is>
          <t>Open map</t>
        </is>
      </c>
      <c r="O143" s="2" t="inlineStr">
        <is>
          <t>Not contacted</t>
        </is>
      </c>
      <c r="P143" s="2" t="inlineStr"/>
      <c r="Q143" s="2" t="inlineStr"/>
      <c r="R143" s="2" t="inlineStr"/>
      <c r="S143" s="2" t="inlineStr"/>
    </row>
    <row r="144">
      <c r="A144" s="2" t="n">
        <v>143</v>
      </c>
      <c r="B144" s="5" t="inlineStr">
        <is>
          <t>VERIFY FIRST</t>
        </is>
      </c>
      <c r="C144" s="2" t="inlineStr">
        <is>
          <t>No website found</t>
        </is>
      </c>
      <c r="D144" s="2" t="inlineStr">
        <is>
          <t>Isabis Hair</t>
        </is>
      </c>
      <c r="E144" s="2" t="inlineStr">
        <is>
          <t>beauty salon</t>
        </is>
      </c>
      <c r="F144" s="2" t="inlineStr">
        <is>
          <t>Brisbane</t>
        </is>
      </c>
      <c r="G144" s="2" t="inlineStr">
        <is>
          <t>Facebook</t>
        </is>
      </c>
      <c r="H144" s="2" t="inlineStr"/>
      <c r="I144" s="4" t="inlineStr">
        <is>
          <t>https://www.facebook.com/isabishair</t>
        </is>
      </c>
      <c r="J144" s="2" t="inlineStr"/>
      <c r="K144" s="2" t="inlineStr"/>
      <c r="L144" s="2" t="inlineStr">
        <is>
          <t>no website listed, only social media (verify on Google Maps)</t>
        </is>
      </c>
      <c r="M144" s="2" t="inlineStr">
        <is>
          <t>Hi Isabis Hair team! [one real detail from their page]. We're AceAds, a web design studio. We couldn't find a website for Isabis Hair, only your Facebook. We'd be happy to make you a free preview of what a website could look like. Want one? No cost, no obligation.</t>
        </is>
      </c>
      <c r="N144" s="4" t="inlineStr">
        <is>
          <t>Open map</t>
        </is>
      </c>
      <c r="O144" s="2" t="inlineStr">
        <is>
          <t>Not contacted</t>
        </is>
      </c>
      <c r="P144" s="2" t="inlineStr"/>
      <c r="Q144" s="2" t="inlineStr"/>
      <c r="R144" s="2" t="inlineStr"/>
      <c r="S144" s="2" t="inlineStr"/>
    </row>
    <row r="145">
      <c r="A145" s="2" t="n">
        <v>144</v>
      </c>
      <c r="B145" s="5" t="inlineStr">
        <is>
          <t>VERIFY FIRST</t>
        </is>
      </c>
      <c r="C145" s="2" t="inlineStr">
        <is>
          <t>No website found</t>
        </is>
      </c>
      <c r="D145" s="2" t="inlineStr">
        <is>
          <t>Nails59</t>
        </is>
      </c>
      <c r="E145" s="2" t="inlineStr">
        <is>
          <t>beauty salon</t>
        </is>
      </c>
      <c r="F145" s="2" t="inlineStr">
        <is>
          <t>Brisbane</t>
        </is>
      </c>
      <c r="G145" s="2" t="inlineStr">
        <is>
          <t>Instagram</t>
        </is>
      </c>
      <c r="H145" s="4" t="inlineStr">
        <is>
          <t>https://www.instagram.com/nails59_rochedale/</t>
        </is>
      </c>
      <c r="I145" s="2" t="inlineStr"/>
      <c r="J145" s="2" t="inlineStr">
        <is>
          <t>+61 424 399 993</t>
        </is>
      </c>
      <c r="K145" s="2" t="inlineStr"/>
      <c r="L145" s="2" t="inlineStr">
        <is>
          <t>no website listed, only social media (verify on Google Maps)</t>
        </is>
      </c>
      <c r="M145" s="2" t="inlineStr">
        <is>
          <t>Hi Nails59 team! [one real detail from their page]. We're AceAds, a web design studio. We couldn't find a website for Nails59, only your Instagram. We'd be happy to make you a free preview of what a website could look like. Want one? No cost, no obligation.</t>
        </is>
      </c>
      <c r="N145" s="4" t="inlineStr">
        <is>
          <t>Open map</t>
        </is>
      </c>
      <c r="O145" s="2" t="inlineStr">
        <is>
          <t>Not contacted</t>
        </is>
      </c>
      <c r="P145" s="2" t="inlineStr"/>
      <c r="Q145" s="2" t="inlineStr"/>
      <c r="R145" s="2" t="inlineStr"/>
      <c r="S145" s="2" t="inlineStr"/>
    </row>
    <row r="146">
      <c r="A146" s="2" t="n">
        <v>145</v>
      </c>
      <c r="B146" s="5" t="inlineStr">
        <is>
          <t>VERIFY FIRST</t>
        </is>
      </c>
      <c r="C146" s="2" t="inlineStr">
        <is>
          <t>No website found</t>
        </is>
      </c>
      <c r="D146" s="2" t="inlineStr">
        <is>
          <t>Satisfied Nail</t>
        </is>
      </c>
      <c r="E146" s="2" t="inlineStr">
        <is>
          <t>beauty salon</t>
        </is>
      </c>
      <c r="F146" s="2" t="inlineStr">
        <is>
          <t>Brisbane</t>
        </is>
      </c>
      <c r="G146" s="2" t="inlineStr">
        <is>
          <t>Facebook</t>
        </is>
      </c>
      <c r="H146" s="2" t="inlineStr"/>
      <c r="I146" s="4" t="inlineStr">
        <is>
          <t>https://www.facebook.com/satisfiednail/</t>
        </is>
      </c>
      <c r="J146" s="2" t="inlineStr"/>
      <c r="K146" s="2" t="inlineStr"/>
      <c r="L146" s="2" t="inlineStr">
        <is>
          <t>no website listed, only social media (verify on Google Maps)</t>
        </is>
      </c>
      <c r="M146" s="2" t="inlineStr">
        <is>
          <t>Hi Satisfied Nail team! [one real detail from their page]. We're AceAds, a web design studio. We couldn't find a website for Satisfied Nail, only your Facebook. We'd be happy to make you a free preview of what a website could look like. Want one? No cost, no obligation.</t>
        </is>
      </c>
      <c r="N146" s="4" t="inlineStr">
        <is>
          <t>Open map</t>
        </is>
      </c>
      <c r="O146" s="2" t="inlineStr">
        <is>
          <t>Not contacted</t>
        </is>
      </c>
      <c r="P146" s="2" t="inlineStr"/>
      <c r="Q146" s="2" t="inlineStr"/>
      <c r="R146" s="2" t="inlineStr"/>
      <c r="S146" s="2" t="inlineStr"/>
    </row>
    <row r="147">
      <c r="A147" s="2" t="n">
        <v>146</v>
      </c>
      <c r="B147" s="5" t="inlineStr">
        <is>
          <t>VERIFY FIRST</t>
        </is>
      </c>
      <c r="C147" s="2" t="inlineStr">
        <is>
          <t>No website found</t>
        </is>
      </c>
      <c r="D147" s="2" t="inlineStr">
        <is>
          <t>Brandons Shoe Repairs</t>
        </is>
      </c>
      <c r="E147" s="2" t="inlineStr">
        <is>
          <t>boutique</t>
        </is>
      </c>
      <c r="F147" s="2" t="inlineStr">
        <is>
          <t>Brisbane</t>
        </is>
      </c>
      <c r="G147" s="2" t="inlineStr">
        <is>
          <t>Facebook</t>
        </is>
      </c>
      <c r="H147" s="2" t="inlineStr"/>
      <c r="I147" s="4" t="inlineStr">
        <is>
          <t>https://www.facebook.com/people/Brandons-Shoe-Repairs/100057123895028/</t>
        </is>
      </c>
      <c r="J147" s="2" t="inlineStr">
        <is>
          <t>+61 7 3848 1856</t>
        </is>
      </c>
      <c r="K147" s="2" t="inlineStr"/>
      <c r="L147" s="2" t="inlineStr">
        <is>
          <t>no website listed, only social media (verify on Google Maps)</t>
        </is>
      </c>
      <c r="M147" s="2" t="inlineStr">
        <is>
          <t>Hi Brandons Shoe Repairs team! [one real detail from their page]. We're AceAds, a web design studio. We couldn't find a website for Brandons Shoe Repairs, only your Facebook. We'd be happy to make you a free preview of what a website could look like. Want one? No cost, no obligation.</t>
        </is>
      </c>
      <c r="N147" s="4" t="inlineStr">
        <is>
          <t>Open map</t>
        </is>
      </c>
      <c r="O147" s="2" t="inlineStr">
        <is>
          <t>Not contacted</t>
        </is>
      </c>
      <c r="P147" s="2" t="inlineStr"/>
      <c r="Q147" s="2" t="inlineStr"/>
      <c r="R147" s="2" t="inlineStr"/>
      <c r="S147" s="2" t="inlineStr"/>
    </row>
    <row r="148">
      <c r="A148" s="2" t="n">
        <v>147</v>
      </c>
      <c r="B148" s="5" t="inlineStr">
        <is>
          <t>VERIFY FIRST</t>
        </is>
      </c>
      <c r="C148" s="2" t="inlineStr">
        <is>
          <t>No website found</t>
        </is>
      </c>
      <c r="D148" s="2" t="inlineStr">
        <is>
          <t>Etcetera Leisure Plus</t>
        </is>
      </c>
      <c r="E148" s="2" t="inlineStr">
        <is>
          <t>boutique</t>
        </is>
      </c>
      <c r="F148" s="2" t="inlineStr">
        <is>
          <t>Brisbane</t>
        </is>
      </c>
      <c r="G148" s="2" t="inlineStr">
        <is>
          <t>Facebook</t>
        </is>
      </c>
      <c r="H148" s="2" t="inlineStr"/>
      <c r="I148" s="4" t="inlineStr">
        <is>
          <t>https://www.facebook.com/people/Etcetera-Leisure-Plus/61550838810039/</t>
        </is>
      </c>
      <c r="J148" s="2" t="inlineStr"/>
      <c r="K148" s="2" t="inlineStr"/>
      <c r="L148" s="2" t="inlineStr">
        <is>
          <t>no website listed, only social media (verify on Google Maps)</t>
        </is>
      </c>
      <c r="M148" s="2" t="inlineStr">
        <is>
          <t>Hi Etcetera Leisure Plus team! [one real detail from their page]. We're AceAds, a web design studio. We couldn't find a website for Etcetera Leisure Plus, only your Facebook. We'd be happy to make you a free preview of what a website could look like. Want one? No cost, no obligation.</t>
        </is>
      </c>
      <c r="N148" s="4" t="inlineStr">
        <is>
          <t>Open map</t>
        </is>
      </c>
      <c r="O148" s="2" t="inlineStr">
        <is>
          <t>Not contacted</t>
        </is>
      </c>
      <c r="P148" s="2" t="inlineStr"/>
      <c r="Q148" s="2" t="inlineStr"/>
      <c r="R148" s="2" t="inlineStr"/>
      <c r="S148" s="2" t="inlineStr"/>
    </row>
    <row r="149">
      <c r="A149" s="2" t="n">
        <v>148</v>
      </c>
      <c r="B149" s="5" t="inlineStr">
        <is>
          <t>VERIFY FIRST</t>
        </is>
      </c>
      <c r="C149" s="2" t="inlineStr">
        <is>
          <t>No website found</t>
        </is>
      </c>
      <c r="D149" s="2" t="inlineStr">
        <is>
          <t>Palmbee Capalaba HQ</t>
        </is>
      </c>
      <c r="E149" s="2" t="inlineStr">
        <is>
          <t>boutique</t>
        </is>
      </c>
      <c r="F149" s="2" t="inlineStr">
        <is>
          <t>Brisbane</t>
        </is>
      </c>
      <c r="G149" s="2" t="inlineStr">
        <is>
          <t>Instagram</t>
        </is>
      </c>
      <c r="H149" s="4" t="inlineStr">
        <is>
          <t>https://www.instagram.com/palmbeeaustralia</t>
        </is>
      </c>
      <c r="I149" s="4" t="inlineStr">
        <is>
          <t>https://www.facebook.com/palmbeexx</t>
        </is>
      </c>
      <c r="J149" s="2" t="inlineStr">
        <is>
          <t>+61 434 066 266</t>
        </is>
      </c>
      <c r="K149" s="2" t="inlineStr"/>
      <c r="L149" s="2" t="inlineStr">
        <is>
          <t>no website listed, only social media (verify on Google Maps)</t>
        </is>
      </c>
      <c r="M149" s="2" t="inlineStr">
        <is>
          <t>Hi Palmbee Capalaba HQ team! [one real detail from their page]. We're AceAds, a web design studio. We couldn't find a website for Palmbee Capalaba HQ, only your Instagram. We'd be happy to make you a free preview of what a website could look like. Want one? No cost, no obligation.</t>
        </is>
      </c>
      <c r="N149" s="4" t="inlineStr">
        <is>
          <t>Open map</t>
        </is>
      </c>
      <c r="O149" s="2" t="inlineStr">
        <is>
          <t>Not contacted</t>
        </is>
      </c>
      <c r="P149" s="2" t="inlineStr"/>
      <c r="Q149" s="2" t="inlineStr"/>
      <c r="R149" s="2" t="inlineStr"/>
      <c r="S149" s="2" t="inlineStr"/>
    </row>
    <row r="150">
      <c r="A150" s="2" t="n">
        <v>149</v>
      </c>
      <c r="B150" s="5" t="inlineStr">
        <is>
          <t>VERIFY FIRST</t>
        </is>
      </c>
      <c r="C150" s="2" t="inlineStr">
        <is>
          <t>No website found</t>
        </is>
      </c>
      <c r="D150" s="2" t="inlineStr">
        <is>
          <t>Studio M by Margarita</t>
        </is>
      </c>
      <c r="E150" s="2" t="inlineStr">
        <is>
          <t>boutique</t>
        </is>
      </c>
      <c r="F150" s="2" t="inlineStr">
        <is>
          <t>Brisbane</t>
        </is>
      </c>
      <c r="G150" s="2" t="inlineStr">
        <is>
          <t>Facebook</t>
        </is>
      </c>
      <c r="H150" s="2" t="inlineStr"/>
      <c r="I150" s="4" t="inlineStr">
        <is>
          <t>https://www.facebook.com/StudioMbyMargarita</t>
        </is>
      </c>
      <c r="J150" s="2" t="inlineStr"/>
      <c r="K150" s="2" t="inlineStr"/>
      <c r="L150" s="2" t="inlineStr">
        <is>
          <t>no website listed, only social media (verify on Google Maps)</t>
        </is>
      </c>
      <c r="M150" s="2" t="inlineStr">
        <is>
          <t>Hi Studio M by Margarita team! [one real detail from their page]. We're AceAds, a web design studio. We couldn't find a website for Studio M by Margarita, only your Facebook. We'd be happy to make you a free preview of what a website could look like. Want one? No cost, no obligation.</t>
        </is>
      </c>
      <c r="N150" s="4" t="inlineStr">
        <is>
          <t>Open map</t>
        </is>
      </c>
      <c r="O150" s="2" t="inlineStr">
        <is>
          <t>Not contacted</t>
        </is>
      </c>
      <c r="P150" s="2" t="inlineStr"/>
      <c r="Q150" s="2" t="inlineStr"/>
      <c r="R150" s="2" t="inlineStr"/>
      <c r="S150" s="2" t="inlineStr"/>
    </row>
    <row r="151">
      <c r="A151" s="2" t="n">
        <v>150</v>
      </c>
      <c r="B151" s="5" t="inlineStr">
        <is>
          <t>VERIFY FIRST</t>
        </is>
      </c>
      <c r="C151" s="2" t="inlineStr">
        <is>
          <t>No website found</t>
        </is>
      </c>
      <c r="D151" s="2" t="inlineStr">
        <is>
          <t>Abode Cafe</t>
        </is>
      </c>
      <c r="E151" s="2" t="inlineStr">
        <is>
          <t>cafe</t>
        </is>
      </c>
      <c r="F151" s="2" t="inlineStr">
        <is>
          <t>Brisbane</t>
        </is>
      </c>
      <c r="G151" s="2" t="inlineStr">
        <is>
          <t>Facebook</t>
        </is>
      </c>
      <c r="H151" s="2" t="inlineStr"/>
      <c r="I151" s="4" t="inlineStr">
        <is>
          <t>https://www.facebook.com/abodeonHillsdon</t>
        </is>
      </c>
      <c r="J151" s="2" t="inlineStr">
        <is>
          <t>+61 7 3371 9874</t>
        </is>
      </c>
      <c r="K151" s="2" t="inlineStr"/>
      <c r="L151" s="2" t="inlineStr">
        <is>
          <t>no website listed, only social media (verify on Google Maps)</t>
        </is>
      </c>
      <c r="M151" s="2" t="inlineStr">
        <is>
          <t>Hi Abode Cafe team! [one real detail from their page]. We're AceAds, a web design studio. We couldn't find a website for Abode Cafe, only your Facebook. We'd be happy to make you a free preview of what a website could look like. Want one? No cost, no obligation.</t>
        </is>
      </c>
      <c r="N151" s="4" t="inlineStr">
        <is>
          <t>Open map</t>
        </is>
      </c>
      <c r="O151" s="2" t="inlineStr">
        <is>
          <t>Not contacted</t>
        </is>
      </c>
      <c r="P151" s="2" t="inlineStr"/>
      <c r="Q151" s="2" t="inlineStr"/>
      <c r="R151" s="2" t="inlineStr"/>
      <c r="S151" s="2" t="inlineStr"/>
    </row>
    <row r="152">
      <c r="A152" s="2" t="n">
        <v>151</v>
      </c>
      <c r="B152" s="5" t="inlineStr">
        <is>
          <t>VERIFY FIRST</t>
        </is>
      </c>
      <c r="C152" s="2" t="inlineStr">
        <is>
          <t>No website found</t>
        </is>
      </c>
      <c r="D152" s="2" t="inlineStr">
        <is>
          <t>Augustus Espresso</t>
        </is>
      </c>
      <c r="E152" s="2" t="inlineStr">
        <is>
          <t>cafe</t>
        </is>
      </c>
      <c r="F152" s="2" t="inlineStr">
        <is>
          <t>Brisbane</t>
        </is>
      </c>
      <c r="G152" s="2" t="inlineStr">
        <is>
          <t>Facebook</t>
        </is>
      </c>
      <c r="H152" s="2" t="inlineStr"/>
      <c r="I152" s="4" t="inlineStr">
        <is>
          <t>https://www.facebook.com/Augustus.Espresso/</t>
        </is>
      </c>
      <c r="J152" s="2" t="inlineStr">
        <is>
          <t>+61 7 3902 0025</t>
        </is>
      </c>
      <c r="K152" s="2" t="inlineStr"/>
      <c r="L152" s="2" t="inlineStr">
        <is>
          <t>no website listed, only social media (verify on Google Maps)</t>
        </is>
      </c>
      <c r="M152" s="2" t="inlineStr">
        <is>
          <t>Hi Augustus Espresso team! [one real detail from their page]. We're AceAds, a web design studio. We couldn't find a website for Augustus Espresso, only your Facebook. We'd be happy to make you a free preview of what a website could look like. Want one? No cost, no obligation.</t>
        </is>
      </c>
      <c r="N152" s="4" t="inlineStr">
        <is>
          <t>Open map</t>
        </is>
      </c>
      <c r="O152" s="2" t="inlineStr">
        <is>
          <t>Not contacted</t>
        </is>
      </c>
      <c r="P152" s="2" t="inlineStr"/>
      <c r="Q152" s="2" t="inlineStr"/>
      <c r="R152" s="2" t="inlineStr"/>
      <c r="S152" s="2" t="inlineStr"/>
    </row>
    <row r="153">
      <c r="A153" s="2" t="n">
        <v>152</v>
      </c>
      <c r="B153" s="5" t="inlineStr">
        <is>
          <t>VERIFY FIRST</t>
        </is>
      </c>
      <c r="C153" s="2" t="inlineStr">
        <is>
          <t>No website found</t>
        </is>
      </c>
      <c r="D153" s="2" t="inlineStr">
        <is>
          <t>Av-A-Chat Cafe</t>
        </is>
      </c>
      <c r="E153" s="2" t="inlineStr">
        <is>
          <t>cafe</t>
        </is>
      </c>
      <c r="F153" s="2" t="inlineStr">
        <is>
          <t>Brisbane</t>
        </is>
      </c>
      <c r="G153" s="2" t="inlineStr">
        <is>
          <t>Facebook</t>
        </is>
      </c>
      <c r="H153" s="2" t="inlineStr"/>
      <c r="I153" s="4" t="inlineStr">
        <is>
          <t>https://www.facebook.com/vietnameseavachatcafe/</t>
        </is>
      </c>
      <c r="J153" s="2" t="inlineStr"/>
      <c r="K153" s="2" t="inlineStr"/>
      <c r="L153" s="2" t="inlineStr">
        <is>
          <t>no website listed, only social media (verify on Google Maps)</t>
        </is>
      </c>
      <c r="M153" s="2" t="inlineStr">
        <is>
          <t>Hi Av-A-Chat Cafe team! [one real detail from their page]. We're AceAds, a web design studio. We couldn't find a website for Av-A-Chat Cafe, only your Facebook. We'd be happy to make you a free preview of what a website could look like. Want one? No cost, no obligation.</t>
        </is>
      </c>
      <c r="N153" s="4" t="inlineStr">
        <is>
          <t>Open map</t>
        </is>
      </c>
      <c r="O153" s="2" t="inlineStr">
        <is>
          <t>Not contacted</t>
        </is>
      </c>
      <c r="P153" s="2" t="inlineStr"/>
      <c r="Q153" s="2" t="inlineStr"/>
      <c r="R153" s="2" t="inlineStr"/>
      <c r="S153" s="2" t="inlineStr"/>
    </row>
    <row r="154">
      <c r="A154" s="2" t="n">
        <v>153</v>
      </c>
      <c r="B154" s="5" t="inlineStr">
        <is>
          <t>VERIFY FIRST</t>
        </is>
      </c>
      <c r="C154" s="2" t="inlineStr">
        <is>
          <t>No website found</t>
        </is>
      </c>
      <c r="D154" s="2" t="inlineStr">
        <is>
          <t>Blue Poppy</t>
        </is>
      </c>
      <c r="E154" s="2" t="inlineStr">
        <is>
          <t>cafe</t>
        </is>
      </c>
      <c r="F154" s="2" t="inlineStr">
        <is>
          <t>Brisbane</t>
        </is>
      </c>
      <c r="G154" s="2" t="inlineStr">
        <is>
          <t>Facebook</t>
        </is>
      </c>
      <c r="H154" s="2" t="inlineStr"/>
      <c r="I154" s="4" t="inlineStr">
        <is>
          <t>http://facebook.com/thebluepoppy/</t>
        </is>
      </c>
      <c r="J154" s="2" t="inlineStr"/>
      <c r="K154" s="2" t="inlineStr"/>
      <c r="L154" s="2" t="inlineStr">
        <is>
          <t>no website listed, only social media (verify on Google Maps)</t>
        </is>
      </c>
      <c r="M154" s="2" t="inlineStr">
        <is>
          <t>Hi Blue Poppy team! [one real detail from their page]. We're AceAds, a web design studio. We couldn't find a website for Blue Poppy, only your Facebook. We'd be happy to make you a free preview of what a website could look like. Want one? No cost, no obligation.</t>
        </is>
      </c>
      <c r="N154" s="4" t="inlineStr">
        <is>
          <t>Open map</t>
        </is>
      </c>
      <c r="O154" s="2" t="inlineStr">
        <is>
          <t>Not contacted</t>
        </is>
      </c>
      <c r="P154" s="2" t="inlineStr"/>
      <c r="Q154" s="2" t="inlineStr"/>
      <c r="R154" s="2" t="inlineStr"/>
      <c r="S154" s="2" t="inlineStr"/>
    </row>
    <row r="155">
      <c r="A155" s="2" t="n">
        <v>154</v>
      </c>
      <c r="B155" s="5" t="inlineStr">
        <is>
          <t>VERIFY FIRST</t>
        </is>
      </c>
      <c r="C155" s="2" t="inlineStr">
        <is>
          <t>No website found</t>
        </is>
      </c>
      <c r="D155" s="2" t="inlineStr">
        <is>
          <t>Croix Croissant</t>
        </is>
      </c>
      <c r="E155" s="2" t="inlineStr">
        <is>
          <t>cafe</t>
        </is>
      </c>
      <c r="F155" s="2" t="inlineStr">
        <is>
          <t>Brisbane</t>
        </is>
      </c>
      <c r="G155" s="2" t="inlineStr">
        <is>
          <t>Instagram</t>
        </is>
      </c>
      <c r="H155" s="4" t="inlineStr">
        <is>
          <t>https://www.instagram.com/croixssant.bne</t>
        </is>
      </c>
      <c r="I155" s="2" t="inlineStr"/>
      <c r="J155" s="2" t="inlineStr"/>
      <c r="K155" s="2" t="inlineStr"/>
      <c r="L155" s="2" t="inlineStr">
        <is>
          <t>no website listed, only social media (verify on Google Maps)</t>
        </is>
      </c>
      <c r="M155" s="2" t="inlineStr">
        <is>
          <t>Hi Croix Croissant team! [one real detail from their page]. We're AceAds, a web design studio. We couldn't find a website for Croix Croissant, only your Instagram. We'd be happy to make you a free preview of what a website could look like. Want one? No cost, no obligation.</t>
        </is>
      </c>
      <c r="N155" s="4" t="inlineStr">
        <is>
          <t>Open map</t>
        </is>
      </c>
      <c r="O155" s="2" t="inlineStr">
        <is>
          <t>Not contacted</t>
        </is>
      </c>
      <c r="P155" s="2" t="inlineStr"/>
      <c r="Q155" s="2" t="inlineStr"/>
      <c r="R155" s="2" t="inlineStr"/>
      <c r="S155" s="2" t="inlineStr"/>
    </row>
    <row r="156">
      <c r="A156" s="2" t="n">
        <v>155</v>
      </c>
      <c r="B156" s="5" t="inlineStr">
        <is>
          <t>VERIFY FIRST</t>
        </is>
      </c>
      <c r="C156" s="2" t="inlineStr">
        <is>
          <t>No website found</t>
        </is>
      </c>
      <c r="D156" s="2" t="inlineStr">
        <is>
          <t>Death Star Canteen</t>
        </is>
      </c>
      <c r="E156" s="2" t="inlineStr">
        <is>
          <t>cafe</t>
        </is>
      </c>
      <c r="F156" s="2" t="inlineStr">
        <is>
          <t>Brisbane</t>
        </is>
      </c>
      <c r="G156" s="2" t="inlineStr">
        <is>
          <t>Instagram</t>
        </is>
      </c>
      <c r="H156" s="4" t="inlineStr">
        <is>
          <t>https://instagram.com/deathstarbrisbane</t>
        </is>
      </c>
      <c r="I156" s="4" t="inlineStr">
        <is>
          <t>https://facebook.com/deathstarcanteenbrisbane/</t>
        </is>
      </c>
      <c r="J156" s="2" t="inlineStr"/>
      <c r="K156" s="2" t="inlineStr"/>
      <c r="L156" s="2" t="inlineStr">
        <is>
          <t>no website listed, only social media (verify on Google Maps)</t>
        </is>
      </c>
      <c r="M156" s="2" t="inlineStr">
        <is>
          <t>Hi Death Star Canteen team! [one real detail from their page]. We're AceAds, a web design studio. We couldn't find a website for Death Star Canteen, only your Instagram. We'd be happy to make you a free preview of what a website could look like. Want one? No cost, no obligation.</t>
        </is>
      </c>
      <c r="N156" s="4" t="inlineStr">
        <is>
          <t>Open map</t>
        </is>
      </c>
      <c r="O156" s="2" t="inlineStr">
        <is>
          <t>Not contacted</t>
        </is>
      </c>
      <c r="P156" s="2" t="inlineStr"/>
      <c r="Q156" s="2" t="inlineStr"/>
      <c r="R156" s="2" t="inlineStr"/>
      <c r="S156" s="2" t="inlineStr"/>
    </row>
    <row r="157">
      <c r="A157" s="2" t="n">
        <v>156</v>
      </c>
      <c r="B157" s="5" t="inlineStr">
        <is>
          <t>VERIFY FIRST</t>
        </is>
      </c>
      <c r="C157" s="2" t="inlineStr">
        <is>
          <t>No website found</t>
        </is>
      </c>
      <c r="D157" s="2" t="inlineStr">
        <is>
          <t>Doc Brown</t>
        </is>
      </c>
      <c r="E157" s="2" t="inlineStr">
        <is>
          <t>cafe</t>
        </is>
      </c>
      <c r="F157" s="2" t="inlineStr">
        <is>
          <t>Brisbane</t>
        </is>
      </c>
      <c r="G157" s="2" t="inlineStr">
        <is>
          <t>Facebook</t>
        </is>
      </c>
      <c r="H157" s="2" t="inlineStr"/>
      <c r="I157" s="4" t="inlineStr">
        <is>
          <t>https://www.facebook.com/docbrowncafe</t>
        </is>
      </c>
      <c r="J157" s="2" t="inlineStr"/>
      <c r="K157" s="2" t="inlineStr"/>
      <c r="L157" s="2" t="inlineStr">
        <is>
          <t>no website listed, only social media (verify on Google Maps)</t>
        </is>
      </c>
      <c r="M157" s="2" t="inlineStr">
        <is>
          <t>Hi Doc Brown team! [one real detail from their page]. We're AceAds, a web design studio. We couldn't find a website for Doc Brown, only your Facebook. We'd be happy to make you a free preview of what a website could look like. Want one? No cost, no obligation.</t>
        </is>
      </c>
      <c r="N157" s="4" t="inlineStr">
        <is>
          <t>Open map</t>
        </is>
      </c>
      <c r="O157" s="2" t="inlineStr">
        <is>
          <t>Not contacted</t>
        </is>
      </c>
      <c r="P157" s="2" t="inlineStr"/>
      <c r="Q157" s="2" t="inlineStr"/>
      <c r="R157" s="2" t="inlineStr"/>
      <c r="S157" s="2" t="inlineStr"/>
    </row>
    <row r="158">
      <c r="A158" s="2" t="n">
        <v>157</v>
      </c>
      <c r="B158" s="5" t="inlineStr">
        <is>
          <t>VERIFY FIRST</t>
        </is>
      </c>
      <c r="C158" s="2" t="inlineStr">
        <is>
          <t>No website found</t>
        </is>
      </c>
      <c r="D158" s="2" t="inlineStr">
        <is>
          <t>Double Maker Coffee</t>
        </is>
      </c>
      <c r="E158" s="2" t="inlineStr">
        <is>
          <t>cafe</t>
        </is>
      </c>
      <c r="F158" s="2" t="inlineStr">
        <is>
          <t>Brisbane</t>
        </is>
      </c>
      <c r="G158" s="2" t="inlineStr">
        <is>
          <t>Facebook</t>
        </is>
      </c>
      <c r="H158" s="2" t="inlineStr"/>
      <c r="I158" s="4" t="inlineStr">
        <is>
          <t>https://www.facebook.com/DoubleMakerCoffee</t>
        </is>
      </c>
      <c r="J158" s="2" t="inlineStr"/>
      <c r="K158" s="2" t="inlineStr"/>
      <c r="L158" s="2" t="inlineStr">
        <is>
          <t>no website listed, only social media (verify on Google Maps)</t>
        </is>
      </c>
      <c r="M158" s="2" t="inlineStr">
        <is>
          <t>Hi Double Maker Coffee team! [one real detail from their page]. We're AceAds, a web design studio. We couldn't find a website for Double Maker Coffee, only your Facebook. We'd be happy to make you a free preview of what a website could look like. Want one? No cost, no obligation.</t>
        </is>
      </c>
      <c r="N158" s="4" t="inlineStr">
        <is>
          <t>Open map</t>
        </is>
      </c>
      <c r="O158" s="2" t="inlineStr">
        <is>
          <t>Not contacted</t>
        </is>
      </c>
      <c r="P158" s="2" t="inlineStr"/>
      <c r="Q158" s="2" t="inlineStr"/>
      <c r="R158" s="2" t="inlineStr"/>
      <c r="S158" s="2" t="inlineStr"/>
    </row>
    <row r="159">
      <c r="A159" s="2" t="n">
        <v>158</v>
      </c>
      <c r="B159" s="5" t="inlineStr">
        <is>
          <t>VERIFY FIRST</t>
        </is>
      </c>
      <c r="C159" s="2" t="inlineStr">
        <is>
          <t>No website found</t>
        </is>
      </c>
      <c r="D159" s="2" t="inlineStr">
        <is>
          <t>Farmhouse Cafe</t>
        </is>
      </c>
      <c r="E159" s="2" t="inlineStr">
        <is>
          <t>cafe</t>
        </is>
      </c>
      <c r="F159" s="2" t="inlineStr">
        <is>
          <t>Brisbane</t>
        </is>
      </c>
      <c r="G159" s="2" t="inlineStr">
        <is>
          <t>Instagram</t>
        </is>
      </c>
      <c r="H159" s="4" t="inlineStr">
        <is>
          <t>https://www.instagram.com/FARMHOUSEKEDRON</t>
        </is>
      </c>
      <c r="I159" s="4" t="inlineStr">
        <is>
          <t>https://www.facebook.com/farmhousekedron/</t>
        </is>
      </c>
      <c r="J159" s="2" t="inlineStr">
        <is>
          <t>+61 7 3861 1956</t>
        </is>
      </c>
      <c r="K159" s="2" t="inlineStr"/>
      <c r="L159" s="2" t="inlineStr">
        <is>
          <t>no website listed, only social media (verify on Google Maps)</t>
        </is>
      </c>
      <c r="M159" s="2" t="inlineStr">
        <is>
          <t>Hi Farmhouse Cafe team! [one real detail from their page]. We're AceAds, a web design studio. We couldn't find a website for Farmhouse Cafe, only your Instagram. We'd be happy to make you a free preview of what a website could look like. Want one? No cost, no obligation.</t>
        </is>
      </c>
      <c r="N159" s="4" t="inlineStr">
        <is>
          <t>Open map</t>
        </is>
      </c>
      <c r="O159" s="2" t="inlineStr">
        <is>
          <t>Not contacted</t>
        </is>
      </c>
      <c r="P159" s="2" t="inlineStr"/>
      <c r="Q159" s="2" t="inlineStr"/>
      <c r="R159" s="2" t="inlineStr"/>
      <c r="S159" s="2" t="inlineStr"/>
    </row>
    <row r="160">
      <c r="A160" s="2" t="n">
        <v>159</v>
      </c>
      <c r="B160" s="5" t="inlineStr">
        <is>
          <t>VERIFY FIRST</t>
        </is>
      </c>
      <c r="C160" s="2" t="inlineStr">
        <is>
          <t>No website found</t>
        </is>
      </c>
      <c r="D160" s="2" t="inlineStr">
        <is>
          <t>Fiddle Leaf</t>
        </is>
      </c>
      <c r="E160" s="2" t="inlineStr">
        <is>
          <t>cafe</t>
        </is>
      </c>
      <c r="F160" s="2" t="inlineStr">
        <is>
          <t>Brisbane</t>
        </is>
      </c>
      <c r="G160" s="2" t="inlineStr">
        <is>
          <t>Facebook</t>
        </is>
      </c>
      <c r="H160" s="2" t="inlineStr"/>
      <c r="I160" s="4" t="inlineStr">
        <is>
          <t>https://www.facebook.com/fiddleleafbrisbane</t>
        </is>
      </c>
      <c r="J160" s="2" t="inlineStr">
        <is>
          <t>+61 7 3902 1361</t>
        </is>
      </c>
      <c r="K160" s="2" t="inlineStr"/>
      <c r="L160" s="2" t="inlineStr">
        <is>
          <t>no website listed, only social media (verify on Google Maps)</t>
        </is>
      </c>
      <c r="M160" s="2" t="inlineStr">
        <is>
          <t>Hi Fiddle Leaf team! [one real detail from their page]. We're AceAds, a web design studio. We couldn't find a website for Fiddle Leaf, only your Facebook. We'd be happy to make you a free preview of what a website could look like. Want one? No cost, no obligation.</t>
        </is>
      </c>
      <c r="N160" s="4" t="inlineStr">
        <is>
          <t>Open map</t>
        </is>
      </c>
      <c r="O160" s="2" t="inlineStr">
        <is>
          <t>Not contacted</t>
        </is>
      </c>
      <c r="P160" s="2" t="inlineStr"/>
      <c r="Q160" s="2" t="inlineStr"/>
      <c r="R160" s="2" t="inlineStr"/>
      <c r="S160" s="2" t="inlineStr"/>
    </row>
    <row r="161">
      <c r="A161" s="2" t="n">
        <v>160</v>
      </c>
      <c r="B161" s="5" t="inlineStr">
        <is>
          <t>VERIFY FIRST</t>
        </is>
      </c>
      <c r="C161" s="2" t="inlineStr">
        <is>
          <t>No website found</t>
        </is>
      </c>
      <c r="D161" s="2" t="inlineStr">
        <is>
          <t>I DO</t>
        </is>
      </c>
      <c r="E161" s="2" t="inlineStr">
        <is>
          <t>cafe</t>
        </is>
      </c>
      <c r="F161" s="2" t="inlineStr">
        <is>
          <t>Brisbane</t>
        </is>
      </c>
      <c r="G161" s="2" t="inlineStr">
        <is>
          <t>Instagram</t>
        </is>
      </c>
      <c r="H161" s="4" t="inlineStr">
        <is>
          <t>https://www.instagram.com/idocafe_auchenflower</t>
        </is>
      </c>
      <c r="I161" s="2" t="inlineStr"/>
      <c r="J161" s="2" t="inlineStr">
        <is>
          <t>+61 493 713 688</t>
        </is>
      </c>
      <c r="K161" s="2" t="inlineStr"/>
      <c r="L161" s="2" t="inlineStr">
        <is>
          <t>no website listed, only social media (verify on Google Maps)</t>
        </is>
      </c>
      <c r="M161" s="2" t="inlineStr">
        <is>
          <t>Hi I DO team! [one real detail from their page]. We're AceAds, a web design studio. We couldn't find a website for I DO, only your Instagram. We'd be happy to make you a free preview of what a website could look like. Want one? No cost, no obligation.</t>
        </is>
      </c>
      <c r="N161" s="4" t="inlineStr">
        <is>
          <t>Open map</t>
        </is>
      </c>
      <c r="O161" s="2" t="inlineStr">
        <is>
          <t>Not contacted</t>
        </is>
      </c>
      <c r="P161" s="2" t="inlineStr"/>
      <c r="Q161" s="2" t="inlineStr"/>
      <c r="R161" s="2" t="inlineStr"/>
      <c r="S161" s="2" t="inlineStr"/>
    </row>
    <row r="162">
      <c r="A162" s="2" t="n">
        <v>161</v>
      </c>
      <c r="B162" s="5" t="inlineStr">
        <is>
          <t>VERIFY FIRST</t>
        </is>
      </c>
      <c r="C162" s="2" t="inlineStr">
        <is>
          <t>No website found</t>
        </is>
      </c>
      <c r="D162" s="2" t="inlineStr">
        <is>
          <t>La Familia Espesso Bar</t>
        </is>
      </c>
      <c r="E162" s="2" t="inlineStr">
        <is>
          <t>cafe</t>
        </is>
      </c>
      <c r="F162" s="2" t="inlineStr">
        <is>
          <t>Brisbane</t>
        </is>
      </c>
      <c r="G162" s="2" t="inlineStr">
        <is>
          <t>Facebook</t>
        </is>
      </c>
      <c r="H162" s="2" t="inlineStr"/>
      <c r="I162" s="4" t="inlineStr">
        <is>
          <t>https://www.facebook.com/lafamiliacoffeeco</t>
        </is>
      </c>
      <c r="J162" s="2" t="inlineStr">
        <is>
          <t>+61 434 901 366</t>
        </is>
      </c>
      <c r="K162" s="2" t="inlineStr"/>
      <c r="L162" s="2" t="inlineStr">
        <is>
          <t>no website listed, only social media (verify on Google Maps)</t>
        </is>
      </c>
      <c r="M162" s="2" t="inlineStr">
        <is>
          <t>Hi La Familia Espesso Bar team! [one real detail from their page]. We're AceAds, a web design studio. We couldn't find a website for La Familia Espesso Bar, only your Facebook. We'd be happy to make you a free preview of what a website could look like. Want one? No cost, no obligation.</t>
        </is>
      </c>
      <c r="N162" s="4" t="inlineStr">
        <is>
          <t>Open map</t>
        </is>
      </c>
      <c r="O162" s="2" t="inlineStr">
        <is>
          <t>Not contacted</t>
        </is>
      </c>
      <c r="P162" s="2" t="inlineStr"/>
      <c r="Q162" s="2" t="inlineStr"/>
      <c r="R162" s="2" t="inlineStr"/>
      <c r="S162" s="2" t="inlineStr"/>
    </row>
    <row r="163">
      <c r="A163" s="2" t="n">
        <v>162</v>
      </c>
      <c r="B163" s="5" t="inlineStr">
        <is>
          <t>VERIFY FIRST</t>
        </is>
      </c>
      <c r="C163" s="2" t="inlineStr">
        <is>
          <t>No website found</t>
        </is>
      </c>
      <c r="D163" s="2" t="inlineStr">
        <is>
          <t>Laneway 86</t>
        </is>
      </c>
      <c r="E163" s="2" t="inlineStr">
        <is>
          <t>cafe</t>
        </is>
      </c>
      <c r="F163" s="2" t="inlineStr">
        <is>
          <t>Brisbane</t>
        </is>
      </c>
      <c r="G163" s="2" t="inlineStr">
        <is>
          <t>Instagram</t>
        </is>
      </c>
      <c r="H163" s="4" t="inlineStr">
        <is>
          <t>https://www.instagram.com/laneway86/</t>
        </is>
      </c>
      <c r="I163" s="2" t="inlineStr"/>
      <c r="J163" s="2" t="inlineStr"/>
      <c r="K163" s="2" t="inlineStr"/>
      <c r="L163" s="2" t="inlineStr">
        <is>
          <t>no website listed, only social media (verify on Google Maps)</t>
        </is>
      </c>
      <c r="M163" s="2" t="inlineStr">
        <is>
          <t>Hi Laneway 86 team! [one real detail from their page]. We're AceAds, a web design studio. We couldn't find a website for Laneway 86, only your Instagram. We'd be happy to make you a free preview of what a website could look like. Want one? No cost, no obligation.</t>
        </is>
      </c>
      <c r="N163" s="4" t="inlineStr">
        <is>
          <t>Open map</t>
        </is>
      </c>
      <c r="O163" s="2" t="inlineStr">
        <is>
          <t>Not contacted</t>
        </is>
      </c>
      <c r="P163" s="2" t="inlineStr"/>
      <c r="Q163" s="2" t="inlineStr"/>
      <c r="R163" s="2" t="inlineStr"/>
      <c r="S163" s="2" t="inlineStr"/>
    </row>
    <row r="164">
      <c r="A164" s="2" t="n">
        <v>163</v>
      </c>
      <c r="B164" s="5" t="inlineStr">
        <is>
          <t>VERIFY FIRST</t>
        </is>
      </c>
      <c r="C164" s="2" t="inlineStr">
        <is>
          <t>No website found</t>
        </is>
      </c>
      <c r="D164" s="2" t="inlineStr">
        <is>
          <t>Le Cafe Ashgrove</t>
        </is>
      </c>
      <c r="E164" s="2" t="inlineStr">
        <is>
          <t>cafe</t>
        </is>
      </c>
      <c r="F164" s="2" t="inlineStr">
        <is>
          <t>Brisbane</t>
        </is>
      </c>
      <c r="G164" s="2" t="inlineStr">
        <is>
          <t>Facebook</t>
        </is>
      </c>
      <c r="H164" s="2" t="inlineStr"/>
      <c r="I164" s="4" t="inlineStr">
        <is>
          <t>https://www.facebook.com/Lecafeashgrove/</t>
        </is>
      </c>
      <c r="J164" s="2" t="inlineStr">
        <is>
          <t>+61 7 3366 6234</t>
        </is>
      </c>
      <c r="K164" s="2" t="inlineStr"/>
      <c r="L164" s="2" t="inlineStr">
        <is>
          <t>no website listed, only social media (verify on Google Maps)</t>
        </is>
      </c>
      <c r="M164" s="2" t="inlineStr">
        <is>
          <t>Hi Le Cafe Ashgrove team! [one real detail from their page]. We're AceAds, a web design studio. We couldn't find a website for Le Cafe Ashgrove, only your Facebook. We'd be happy to make you a free preview of what a website could look like. Want one? No cost, no obligation.</t>
        </is>
      </c>
      <c r="N164" s="4" t="inlineStr">
        <is>
          <t>Open map</t>
        </is>
      </c>
      <c r="O164" s="2" t="inlineStr">
        <is>
          <t>Not contacted</t>
        </is>
      </c>
      <c r="P164" s="2" t="inlineStr"/>
      <c r="Q164" s="2" t="inlineStr"/>
      <c r="R164" s="2" t="inlineStr"/>
      <c r="S164" s="2" t="inlineStr"/>
    </row>
    <row r="165">
      <c r="A165" s="2" t="n">
        <v>164</v>
      </c>
      <c r="B165" s="5" t="inlineStr">
        <is>
          <t>VERIFY FIRST</t>
        </is>
      </c>
      <c r="C165" s="2" t="inlineStr">
        <is>
          <t>No website found</t>
        </is>
      </c>
      <c r="D165" s="2" t="inlineStr">
        <is>
          <t>Make My Day</t>
        </is>
      </c>
      <c r="E165" s="2" t="inlineStr">
        <is>
          <t>cafe</t>
        </is>
      </c>
      <c r="F165" s="2" t="inlineStr">
        <is>
          <t>Brisbane</t>
        </is>
      </c>
      <c r="G165" s="2" t="inlineStr">
        <is>
          <t>Instagram</t>
        </is>
      </c>
      <c r="H165" s="4" t="inlineStr">
        <is>
          <t>https://www.instagram.com/makemyday.cafe</t>
        </is>
      </c>
      <c r="I165" s="2" t="inlineStr"/>
      <c r="J165" s="2" t="inlineStr"/>
      <c r="K165" s="2" t="inlineStr"/>
      <c r="L165" s="2" t="inlineStr">
        <is>
          <t>no website listed, only social media (verify on Google Maps)</t>
        </is>
      </c>
      <c r="M165" s="2" t="inlineStr">
        <is>
          <t>Hi Make My Day team! [one real detail from their page]. We're AceAds, a web design studio. We couldn't find a website for Make My Day, only your Instagram. We'd be happy to make you a free preview of what a website could look like. Want one? No cost, no obligation.</t>
        </is>
      </c>
      <c r="N165" s="4" t="inlineStr">
        <is>
          <t>Open map</t>
        </is>
      </c>
      <c r="O165" s="2" t="inlineStr">
        <is>
          <t>Not contacted</t>
        </is>
      </c>
      <c r="P165" s="2" t="inlineStr"/>
      <c r="Q165" s="2" t="inlineStr"/>
      <c r="R165" s="2" t="inlineStr"/>
      <c r="S165" s="2" t="inlineStr"/>
    </row>
    <row r="166">
      <c r="A166" s="2" t="n">
        <v>165</v>
      </c>
      <c r="B166" s="5" t="inlineStr">
        <is>
          <t>VERIFY FIRST</t>
        </is>
      </c>
      <c r="C166" s="2" t="inlineStr">
        <is>
          <t>No website found</t>
        </is>
      </c>
      <c r="D166" s="2" t="inlineStr">
        <is>
          <t>Manka Cafe</t>
        </is>
      </c>
      <c r="E166" s="2" t="inlineStr">
        <is>
          <t>cafe</t>
        </is>
      </c>
      <c r="F166" s="2" t="inlineStr">
        <is>
          <t>Brisbane</t>
        </is>
      </c>
      <c r="G166" s="2" t="inlineStr">
        <is>
          <t>Instagram</t>
        </is>
      </c>
      <c r="H166" s="4" t="inlineStr">
        <is>
          <t>https://www.instagram.com/manka_cafe</t>
        </is>
      </c>
      <c r="I166" s="2" t="inlineStr"/>
      <c r="J166" s="2" t="inlineStr"/>
      <c r="K166" s="2" t="inlineStr"/>
      <c r="L166" s="2" t="inlineStr">
        <is>
          <t>no website listed, only social media (verify on Google Maps)</t>
        </is>
      </c>
      <c r="M166" s="2" t="inlineStr">
        <is>
          <t>Hi Manka Cafe team! [one real detail from their page]. We're AceAds, a web design studio. We couldn't find a website for Manka Cafe, only your Instagram. We'd be happy to make you a free preview of what a website could look like. Want one? No cost, no obligation.</t>
        </is>
      </c>
      <c r="N166" s="4" t="inlineStr">
        <is>
          <t>Open map</t>
        </is>
      </c>
      <c r="O166" s="2" t="inlineStr">
        <is>
          <t>Not contacted</t>
        </is>
      </c>
      <c r="P166" s="2" t="inlineStr"/>
      <c r="Q166" s="2" t="inlineStr"/>
      <c r="R166" s="2" t="inlineStr"/>
      <c r="S166" s="2" t="inlineStr"/>
    </row>
    <row r="167">
      <c r="A167" s="2" t="n">
        <v>166</v>
      </c>
      <c r="B167" s="5" t="inlineStr">
        <is>
          <t>VERIFY FIRST</t>
        </is>
      </c>
      <c r="C167" s="2" t="inlineStr">
        <is>
          <t>No website found</t>
        </is>
      </c>
      <c r="D167" s="2" t="inlineStr">
        <is>
          <t>Mean Beanz Espresso</t>
        </is>
      </c>
      <c r="E167" s="2" t="inlineStr">
        <is>
          <t>cafe</t>
        </is>
      </c>
      <c r="F167" s="2" t="inlineStr">
        <is>
          <t>Brisbane</t>
        </is>
      </c>
      <c r="G167" s="2" t="inlineStr">
        <is>
          <t>Facebook</t>
        </is>
      </c>
      <c r="H167" s="2" t="inlineStr"/>
      <c r="I167" s="4" t="inlineStr">
        <is>
          <t>https://www.facebook.com/MeanBeanzEspresso</t>
        </is>
      </c>
      <c r="J167" s="2" t="inlineStr"/>
      <c r="K167" s="2" t="inlineStr"/>
      <c r="L167" s="2" t="inlineStr">
        <is>
          <t>no website listed, only social media (verify on Google Maps)</t>
        </is>
      </c>
      <c r="M167" s="2" t="inlineStr">
        <is>
          <t>Hi Mean Beanz Espresso team! [one real detail from their page]. We're AceAds, a web design studio. We couldn't find a website for Mean Beanz Espresso, only your Facebook. We'd be happy to make you a free preview of what a website could look like. Want one? No cost, no obligation.</t>
        </is>
      </c>
      <c r="N167" s="4" t="inlineStr">
        <is>
          <t>Open map</t>
        </is>
      </c>
      <c r="O167" s="2" t="inlineStr">
        <is>
          <t>Not contacted</t>
        </is>
      </c>
      <c r="P167" s="2" t="inlineStr"/>
      <c r="Q167" s="2" t="inlineStr"/>
      <c r="R167" s="2" t="inlineStr"/>
      <c r="S167" s="2" t="inlineStr"/>
    </row>
    <row r="168">
      <c r="A168" s="2" t="n">
        <v>167</v>
      </c>
      <c r="B168" s="5" t="inlineStr">
        <is>
          <t>VERIFY FIRST</t>
        </is>
      </c>
      <c r="C168" s="2" t="inlineStr">
        <is>
          <t>No website found</t>
        </is>
      </c>
      <c r="D168" s="2" t="inlineStr">
        <is>
          <t>Mow and Co.</t>
        </is>
      </c>
      <c r="E168" s="2" t="inlineStr">
        <is>
          <t>cafe</t>
        </is>
      </c>
      <c r="F168" s="2" t="inlineStr">
        <is>
          <t>Brisbane</t>
        </is>
      </c>
      <c r="G168" s="2" t="inlineStr">
        <is>
          <t>Instagram</t>
        </is>
      </c>
      <c r="H168" s="4" t="inlineStr">
        <is>
          <t>https://www.instagram.com/hellomowandco/</t>
        </is>
      </c>
      <c r="I168" s="2" t="inlineStr"/>
      <c r="J168" s="2" t="inlineStr"/>
      <c r="K168" s="2" t="inlineStr"/>
      <c r="L168" s="2" t="inlineStr">
        <is>
          <t>no website listed, only social media (verify on Google Maps)</t>
        </is>
      </c>
      <c r="M168" s="2" t="inlineStr">
        <is>
          <t>Hi Mow and Co. team! [one real detail from their page]. We're AceAds, a web design studio. We couldn't find a website for Mow and Co., only your Instagram. We'd be happy to make you a free preview of what a website could look like. Want one? No cost, no obligation.</t>
        </is>
      </c>
      <c r="N168" s="4" t="inlineStr">
        <is>
          <t>Open map</t>
        </is>
      </c>
      <c r="O168" s="2" t="inlineStr">
        <is>
          <t>Not contacted</t>
        </is>
      </c>
      <c r="P168" s="2" t="inlineStr"/>
      <c r="Q168" s="2" t="inlineStr"/>
      <c r="R168" s="2" t="inlineStr"/>
      <c r="S168" s="2" t="inlineStr"/>
    </row>
    <row r="169">
      <c r="A169" s="2" t="n">
        <v>168</v>
      </c>
      <c r="B169" s="5" t="inlineStr">
        <is>
          <t>VERIFY FIRST</t>
        </is>
      </c>
      <c r="C169" s="2" t="inlineStr">
        <is>
          <t>No website found</t>
        </is>
      </c>
      <c r="D169" s="2" t="inlineStr">
        <is>
          <t>Nurse Station Coffee and Juice Bar</t>
        </is>
      </c>
      <c r="E169" s="2" t="inlineStr">
        <is>
          <t>cafe</t>
        </is>
      </c>
      <c r="F169" s="2" t="inlineStr">
        <is>
          <t>Brisbane</t>
        </is>
      </c>
      <c r="G169" s="2" t="inlineStr">
        <is>
          <t>Instagram</t>
        </is>
      </c>
      <c r="H169" s="4" t="inlineStr">
        <is>
          <t>https://www.instagram.com/nursestationcafe</t>
        </is>
      </c>
      <c r="I169" s="4" t="inlineStr">
        <is>
          <t>https://www.facebook.com/nursestationcafe</t>
        </is>
      </c>
      <c r="J169" s="2" t="inlineStr">
        <is>
          <t>+61 7 3010 5722</t>
        </is>
      </c>
      <c r="K169" s="2" t="inlineStr"/>
      <c r="L169" s="2" t="inlineStr">
        <is>
          <t>no website listed, only social media (verify on Google Maps)</t>
        </is>
      </c>
      <c r="M169" s="2" t="inlineStr">
        <is>
          <t>Hi Nurse Station Coffee and Juice Bar team! [one real detail from their page]. We're AceAds, a web design studio. We couldn't find a website for Nurse Station Coffee and Juice Bar, only your Instagram. We'd be happy to make you a free preview of what a website could look like. Want one? No cost, no obligation.</t>
        </is>
      </c>
      <c r="N169" s="4" t="inlineStr">
        <is>
          <t>Open map</t>
        </is>
      </c>
      <c r="O169" s="2" t="inlineStr">
        <is>
          <t>Not contacted</t>
        </is>
      </c>
      <c r="P169" s="2" t="inlineStr"/>
      <c r="Q169" s="2" t="inlineStr"/>
      <c r="R169" s="2" t="inlineStr"/>
      <c r="S169" s="2" t="inlineStr"/>
    </row>
    <row r="170">
      <c r="A170" s="2" t="n">
        <v>169</v>
      </c>
      <c r="B170" s="5" t="inlineStr">
        <is>
          <t>VERIFY FIRST</t>
        </is>
      </c>
      <c r="C170" s="2" t="inlineStr">
        <is>
          <t>No website found</t>
        </is>
      </c>
      <c r="D170" s="2" t="inlineStr">
        <is>
          <t>Orange Tea Brisbane One</t>
        </is>
      </c>
      <c r="E170" s="2" t="inlineStr">
        <is>
          <t>cafe</t>
        </is>
      </c>
      <c r="F170" s="2" t="inlineStr">
        <is>
          <t>Brisbane</t>
        </is>
      </c>
      <c r="G170" s="2" t="inlineStr">
        <is>
          <t>Facebook</t>
        </is>
      </c>
      <c r="H170" s="2" t="inlineStr"/>
      <c r="I170" s="4" t="inlineStr">
        <is>
          <t>https://www.facebook.com/OrangeTeaAustralia</t>
        </is>
      </c>
      <c r="J170" s="2" t="inlineStr">
        <is>
          <t>+61 413 871 636</t>
        </is>
      </c>
      <c r="K170" s="2" t="inlineStr"/>
      <c r="L170" s="2" t="inlineStr">
        <is>
          <t>no website listed, only social media (verify on Google Maps)</t>
        </is>
      </c>
      <c r="M170" s="2" t="inlineStr">
        <is>
          <t>Hi Orange Tea Brisbane One team! [one real detail from their page]. We're AceAds, a web design studio. We couldn't find a website for Orange Tea Brisbane One, only your Facebook. We'd be happy to make you a free preview of what a website could look like. Want one? No cost, no obligation.</t>
        </is>
      </c>
      <c r="N170" s="4" t="inlineStr">
        <is>
          <t>Open map</t>
        </is>
      </c>
      <c r="O170" s="2" t="inlineStr">
        <is>
          <t>Not contacted</t>
        </is>
      </c>
      <c r="P170" s="2" t="inlineStr"/>
      <c r="Q170" s="2" t="inlineStr"/>
      <c r="R170" s="2" t="inlineStr"/>
      <c r="S170" s="2" t="inlineStr"/>
    </row>
    <row r="171">
      <c r="A171" s="2" t="n">
        <v>170</v>
      </c>
      <c r="B171" s="5" t="inlineStr">
        <is>
          <t>VERIFY FIRST</t>
        </is>
      </c>
      <c r="C171" s="2" t="inlineStr">
        <is>
          <t>No website found</t>
        </is>
      </c>
      <c r="D171" s="2" t="inlineStr">
        <is>
          <t>POD Espresso</t>
        </is>
      </c>
      <c r="E171" s="2" t="inlineStr">
        <is>
          <t>cafe</t>
        </is>
      </c>
      <c r="F171" s="2" t="inlineStr">
        <is>
          <t>Brisbane</t>
        </is>
      </c>
      <c r="G171" s="2" t="inlineStr">
        <is>
          <t>Facebook</t>
        </is>
      </c>
      <c r="H171" s="2" t="inlineStr"/>
      <c r="I171" s="4" t="inlineStr">
        <is>
          <t>https://www.facebook.com/podespresso/</t>
        </is>
      </c>
      <c r="J171" s="2" t="inlineStr">
        <is>
          <t>+61 435 273 186</t>
        </is>
      </c>
      <c r="K171" s="2" t="inlineStr"/>
      <c r="L171" s="2" t="inlineStr">
        <is>
          <t>no website listed, only social media (verify on Google Maps)</t>
        </is>
      </c>
      <c r="M171" s="2" t="inlineStr">
        <is>
          <t>Hi POD Espresso team! [one real detail from their page]. We're AceAds, a web design studio. We couldn't find a website for POD Espresso, only your Facebook. We'd be happy to make you a free preview of what a website could look like. Want one? No cost, no obligation.</t>
        </is>
      </c>
      <c r="N171" s="4" t="inlineStr">
        <is>
          <t>Open map</t>
        </is>
      </c>
      <c r="O171" s="2" t="inlineStr">
        <is>
          <t>Not contacted</t>
        </is>
      </c>
      <c r="P171" s="2" t="inlineStr"/>
      <c r="Q171" s="2" t="inlineStr"/>
      <c r="R171" s="2" t="inlineStr"/>
      <c r="S171" s="2" t="inlineStr"/>
    </row>
    <row r="172">
      <c r="A172" s="2" t="n">
        <v>171</v>
      </c>
      <c r="B172" s="5" t="inlineStr">
        <is>
          <t>VERIFY FIRST</t>
        </is>
      </c>
      <c r="C172" s="2" t="inlineStr">
        <is>
          <t>No website found</t>
        </is>
      </c>
      <c r="D172" s="2" t="inlineStr">
        <is>
          <t>Pure Shot Cafe</t>
        </is>
      </c>
      <c r="E172" s="2" t="inlineStr">
        <is>
          <t>cafe</t>
        </is>
      </c>
      <c r="F172" s="2" t="inlineStr">
        <is>
          <t>Brisbane</t>
        </is>
      </c>
      <c r="G172" s="2" t="inlineStr">
        <is>
          <t>Facebook</t>
        </is>
      </c>
      <c r="H172" s="2" t="inlineStr"/>
      <c r="I172" s="4" t="inlineStr">
        <is>
          <t>https://www.facebook.com/pureshotcafe</t>
        </is>
      </c>
      <c r="J172" s="2" t="inlineStr"/>
      <c r="K172" s="2" t="inlineStr"/>
      <c r="L172" s="2" t="inlineStr">
        <is>
          <t>no website listed, only social media (verify on Google Maps)</t>
        </is>
      </c>
      <c r="M172" s="2" t="inlineStr">
        <is>
          <t>Hi Pure Shot Cafe team! [one real detail from their page]. We're AceAds, a web design studio. We couldn't find a website for Pure Shot Cafe, only your Facebook. We'd be happy to make you a free preview of what a website could look like. Want one? No cost, no obligation.</t>
        </is>
      </c>
      <c r="N172" s="4" t="inlineStr">
        <is>
          <t>Open map</t>
        </is>
      </c>
      <c r="O172" s="2" t="inlineStr">
        <is>
          <t>Not contacted</t>
        </is>
      </c>
      <c r="P172" s="2" t="inlineStr"/>
      <c r="Q172" s="2" t="inlineStr"/>
      <c r="R172" s="2" t="inlineStr"/>
      <c r="S172" s="2" t="inlineStr"/>
    </row>
    <row r="173">
      <c r="A173" s="2" t="n">
        <v>172</v>
      </c>
      <c r="B173" s="5" t="inlineStr">
        <is>
          <t>VERIFY FIRST</t>
        </is>
      </c>
      <c r="C173" s="2" t="inlineStr">
        <is>
          <t>No website found</t>
        </is>
      </c>
      <c r="D173" s="2" t="inlineStr">
        <is>
          <t>Sips O'clock</t>
        </is>
      </c>
      <c r="E173" s="2" t="inlineStr">
        <is>
          <t>cafe</t>
        </is>
      </c>
      <c r="F173" s="2" t="inlineStr">
        <is>
          <t>Brisbane</t>
        </is>
      </c>
      <c r="G173" s="2" t="inlineStr">
        <is>
          <t>Instagram</t>
        </is>
      </c>
      <c r="H173" s="4" t="inlineStr">
        <is>
          <t>https://www.instagram.com/sipsoclock/</t>
        </is>
      </c>
      <c r="I173" s="2" t="inlineStr"/>
      <c r="J173" s="2" t="inlineStr"/>
      <c r="K173" s="2" t="inlineStr"/>
      <c r="L173" s="2" t="inlineStr">
        <is>
          <t>no website listed, only social media (verify on Google Maps)</t>
        </is>
      </c>
      <c r="M173" s="2" t="inlineStr">
        <is>
          <t>Hi Sips O'clock team! [one real detail from their page]. We're AceAds, a web design studio. We couldn't find a website for Sips O'clock, only your Instagram. We'd be happy to make you a free preview of what a website could look like. Want one? No cost, no obligation.</t>
        </is>
      </c>
      <c r="N173" s="4" t="inlineStr">
        <is>
          <t>Open map</t>
        </is>
      </c>
      <c r="O173" s="2" t="inlineStr">
        <is>
          <t>Not contacted</t>
        </is>
      </c>
      <c r="P173" s="2" t="inlineStr"/>
      <c r="Q173" s="2" t="inlineStr"/>
      <c r="R173" s="2" t="inlineStr"/>
      <c r="S173" s="2" t="inlineStr"/>
    </row>
    <row r="174">
      <c r="A174" s="2" t="n">
        <v>173</v>
      </c>
      <c r="B174" s="5" t="inlineStr">
        <is>
          <t>VERIFY FIRST</t>
        </is>
      </c>
      <c r="C174" s="2" t="inlineStr">
        <is>
          <t>No website found</t>
        </is>
      </c>
      <c r="D174" s="2" t="inlineStr">
        <is>
          <t>Snag &amp; Brown</t>
        </is>
      </c>
      <c r="E174" s="2" t="inlineStr">
        <is>
          <t>cafe</t>
        </is>
      </c>
      <c r="F174" s="2" t="inlineStr">
        <is>
          <t>Brisbane</t>
        </is>
      </c>
      <c r="G174" s="2" t="inlineStr">
        <is>
          <t>Facebook</t>
        </is>
      </c>
      <c r="H174" s="2" t="inlineStr"/>
      <c r="I174" s="4" t="inlineStr">
        <is>
          <t>https://www.facebook.com/snagandbrownannerley/</t>
        </is>
      </c>
      <c r="J174" s="2" t="inlineStr">
        <is>
          <t>+61 7 3848 8139</t>
        </is>
      </c>
      <c r="K174" s="2" t="inlineStr"/>
      <c r="L174" s="2" t="inlineStr">
        <is>
          <t>no website listed, only social media (verify on Google Maps)</t>
        </is>
      </c>
      <c r="M174" s="2" t="inlineStr">
        <is>
          <t>Hi Snag &amp; Brown team! [one real detail from their page]. We're AceAds, a web design studio. We couldn't find a website for Snag &amp; Brown, only your Facebook. We'd be happy to make you a free preview of what a website could look like. Want one? No cost, no obligation.</t>
        </is>
      </c>
      <c r="N174" s="4" t="inlineStr">
        <is>
          <t>Open map</t>
        </is>
      </c>
      <c r="O174" s="2" t="inlineStr">
        <is>
          <t>Not contacted</t>
        </is>
      </c>
      <c r="P174" s="2" t="inlineStr"/>
      <c r="Q174" s="2" t="inlineStr"/>
      <c r="R174" s="2" t="inlineStr"/>
      <c r="S174" s="2" t="inlineStr"/>
    </row>
    <row r="175">
      <c r="A175" s="2" t="n">
        <v>174</v>
      </c>
      <c r="B175" s="5" t="inlineStr">
        <is>
          <t>VERIFY FIRST</t>
        </is>
      </c>
      <c r="C175" s="2" t="inlineStr">
        <is>
          <t>No website found</t>
        </is>
      </c>
      <c r="D175" s="2" t="inlineStr">
        <is>
          <t>Snug Cafe</t>
        </is>
      </c>
      <c r="E175" s="2" t="inlineStr">
        <is>
          <t>cafe</t>
        </is>
      </c>
      <c r="F175" s="2" t="inlineStr">
        <is>
          <t>Brisbane</t>
        </is>
      </c>
      <c r="G175" s="2" t="inlineStr">
        <is>
          <t>Instagram</t>
        </is>
      </c>
      <c r="H175" s="4" t="inlineStr">
        <is>
          <t>https://www.instagram.com/snug.bne</t>
        </is>
      </c>
      <c r="I175" s="2" t="inlineStr"/>
      <c r="J175" s="2" t="inlineStr"/>
      <c r="K175" s="2" t="inlineStr"/>
      <c r="L175" s="2" t="inlineStr">
        <is>
          <t>no website listed, only social media (verify on Google Maps)</t>
        </is>
      </c>
      <c r="M175" s="2" t="inlineStr">
        <is>
          <t>Hi Snug Cafe team! [one real detail from their page]. We're AceAds, a web design studio. We couldn't find a website for Snug Cafe, only your Instagram. We'd be happy to make you a free preview of what a website could look like. Want one? No cost, no obligation.</t>
        </is>
      </c>
      <c r="N175" s="4" t="inlineStr">
        <is>
          <t>Open map</t>
        </is>
      </c>
      <c r="O175" s="2" t="inlineStr">
        <is>
          <t>Not contacted</t>
        </is>
      </c>
      <c r="P175" s="2" t="inlineStr"/>
      <c r="Q175" s="2" t="inlineStr"/>
      <c r="R175" s="2" t="inlineStr"/>
      <c r="S175" s="2" t="inlineStr"/>
    </row>
    <row r="176">
      <c r="A176" s="2" t="n">
        <v>175</v>
      </c>
      <c r="B176" s="5" t="inlineStr">
        <is>
          <t>VERIFY FIRST</t>
        </is>
      </c>
      <c r="C176" s="2" t="inlineStr">
        <is>
          <t>No website found</t>
        </is>
      </c>
      <c r="D176" s="2" t="inlineStr">
        <is>
          <t>Studio Solo and Co</t>
        </is>
      </c>
      <c r="E176" s="2" t="inlineStr">
        <is>
          <t>cafe</t>
        </is>
      </c>
      <c r="F176" s="2" t="inlineStr">
        <is>
          <t>Brisbane</t>
        </is>
      </c>
      <c r="G176" s="2" t="inlineStr">
        <is>
          <t>Facebook</t>
        </is>
      </c>
      <c r="H176" s="2" t="inlineStr"/>
      <c r="I176" s="4" t="inlineStr">
        <is>
          <t>https://www.facebook.com/p/Studio-Solo-Co-100063505363434/</t>
        </is>
      </c>
      <c r="J176" s="2" t="inlineStr"/>
      <c r="K176" s="2" t="inlineStr"/>
      <c r="L176" s="2" t="inlineStr">
        <is>
          <t>no website listed, only social media (verify on Google Maps)</t>
        </is>
      </c>
      <c r="M176" s="2" t="inlineStr">
        <is>
          <t>Hi Studio Solo and Co team! [one real detail from their page]. We're AceAds, a web design studio. We couldn't find a website for Studio Solo and Co, only your Facebook. We'd be happy to make you a free preview of what a website could look like. Want one? No cost, no obligation.</t>
        </is>
      </c>
      <c r="N176" s="4" t="inlineStr">
        <is>
          <t>Open map</t>
        </is>
      </c>
      <c r="O176" s="2" t="inlineStr">
        <is>
          <t>Not contacted</t>
        </is>
      </c>
      <c r="P176" s="2" t="inlineStr"/>
      <c r="Q176" s="2" t="inlineStr"/>
      <c r="R176" s="2" t="inlineStr"/>
      <c r="S176" s="2" t="inlineStr"/>
    </row>
    <row r="177">
      <c r="A177" s="2" t="n">
        <v>176</v>
      </c>
      <c r="B177" s="5" t="inlineStr">
        <is>
          <t>VERIFY FIRST</t>
        </is>
      </c>
      <c r="C177" s="2" t="inlineStr">
        <is>
          <t>No website found</t>
        </is>
      </c>
      <c r="D177" s="2" t="inlineStr">
        <is>
          <t>The Baristorian</t>
        </is>
      </c>
      <c r="E177" s="2" t="inlineStr">
        <is>
          <t>cafe</t>
        </is>
      </c>
      <c r="F177" s="2" t="inlineStr">
        <is>
          <t>Brisbane</t>
        </is>
      </c>
      <c r="G177" s="2" t="inlineStr">
        <is>
          <t>Facebook</t>
        </is>
      </c>
      <c r="H177" s="2" t="inlineStr"/>
      <c r="I177" s="4" t="inlineStr">
        <is>
          <t>https://www.facebook.com/TheBaristorian/</t>
        </is>
      </c>
      <c r="J177" s="2" t="inlineStr"/>
      <c r="K177" s="2" t="inlineStr"/>
      <c r="L177" s="2" t="inlineStr">
        <is>
          <t>no website listed, only social media (verify on Google Maps)</t>
        </is>
      </c>
      <c r="M177" s="2" t="inlineStr">
        <is>
          <t>Hi The Baristorian team! [one real detail from their page]. We're AceAds, a web design studio. We couldn't find a website for The Baristorian, only your Facebook. We'd be happy to make you a free preview of what a website could look like. Want one? No cost, no obligation.</t>
        </is>
      </c>
      <c r="N177" s="4" t="inlineStr">
        <is>
          <t>Open map</t>
        </is>
      </c>
      <c r="O177" s="2" t="inlineStr">
        <is>
          <t>Not contacted</t>
        </is>
      </c>
      <c r="P177" s="2" t="inlineStr"/>
      <c r="Q177" s="2" t="inlineStr"/>
      <c r="R177" s="2" t="inlineStr"/>
      <c r="S177" s="2" t="inlineStr"/>
    </row>
    <row r="178">
      <c r="A178" s="2" t="n">
        <v>177</v>
      </c>
      <c r="B178" s="5" t="inlineStr">
        <is>
          <t>VERIFY FIRST</t>
        </is>
      </c>
      <c r="C178" s="2" t="inlineStr">
        <is>
          <t>No website found</t>
        </is>
      </c>
      <c r="D178" s="2" t="inlineStr">
        <is>
          <t>Upbeat</t>
        </is>
      </c>
      <c r="E178" s="2" t="inlineStr">
        <is>
          <t>cafe</t>
        </is>
      </c>
      <c r="F178" s="2" t="inlineStr">
        <is>
          <t>Brisbane</t>
        </is>
      </c>
      <c r="G178" s="2" t="inlineStr">
        <is>
          <t>Instagram</t>
        </is>
      </c>
      <c r="H178" s="4" t="inlineStr">
        <is>
          <t>https://www.instagram.com/upbeat.cafe_/</t>
        </is>
      </c>
      <c r="I178" s="4" t="inlineStr">
        <is>
          <t>https://www.facebook.com/people/Upbeat-Cafe/61578887307099/</t>
        </is>
      </c>
      <c r="J178" s="2" t="inlineStr"/>
      <c r="K178" s="2" t="inlineStr"/>
      <c r="L178" s="2" t="inlineStr">
        <is>
          <t>no website listed, only social media (verify on Google Maps)</t>
        </is>
      </c>
      <c r="M178" s="2" t="inlineStr">
        <is>
          <t>Hi Upbeat team! [one real detail from their page]. We're AceAds, a web design studio. We couldn't find a website for Upbeat, only your Instagram. We'd be happy to make you a free preview of what a website could look like. Want one? No cost, no obligation.</t>
        </is>
      </c>
      <c r="N178" s="4" t="inlineStr">
        <is>
          <t>Open map</t>
        </is>
      </c>
      <c r="O178" s="2" t="inlineStr">
        <is>
          <t>Not contacted</t>
        </is>
      </c>
      <c r="P178" s="2" t="inlineStr"/>
      <c r="Q178" s="2" t="inlineStr"/>
      <c r="R178" s="2" t="inlineStr"/>
      <c r="S178" s="2" t="inlineStr"/>
    </row>
    <row r="179">
      <c r="A179" s="2" t="n">
        <v>178</v>
      </c>
      <c r="B179" s="5" t="inlineStr">
        <is>
          <t>VERIFY FIRST</t>
        </is>
      </c>
      <c r="C179" s="2" t="inlineStr">
        <is>
          <t>No website found</t>
        </is>
      </c>
      <c r="D179" s="2" t="inlineStr">
        <is>
          <t>Vito's Cucina &amp; Bar Ascot</t>
        </is>
      </c>
      <c r="E179" s="2" t="inlineStr">
        <is>
          <t>cafe</t>
        </is>
      </c>
      <c r="F179" s="2" t="inlineStr">
        <is>
          <t>Brisbane</t>
        </is>
      </c>
      <c r="G179" s="2" t="inlineStr">
        <is>
          <t>Facebook</t>
        </is>
      </c>
      <c r="H179" s="2" t="inlineStr"/>
      <c r="I179" s="4" t="inlineStr">
        <is>
          <t>https://www.facebook.com/vitosascot/</t>
        </is>
      </c>
      <c r="J179" s="2" t="inlineStr"/>
      <c r="K179" s="2" t="inlineStr"/>
      <c r="L179" s="2" t="inlineStr">
        <is>
          <t>no website listed, only social media (verify on Google Maps)</t>
        </is>
      </c>
      <c r="M179" s="2" t="inlineStr">
        <is>
          <t>Hi Vito's Cucina &amp; Bar Ascot team! [one real detail from their page]. We're AceAds, a web design studio. We couldn't find a website for Vito's Cucina &amp; Bar Ascot, only your Facebook. We'd be happy to make you a free preview of what a website could look like. Want one? No cost, no obligation.</t>
        </is>
      </c>
      <c r="N179" s="4" t="inlineStr">
        <is>
          <t>Open map</t>
        </is>
      </c>
      <c r="O179" s="2" t="inlineStr">
        <is>
          <t>Not contacted</t>
        </is>
      </c>
      <c r="P179" s="2" t="inlineStr"/>
      <c r="Q179" s="2" t="inlineStr"/>
      <c r="R179" s="2" t="inlineStr"/>
      <c r="S179" s="2" t="inlineStr"/>
    </row>
    <row r="180">
      <c r="A180" s="2" t="n">
        <v>179</v>
      </c>
      <c r="B180" s="5" t="inlineStr">
        <is>
          <t>VERIFY FIRST</t>
        </is>
      </c>
      <c r="C180" s="2" t="inlineStr">
        <is>
          <t>No website found</t>
        </is>
      </c>
      <c r="D180" s="2" t="inlineStr">
        <is>
          <t>York St Espresso Bar</t>
        </is>
      </c>
      <c r="E180" s="2" t="inlineStr">
        <is>
          <t>cafe</t>
        </is>
      </c>
      <c r="F180" s="2" t="inlineStr">
        <is>
          <t>Brisbane</t>
        </is>
      </c>
      <c r="G180" s="2" t="inlineStr">
        <is>
          <t>Facebook</t>
        </is>
      </c>
      <c r="H180" s="2" t="inlineStr"/>
      <c r="I180" s="4" t="inlineStr">
        <is>
          <t>https://www.facebook.com/yorkstreetespressobar/</t>
        </is>
      </c>
      <c r="J180" s="2" t="inlineStr">
        <is>
          <t>+61 433 463 420</t>
        </is>
      </c>
      <c r="K180" s="2" t="inlineStr"/>
      <c r="L180" s="2" t="inlineStr">
        <is>
          <t>no website listed, only social media (verify on Google Maps)</t>
        </is>
      </c>
      <c r="M180" s="2" t="inlineStr">
        <is>
          <t>Hi York St Espresso Bar team! [one real detail from their page]. We're AceAds, a web design studio. We couldn't find a website for York St Espresso Bar, only your Facebook. We'd be happy to make you a free preview of what a website could look like. Want one? No cost, no obligation.</t>
        </is>
      </c>
      <c r="N180" s="4" t="inlineStr">
        <is>
          <t>Open map</t>
        </is>
      </c>
      <c r="O180" s="2" t="inlineStr">
        <is>
          <t>Not contacted</t>
        </is>
      </c>
      <c r="P180" s="2" t="inlineStr"/>
      <c r="Q180" s="2" t="inlineStr"/>
      <c r="R180" s="2" t="inlineStr"/>
      <c r="S180" s="2" t="inlineStr"/>
    </row>
    <row r="181">
      <c r="A181" s="2" t="n">
        <v>180</v>
      </c>
      <c r="B181" s="5" t="inlineStr">
        <is>
          <t>VERIFY FIRST</t>
        </is>
      </c>
      <c r="C181" s="2" t="inlineStr">
        <is>
          <t>No website found</t>
        </is>
      </c>
      <c r="D181" s="2" t="inlineStr">
        <is>
          <t>Zmirk Co.</t>
        </is>
      </c>
      <c r="E181" s="2" t="inlineStr">
        <is>
          <t>cafe</t>
        </is>
      </c>
      <c r="F181" s="2" t="inlineStr">
        <is>
          <t>Brisbane</t>
        </is>
      </c>
      <c r="G181" s="2" t="inlineStr">
        <is>
          <t>Instagram</t>
        </is>
      </c>
      <c r="H181" s="4" t="inlineStr">
        <is>
          <t>https://www.instagram.com/zmirk.bne</t>
        </is>
      </c>
      <c r="I181" s="2" t="inlineStr"/>
      <c r="J181" s="2" t="inlineStr"/>
      <c r="K181" s="2" t="inlineStr"/>
      <c r="L181" s="2" t="inlineStr">
        <is>
          <t>no website listed, only social media (verify on Google Maps)</t>
        </is>
      </c>
      <c r="M181" s="2" t="inlineStr">
        <is>
          <t>Hi Zmirk Co. team! [one real detail from their page]. We're AceAds, a web design studio. We couldn't find a website for Zmirk Co., only your Instagram. We'd be happy to make you a free preview of what a website could look like. Want one? No cost, no obligation.</t>
        </is>
      </c>
      <c r="N181" s="4" t="inlineStr">
        <is>
          <t>Open map</t>
        </is>
      </c>
      <c r="O181" s="2" t="inlineStr">
        <is>
          <t>Not contacted</t>
        </is>
      </c>
      <c r="P181" s="2" t="inlineStr"/>
      <c r="Q181" s="2" t="inlineStr"/>
      <c r="R181" s="2" t="inlineStr"/>
      <c r="S181" s="2" t="inlineStr"/>
    </row>
    <row r="182">
      <c r="A182" s="2" t="n">
        <v>181</v>
      </c>
      <c r="B182" s="5" t="inlineStr">
        <is>
          <t>VERIFY FIRST</t>
        </is>
      </c>
      <c r="C182" s="2" t="inlineStr">
        <is>
          <t>No website found</t>
        </is>
      </c>
      <c r="D182" s="2" t="inlineStr">
        <is>
          <t>Turnstyle Community Bike Shed</t>
        </is>
      </c>
      <c r="E182" s="2" t="inlineStr">
        <is>
          <t>car or bike shop</t>
        </is>
      </c>
      <c r="F182" s="2" t="inlineStr">
        <is>
          <t>Brisbane</t>
        </is>
      </c>
      <c r="G182" s="2" t="inlineStr">
        <is>
          <t>Facebook</t>
        </is>
      </c>
      <c r="H182" s="2" t="inlineStr"/>
      <c r="I182" s="4" t="inlineStr">
        <is>
          <t>https://www.facebook.com/TurnstyleBikeShed/</t>
        </is>
      </c>
      <c r="J182" s="2" t="inlineStr"/>
      <c r="K182" s="2" t="inlineStr"/>
      <c r="L182" s="2" t="inlineStr">
        <is>
          <t>no website listed, only social media (verify on Google Maps)</t>
        </is>
      </c>
      <c r="M182" s="2" t="inlineStr">
        <is>
          <t>Hi Turnstyle Community Bike Shed team! [one real detail from their page]. We're AceAds, a web design studio. We couldn't find a website for Turnstyle Community Bike Shed, only your Facebook. We'd be happy to make you a free preview of what a website could look like. Want one? No cost, no obligation.</t>
        </is>
      </c>
      <c r="N182" s="4" t="inlineStr">
        <is>
          <t>Open map</t>
        </is>
      </c>
      <c r="O182" s="2" t="inlineStr">
        <is>
          <t>Not contacted</t>
        </is>
      </c>
      <c r="P182" s="2" t="inlineStr"/>
      <c r="Q182" s="2" t="inlineStr"/>
      <c r="R182" s="2" t="inlineStr"/>
      <c r="S182" s="2" t="inlineStr"/>
    </row>
    <row r="183">
      <c r="A183" s="2" t="n">
        <v>182</v>
      </c>
      <c r="B183" s="5" t="inlineStr">
        <is>
          <t>VERIFY FIRST</t>
        </is>
      </c>
      <c r="C183" s="2" t="inlineStr">
        <is>
          <t>No website found</t>
        </is>
      </c>
      <c r="D183" s="2" t="inlineStr">
        <is>
          <t>Meadowbrook Early Learning Centre</t>
        </is>
      </c>
      <c r="E183" s="2" t="inlineStr">
        <is>
          <t>childcare</t>
        </is>
      </c>
      <c r="F183" s="2" t="inlineStr">
        <is>
          <t>Brisbane</t>
        </is>
      </c>
      <c r="G183" s="2" t="inlineStr">
        <is>
          <t>Facebook</t>
        </is>
      </c>
      <c r="H183" s="2" t="inlineStr"/>
      <c r="I183" s="4" t="inlineStr">
        <is>
          <t>https://www.facebook.com/meadowbrookelc/</t>
        </is>
      </c>
      <c r="J183" s="2" t="inlineStr"/>
      <c r="K183" s="2" t="inlineStr"/>
      <c r="L183" s="2" t="inlineStr">
        <is>
          <t>no website listed, only social media (verify on Google Maps)</t>
        </is>
      </c>
      <c r="M183" s="2" t="inlineStr">
        <is>
          <t>Hi Meadowbrook Early Learning Centre team! [one real detail from their page]. We're AceAds, a web design studio. We couldn't find a website for Meadowbrook Early Learning Centre, only your Facebook. We'd be happy to make you a free preview of what a website could look like. Want one? No cost, no obligation.</t>
        </is>
      </c>
      <c r="N183" s="4" t="inlineStr">
        <is>
          <t>Open map</t>
        </is>
      </c>
      <c r="O183" s="2" t="inlineStr">
        <is>
          <t>Not contacted</t>
        </is>
      </c>
      <c r="P183" s="2" t="inlineStr"/>
      <c r="Q183" s="2" t="inlineStr"/>
      <c r="R183" s="2" t="inlineStr"/>
      <c r="S183" s="2" t="inlineStr"/>
    </row>
    <row r="184">
      <c r="A184" s="2" t="n">
        <v>183</v>
      </c>
      <c r="B184" s="5" t="inlineStr">
        <is>
          <t>VERIFY FIRST</t>
        </is>
      </c>
      <c r="C184" s="2" t="inlineStr">
        <is>
          <t>No website found</t>
        </is>
      </c>
      <c r="D184" s="2" t="inlineStr">
        <is>
          <t>Banyo Meat Service</t>
        </is>
      </c>
      <c r="E184" s="2" t="inlineStr">
        <is>
          <t>deli or specialty food</t>
        </is>
      </c>
      <c r="F184" s="2" t="inlineStr">
        <is>
          <t>Brisbane</t>
        </is>
      </c>
      <c r="G184" s="2" t="inlineStr">
        <is>
          <t>Facebook</t>
        </is>
      </c>
      <c r="H184" s="2" t="inlineStr"/>
      <c r="I184" s="4" t="inlineStr">
        <is>
          <t>https://www.facebook.com/Banyo-meat-service-328382267317004/</t>
        </is>
      </c>
      <c r="J184" s="2" t="inlineStr"/>
      <c r="K184" s="2" t="inlineStr"/>
      <c r="L184" s="2" t="inlineStr">
        <is>
          <t>no website listed, only social media (verify on Google Maps)</t>
        </is>
      </c>
      <c r="M184" s="2" t="inlineStr">
        <is>
          <t>Hi Banyo Meat Service team! [one real detail from their page]. We're AceAds, a web design studio. We couldn't find a website for Banyo Meat Service, only your Facebook. We'd be happy to make you a free preview of what a website could look like. Want one? No cost, no obligation.</t>
        </is>
      </c>
      <c r="N184" s="4" t="inlineStr">
        <is>
          <t>Open map</t>
        </is>
      </c>
      <c r="O184" s="2" t="inlineStr">
        <is>
          <t>Not contacted</t>
        </is>
      </c>
      <c r="P184" s="2" t="inlineStr"/>
      <c r="Q184" s="2" t="inlineStr"/>
      <c r="R184" s="2" t="inlineStr"/>
      <c r="S184" s="2" t="inlineStr"/>
    </row>
    <row r="185">
      <c r="A185" s="2" t="n">
        <v>184</v>
      </c>
      <c r="B185" s="5" t="inlineStr">
        <is>
          <t>VERIFY FIRST</t>
        </is>
      </c>
      <c r="C185" s="2" t="inlineStr">
        <is>
          <t>No website found</t>
        </is>
      </c>
      <c r="D185" s="2" t="inlineStr">
        <is>
          <t>Bellas Fruit Market</t>
        </is>
      </c>
      <c r="E185" s="2" t="inlineStr">
        <is>
          <t>deli or specialty food</t>
        </is>
      </c>
      <c r="F185" s="2" t="inlineStr">
        <is>
          <t>Brisbane</t>
        </is>
      </c>
      <c r="G185" s="2" t="inlineStr">
        <is>
          <t>Facebook</t>
        </is>
      </c>
      <c r="H185" s="2" t="inlineStr"/>
      <c r="I185" s="4" t="inlineStr">
        <is>
          <t>https://facebook.com/pages/Bellas-Fruit-Market/316006148423409</t>
        </is>
      </c>
      <c r="J185" s="2" t="inlineStr">
        <is>
          <t>+61 7 3341 1095</t>
        </is>
      </c>
      <c r="K185" s="2" t="inlineStr"/>
      <c r="L185" s="2" t="inlineStr">
        <is>
          <t>no website listed, only social media (verify on Google Maps)</t>
        </is>
      </c>
      <c r="M185" s="2" t="inlineStr">
        <is>
          <t>Hi Bellas Fruit Market team! [one real detail from their page]. We're AceAds, a web design studio. We couldn't find a website for Bellas Fruit Market, only your Facebook. We'd be happy to make you a free preview of what a website could look like. Want one? No cost, no obligation.</t>
        </is>
      </c>
      <c r="N185" s="4" t="inlineStr">
        <is>
          <t>Open map</t>
        </is>
      </c>
      <c r="O185" s="2" t="inlineStr">
        <is>
          <t>Not contacted</t>
        </is>
      </c>
      <c r="P185" s="2" t="inlineStr"/>
      <c r="Q185" s="2" t="inlineStr"/>
      <c r="R185" s="2" t="inlineStr"/>
      <c r="S185" s="2" t="inlineStr"/>
    </row>
    <row r="186">
      <c r="A186" s="2" t="n">
        <v>185</v>
      </c>
      <c r="B186" s="5" t="inlineStr">
        <is>
          <t>VERIFY FIRST</t>
        </is>
      </c>
      <c r="C186" s="2" t="inlineStr">
        <is>
          <t>No website found</t>
        </is>
      </c>
      <c r="D186" s="2" t="inlineStr">
        <is>
          <t>Microlot Coffee House</t>
        </is>
      </c>
      <c r="E186" s="2" t="inlineStr">
        <is>
          <t>deli or specialty food</t>
        </is>
      </c>
      <c r="F186" s="2" t="inlineStr">
        <is>
          <t>Brisbane</t>
        </is>
      </c>
      <c r="G186" s="2" t="inlineStr">
        <is>
          <t>Facebook</t>
        </is>
      </c>
      <c r="H186" s="2" t="inlineStr"/>
      <c r="I186" s="4" t="inlineStr">
        <is>
          <t>https://www.facebook.com/pages/Microlot-Coffee-House/532108803616296</t>
        </is>
      </c>
      <c r="J186" s="2" t="inlineStr"/>
      <c r="K186" s="2" t="inlineStr"/>
      <c r="L186" s="2" t="inlineStr">
        <is>
          <t>no website listed, only social media (verify on Google Maps)</t>
        </is>
      </c>
      <c r="M186" s="2" t="inlineStr">
        <is>
          <t>Hi Microlot Coffee House team! [one real detail from their page]. We're AceAds, a web design studio. We couldn't find a website for Microlot Coffee House, only your Facebook. We'd be happy to make you a free preview of what a website could look like. Want one? No cost, no obligation.</t>
        </is>
      </c>
      <c r="N186" s="4" t="inlineStr">
        <is>
          <t>Open map</t>
        </is>
      </c>
      <c r="O186" s="2" t="inlineStr">
        <is>
          <t>Not contacted</t>
        </is>
      </c>
      <c r="P186" s="2" t="inlineStr"/>
      <c r="Q186" s="2" t="inlineStr"/>
      <c r="R186" s="2" t="inlineStr"/>
      <c r="S186" s="2" t="inlineStr"/>
    </row>
    <row r="187">
      <c r="A187" s="2" t="n">
        <v>186</v>
      </c>
      <c r="B187" s="5" t="inlineStr">
        <is>
          <t>VERIFY FIRST</t>
        </is>
      </c>
      <c r="C187" s="2" t="inlineStr">
        <is>
          <t>No website found</t>
        </is>
      </c>
      <c r="D187" s="2" t="inlineStr">
        <is>
          <t>Nundah Fruit Market</t>
        </is>
      </c>
      <c r="E187" s="2" t="inlineStr">
        <is>
          <t>deli or specialty food</t>
        </is>
      </c>
      <c r="F187" s="2" t="inlineStr">
        <is>
          <t>Brisbane</t>
        </is>
      </c>
      <c r="G187" s="2" t="inlineStr">
        <is>
          <t>Facebook</t>
        </is>
      </c>
      <c r="H187" s="2" t="inlineStr"/>
      <c r="I187" s="4" t="inlineStr">
        <is>
          <t>https://www.facebook.com/p/Nundah-Fruit-Market-61564367108912/</t>
        </is>
      </c>
      <c r="J187" s="2" t="inlineStr"/>
      <c r="K187" s="2" t="inlineStr"/>
      <c r="L187" s="2" t="inlineStr">
        <is>
          <t>no website listed, only social media (verify on Google Maps)</t>
        </is>
      </c>
      <c r="M187" s="2" t="inlineStr">
        <is>
          <t>Hi Nundah Fruit Market team! [one real detail from their page]. We're AceAds, a web design studio. We couldn't find a website for Nundah Fruit Market, only your Facebook. We'd be happy to make you a free preview of what a website could look like. Want one? No cost, no obligation.</t>
        </is>
      </c>
      <c r="N187" s="4" t="inlineStr">
        <is>
          <t>Open map</t>
        </is>
      </c>
      <c r="O187" s="2" t="inlineStr">
        <is>
          <t>Not contacted</t>
        </is>
      </c>
      <c r="P187" s="2" t="inlineStr"/>
      <c r="Q187" s="2" t="inlineStr"/>
      <c r="R187" s="2" t="inlineStr"/>
      <c r="S187" s="2" t="inlineStr"/>
    </row>
    <row r="188">
      <c r="A188" s="2" t="n">
        <v>187</v>
      </c>
      <c r="B188" s="5" t="inlineStr">
        <is>
          <t>VERIFY FIRST</t>
        </is>
      </c>
      <c r="C188" s="2" t="inlineStr">
        <is>
          <t>No website found</t>
        </is>
      </c>
      <c r="D188" s="2" t="inlineStr">
        <is>
          <t>Wavell Heights Gourmet Meats</t>
        </is>
      </c>
      <c r="E188" s="2" t="inlineStr">
        <is>
          <t>deli or specialty food</t>
        </is>
      </c>
      <c r="F188" s="2" t="inlineStr">
        <is>
          <t>Brisbane</t>
        </is>
      </c>
      <c r="G188" s="2" t="inlineStr">
        <is>
          <t>Facebook</t>
        </is>
      </c>
      <c r="H188" s="2" t="inlineStr"/>
      <c r="I188" s="4" t="inlineStr">
        <is>
          <t>https://www.facebook.com/wavellgourmetmeats</t>
        </is>
      </c>
      <c r="J188" s="2" t="inlineStr"/>
      <c r="K188" s="2" t="inlineStr"/>
      <c r="L188" s="2" t="inlineStr">
        <is>
          <t>no website listed, only social media (verify on Google Maps)</t>
        </is>
      </c>
      <c r="M188" s="2" t="inlineStr">
        <is>
          <t>Hi Wavell Heights Gourmet Meats team! [one real detail from their page]. We're AceAds, a web design studio. We couldn't find a website for Wavell Heights Gourmet Meats, only your Facebook. We'd be happy to make you a free preview of what a website could look like. Want one? No cost, no obligation.</t>
        </is>
      </c>
      <c r="N188" s="4" t="inlineStr">
        <is>
          <t>Open map</t>
        </is>
      </c>
      <c r="O188" s="2" t="inlineStr">
        <is>
          <t>Not contacted</t>
        </is>
      </c>
      <c r="P188" s="2" t="inlineStr"/>
      <c r="Q188" s="2" t="inlineStr"/>
      <c r="R188" s="2" t="inlineStr"/>
      <c r="S188" s="2" t="inlineStr"/>
    </row>
    <row r="189">
      <c r="A189" s="2" t="n">
        <v>188</v>
      </c>
      <c r="B189" s="5" t="inlineStr">
        <is>
          <t>VERIFY FIRST</t>
        </is>
      </c>
      <c r="C189" s="2" t="inlineStr">
        <is>
          <t>No website found</t>
        </is>
      </c>
      <c r="D189" s="2" t="inlineStr">
        <is>
          <t>Flowers by Louise</t>
        </is>
      </c>
      <c r="E189" s="2" t="inlineStr">
        <is>
          <t>florist</t>
        </is>
      </c>
      <c r="F189" s="2" t="inlineStr">
        <is>
          <t>Brisbane</t>
        </is>
      </c>
      <c r="G189" s="2" t="inlineStr">
        <is>
          <t>Facebook</t>
        </is>
      </c>
      <c r="H189" s="2" t="inlineStr"/>
      <c r="I189" s="4" t="inlineStr">
        <is>
          <t>https://www.facebook.com/Flowers-by-Louise-Inspired-by-you-113504464161306/</t>
        </is>
      </c>
      <c r="J189" s="2" t="inlineStr">
        <is>
          <t>+61 485 093 748</t>
        </is>
      </c>
      <c r="K189" s="2" t="inlineStr"/>
      <c r="L189" s="2" t="inlineStr">
        <is>
          <t>no website listed, only social media (verify on Google Maps)</t>
        </is>
      </c>
      <c r="M189" s="2" t="inlineStr">
        <is>
          <t>Hi Flowers by Louise team! [one real detail from their page]. We're AceAds, a web design studio. We couldn't find a website for Flowers by Louise, only your Facebook. We'd be happy to make you a free preview of what a website could look like. Want one? No cost, no obligation.</t>
        </is>
      </c>
      <c r="N189" s="4" t="inlineStr">
        <is>
          <t>Open map</t>
        </is>
      </c>
      <c r="O189" s="2" t="inlineStr">
        <is>
          <t>Not contacted</t>
        </is>
      </c>
      <c r="P189" s="2" t="inlineStr"/>
      <c r="Q189" s="2" t="inlineStr"/>
      <c r="R189" s="2" t="inlineStr"/>
      <c r="S189" s="2" t="inlineStr"/>
    </row>
    <row r="190">
      <c r="A190" s="2" t="n">
        <v>189</v>
      </c>
      <c r="B190" s="5" t="inlineStr">
        <is>
          <t>VERIFY FIRST</t>
        </is>
      </c>
      <c r="C190" s="2" t="inlineStr">
        <is>
          <t>No website found</t>
        </is>
      </c>
      <c r="D190" s="2" t="inlineStr">
        <is>
          <t>Wedding N Florist</t>
        </is>
      </c>
      <c r="E190" s="2" t="inlineStr">
        <is>
          <t>florist</t>
        </is>
      </c>
      <c r="F190" s="2" t="inlineStr">
        <is>
          <t>Brisbane</t>
        </is>
      </c>
      <c r="G190" s="2" t="inlineStr">
        <is>
          <t>Facebook</t>
        </is>
      </c>
      <c r="H190" s="2" t="inlineStr"/>
      <c r="I190" s="4" t="inlineStr">
        <is>
          <t>https://www.facebook.com/profile.php?id=100066631573794</t>
        </is>
      </c>
      <c r="J190" s="2" t="inlineStr">
        <is>
          <t>+61 7 3206 4254</t>
        </is>
      </c>
      <c r="K190" s="2" t="inlineStr"/>
      <c r="L190" s="2" t="inlineStr">
        <is>
          <t>no website listed, only social media (verify on Google Maps)</t>
        </is>
      </c>
      <c r="M190" s="2" t="inlineStr">
        <is>
          <t>Hi Wedding N Florist team! [one real detail from their page]. We're AceAds, a web design studio. We couldn't find a website for Wedding N Florist, only your Facebook. We'd be happy to make you a free preview of what a website could look like. Want one? No cost, no obligation.</t>
        </is>
      </c>
      <c r="N190" s="4" t="inlineStr">
        <is>
          <t>Open map</t>
        </is>
      </c>
      <c r="O190" s="2" t="inlineStr">
        <is>
          <t>Not contacted</t>
        </is>
      </c>
      <c r="P190" s="2" t="inlineStr"/>
      <c r="Q190" s="2" t="inlineStr"/>
      <c r="R190" s="2" t="inlineStr"/>
      <c r="S190" s="2" t="inlineStr"/>
    </row>
    <row r="191">
      <c r="A191" s="2" t="n">
        <v>190</v>
      </c>
      <c r="B191" s="5" t="inlineStr">
        <is>
          <t>VERIFY FIRST</t>
        </is>
      </c>
      <c r="C191" s="2" t="inlineStr">
        <is>
          <t>No website found</t>
        </is>
      </c>
      <c r="D191" s="2" t="inlineStr">
        <is>
          <t>Delight for Gifts</t>
        </is>
      </c>
      <c r="E191" s="2" t="inlineStr">
        <is>
          <t>gift or homewares</t>
        </is>
      </c>
      <c r="F191" s="2" t="inlineStr">
        <is>
          <t>Brisbane</t>
        </is>
      </c>
      <c r="G191" s="2" t="inlineStr">
        <is>
          <t>Facebook</t>
        </is>
      </c>
      <c r="H191" s="2" t="inlineStr"/>
      <c r="I191" s="4" t="inlineStr">
        <is>
          <t>https://www.facebook.com/people/Delight-For-Gifts/100065206801946/</t>
        </is>
      </c>
      <c r="J191" s="2" t="inlineStr"/>
      <c r="K191" s="2" t="inlineStr"/>
      <c r="L191" s="2" t="inlineStr">
        <is>
          <t>no website listed, only social media (verify on Google Maps)</t>
        </is>
      </c>
      <c r="M191" s="2" t="inlineStr">
        <is>
          <t>Hi Delight for Gifts team! [one real detail from their page]. We're AceAds, a web design studio. We couldn't find a website for Delight for Gifts, only your Facebook. We'd be happy to make you a free preview of what a website could look like. Want one? No cost, no obligation.</t>
        </is>
      </c>
      <c r="N191" s="4" t="inlineStr">
        <is>
          <t>Open map</t>
        </is>
      </c>
      <c r="O191" s="2" t="inlineStr">
        <is>
          <t>Not contacted</t>
        </is>
      </c>
      <c r="P191" s="2" t="inlineStr"/>
      <c r="Q191" s="2" t="inlineStr"/>
      <c r="R191" s="2" t="inlineStr"/>
      <c r="S191" s="2" t="inlineStr"/>
    </row>
    <row r="192">
      <c r="A192" s="2" t="n">
        <v>191</v>
      </c>
      <c r="B192" s="5" t="inlineStr">
        <is>
          <t>VERIFY FIRST</t>
        </is>
      </c>
      <c r="C192" s="2" t="inlineStr">
        <is>
          <t>No website found</t>
        </is>
      </c>
      <c r="D192" s="2" t="inlineStr">
        <is>
          <t>Our Sun Room</t>
        </is>
      </c>
      <c r="E192" s="2" t="inlineStr">
        <is>
          <t>gift or homewares</t>
        </is>
      </c>
      <c r="F192" s="2" t="inlineStr">
        <is>
          <t>Brisbane</t>
        </is>
      </c>
      <c r="G192" s="2" t="inlineStr">
        <is>
          <t>Facebook</t>
        </is>
      </c>
      <c r="H192" s="2" t="inlineStr"/>
      <c r="I192" s="4" t="inlineStr">
        <is>
          <t>https://www.facebook.com/oursunroom/</t>
        </is>
      </c>
      <c r="J192" s="2" t="inlineStr"/>
      <c r="K192" s="2" t="inlineStr"/>
      <c r="L192" s="2" t="inlineStr">
        <is>
          <t>no website listed, only social media (verify on Google Maps)</t>
        </is>
      </c>
      <c r="M192" s="2" t="inlineStr">
        <is>
          <t>Hi Our Sun Room team! [one real detail from their page]. We're AceAds, a web design studio. We couldn't find a website for Our Sun Room, only your Facebook. We'd be happy to make you a free preview of what a website could look like. Want one? No cost, no obligation.</t>
        </is>
      </c>
      <c r="N192" s="4" t="inlineStr">
        <is>
          <t>Open map</t>
        </is>
      </c>
      <c r="O192" s="2" t="inlineStr">
        <is>
          <t>Not contacted</t>
        </is>
      </c>
      <c r="P192" s="2" t="inlineStr"/>
      <c r="Q192" s="2" t="inlineStr"/>
      <c r="R192" s="2" t="inlineStr"/>
      <c r="S192" s="2" t="inlineStr"/>
    </row>
    <row r="193">
      <c r="A193" s="2" t="n">
        <v>192</v>
      </c>
      <c r="B193" s="5" t="inlineStr">
        <is>
          <t>VERIFY FIRST</t>
        </is>
      </c>
      <c r="C193" s="2" t="inlineStr">
        <is>
          <t>No website found</t>
        </is>
      </c>
      <c r="D193" s="2" t="inlineStr">
        <is>
          <t>VIS</t>
        </is>
      </c>
      <c r="E193" s="2" t="inlineStr">
        <is>
          <t>gift or homewares</t>
        </is>
      </c>
      <c r="F193" s="2" t="inlineStr">
        <is>
          <t>Brisbane</t>
        </is>
      </c>
      <c r="G193" s="2" t="inlineStr">
        <is>
          <t>Instagram</t>
        </is>
      </c>
      <c r="H193" s="4" t="inlineStr">
        <is>
          <t>https://www.instagram.com/visgiftshop/?hl=en</t>
        </is>
      </c>
      <c r="I193" s="2" t="inlineStr"/>
      <c r="J193" s="2" t="inlineStr"/>
      <c r="K193" s="2" t="inlineStr"/>
      <c r="L193" s="2" t="inlineStr">
        <is>
          <t>no website listed, only social media (verify on Google Maps)</t>
        </is>
      </c>
      <c r="M193" s="2" t="inlineStr">
        <is>
          <t>Hi VIS team! [one real detail from their page]. We're AceAds, a web design studio. We couldn't find a website for VIS, only your Instagram. We'd be happy to make you a free preview of what a website could look like. Want one? No cost, no obligation.</t>
        </is>
      </c>
      <c r="N193" s="4" t="inlineStr">
        <is>
          <t>Open map</t>
        </is>
      </c>
      <c r="O193" s="2" t="inlineStr">
        <is>
          <t>Not contacted</t>
        </is>
      </c>
      <c r="P193" s="2" t="inlineStr"/>
      <c r="Q193" s="2" t="inlineStr"/>
      <c r="R193" s="2" t="inlineStr"/>
      <c r="S193" s="2" t="inlineStr"/>
    </row>
    <row r="194">
      <c r="A194" s="2" t="n">
        <v>193</v>
      </c>
      <c r="B194" s="5" t="inlineStr">
        <is>
          <t>VERIFY FIRST</t>
        </is>
      </c>
      <c r="C194" s="2" t="inlineStr">
        <is>
          <t>No website found</t>
        </is>
      </c>
      <c r="D194" s="2" t="inlineStr">
        <is>
          <t>Massage Health Centre</t>
        </is>
      </c>
      <c r="E194" s="2" t="inlineStr">
        <is>
          <t>massage or spa</t>
        </is>
      </c>
      <c r="F194" s="2" t="inlineStr">
        <is>
          <t>Brisbane</t>
        </is>
      </c>
      <c r="G194" s="2" t="inlineStr">
        <is>
          <t>Facebook</t>
        </is>
      </c>
      <c r="H194" s="2" t="inlineStr"/>
      <c r="I194" s="4" t="inlineStr">
        <is>
          <t>https://www.facebook.com/MassagehealthcentreHamilton/?_rdr</t>
        </is>
      </c>
      <c r="J194" s="2" t="inlineStr">
        <is>
          <t>+61 7 3122 1767</t>
        </is>
      </c>
      <c r="K194" s="2" t="inlineStr"/>
      <c r="L194" s="2" t="inlineStr">
        <is>
          <t>no website listed, only social media (verify on Google Maps)</t>
        </is>
      </c>
      <c r="M194" s="2" t="inlineStr">
        <is>
          <t>Hi Massage Health Centre team! [one real detail from their page]. We're AceAds, a web design studio. We couldn't find a website for Massage Health Centre, only your Facebook. We'd be happy to make you a free preview of what a website could look like. Want one? No cost, no obligation.</t>
        </is>
      </c>
      <c r="N194" s="4" t="inlineStr">
        <is>
          <t>Open map</t>
        </is>
      </c>
      <c r="O194" s="2" t="inlineStr">
        <is>
          <t>Not contacted</t>
        </is>
      </c>
      <c r="P194" s="2" t="inlineStr"/>
      <c r="Q194" s="2" t="inlineStr"/>
      <c r="R194" s="2" t="inlineStr"/>
      <c r="S194" s="2" t="inlineStr"/>
    </row>
    <row r="195">
      <c r="A195" s="2" t="n">
        <v>194</v>
      </c>
      <c r="B195" s="5" t="inlineStr">
        <is>
          <t>VERIFY FIRST</t>
        </is>
      </c>
      <c r="C195" s="2" t="inlineStr">
        <is>
          <t>No website found</t>
        </is>
      </c>
      <c r="D195" s="2" t="inlineStr">
        <is>
          <t>Soul Thai Massage</t>
        </is>
      </c>
      <c r="E195" s="2" t="inlineStr">
        <is>
          <t>massage or spa</t>
        </is>
      </c>
      <c r="F195" s="2" t="inlineStr">
        <is>
          <t>Brisbane</t>
        </is>
      </c>
      <c r="G195" s="2" t="inlineStr">
        <is>
          <t>Facebook</t>
        </is>
      </c>
      <c r="H195" s="2" t="inlineStr"/>
      <c r="I195" s="4" t="inlineStr">
        <is>
          <t>https://www.facebook.com/profile.php?id=100086356354712</t>
        </is>
      </c>
      <c r="J195" s="2" t="inlineStr"/>
      <c r="K195" s="2" t="inlineStr"/>
      <c r="L195" s="2" t="inlineStr">
        <is>
          <t>no website listed, only social media (verify on Google Maps)</t>
        </is>
      </c>
      <c r="M195" s="2" t="inlineStr">
        <is>
          <t>Hi Soul Thai Massage team! [one real detail from their page]. We're AceAds, a web design studio. We couldn't find a website for Soul Thai Massage, only your Facebook. We'd be happy to make you a free preview of what a website could look like. Want one? No cost, no obligation.</t>
        </is>
      </c>
      <c r="N195" s="4" t="inlineStr">
        <is>
          <t>Open map</t>
        </is>
      </c>
      <c r="O195" s="2" t="inlineStr">
        <is>
          <t>Not contacted</t>
        </is>
      </c>
      <c r="P195" s="2" t="inlineStr"/>
      <c r="Q195" s="2" t="inlineStr"/>
      <c r="R195" s="2" t="inlineStr"/>
      <c r="S195" s="2" t="inlineStr"/>
    </row>
    <row r="196">
      <c r="A196" s="2" t="n">
        <v>195</v>
      </c>
      <c r="B196" s="5" t="inlineStr">
        <is>
          <t>VERIFY FIRST</t>
        </is>
      </c>
      <c r="C196" s="2" t="inlineStr">
        <is>
          <t>No website found</t>
        </is>
      </c>
      <c r="D196" s="2" t="inlineStr">
        <is>
          <t>T Massage</t>
        </is>
      </c>
      <c r="E196" s="2" t="inlineStr">
        <is>
          <t>massage or spa</t>
        </is>
      </c>
      <c r="F196" s="2" t="inlineStr">
        <is>
          <t>Brisbane</t>
        </is>
      </c>
      <c r="G196" s="2" t="inlineStr">
        <is>
          <t>Facebook</t>
        </is>
      </c>
      <c r="H196" s="2" t="inlineStr"/>
      <c r="I196" s="4" t="inlineStr">
        <is>
          <t>https://www.facebook.com/T-Massage-100679675602823/</t>
        </is>
      </c>
      <c r="J196" s="2" t="inlineStr"/>
      <c r="K196" s="2" t="inlineStr"/>
      <c r="L196" s="2" t="inlineStr">
        <is>
          <t>no website listed, only social media (verify on Google Maps)</t>
        </is>
      </c>
      <c r="M196" s="2" t="inlineStr">
        <is>
          <t>Hi T Massage team! [one real detail from their page]. We're AceAds, a web design studio. We couldn't find a website for T Massage, only your Facebook. We'd be happy to make you a free preview of what a website could look like. Want one? No cost, no obligation.</t>
        </is>
      </c>
      <c r="N196" s="4" t="inlineStr">
        <is>
          <t>Open map</t>
        </is>
      </c>
      <c r="O196" s="2" t="inlineStr">
        <is>
          <t>Not contacted</t>
        </is>
      </c>
      <c r="P196" s="2" t="inlineStr"/>
      <c r="Q196" s="2" t="inlineStr"/>
      <c r="R196" s="2" t="inlineStr"/>
      <c r="S196" s="2" t="inlineStr"/>
    </row>
    <row r="197">
      <c r="A197" s="2" t="n">
        <v>196</v>
      </c>
      <c r="B197" s="5" t="inlineStr">
        <is>
          <t>VERIFY FIRST</t>
        </is>
      </c>
      <c r="C197" s="2" t="inlineStr">
        <is>
          <t>No website found</t>
        </is>
      </c>
      <c r="D197" s="2" t="inlineStr">
        <is>
          <t>KJ Safety Certificates/Roadworthy Certificates</t>
        </is>
      </c>
      <c r="E197" s="2" t="inlineStr">
        <is>
          <t>mechanic</t>
        </is>
      </c>
      <c r="F197" s="2" t="inlineStr">
        <is>
          <t>Brisbane</t>
        </is>
      </c>
      <c r="G197" s="2" t="inlineStr">
        <is>
          <t>Facebook</t>
        </is>
      </c>
      <c r="H197" s="2" t="inlineStr"/>
      <c r="I197" s="4" t="inlineStr">
        <is>
          <t>https://facebook.com/kjsafetycertificates/</t>
        </is>
      </c>
      <c r="J197" s="2" t="inlineStr">
        <is>
          <t>+61 490 801 133</t>
        </is>
      </c>
      <c r="K197" s="2" t="inlineStr"/>
      <c r="L197" s="2" t="inlineStr">
        <is>
          <t>no website listed, only social media (verify on Google Maps)</t>
        </is>
      </c>
      <c r="M197" s="2" t="inlineStr">
        <is>
          <t>Hi KJ Safety Certificates/Roadworthy Certificates team! [one real detail from their page]. We're AceAds, a web design studio. We couldn't find a website for KJ Safety Certificates/Roadworthy Certificates, only your Facebook. We'd be happy to make you a free preview of what a website could look like. Want one? No cost, no obligation.</t>
        </is>
      </c>
      <c r="N197" s="4" t="inlineStr">
        <is>
          <t>Open map</t>
        </is>
      </c>
      <c r="O197" s="2" t="inlineStr">
        <is>
          <t>Not contacted</t>
        </is>
      </c>
      <c r="P197" s="2" t="inlineStr"/>
      <c r="Q197" s="2" t="inlineStr"/>
      <c r="R197" s="2" t="inlineStr"/>
      <c r="S197" s="2" t="inlineStr"/>
    </row>
    <row r="198">
      <c r="A198" s="2" t="n">
        <v>197</v>
      </c>
      <c r="B198" s="5" t="inlineStr">
        <is>
          <t>VERIFY FIRST</t>
        </is>
      </c>
      <c r="C198" s="2" t="inlineStr">
        <is>
          <t>No website found</t>
        </is>
      </c>
      <c r="D198" s="2" t="inlineStr">
        <is>
          <t>Monster Tyres</t>
        </is>
      </c>
      <c r="E198" s="2" t="inlineStr">
        <is>
          <t>mechanic</t>
        </is>
      </c>
      <c r="F198" s="2" t="inlineStr">
        <is>
          <t>Brisbane</t>
        </is>
      </c>
      <c r="G198" s="2" t="inlineStr">
        <is>
          <t>Facebook</t>
        </is>
      </c>
      <c r="H198" s="2" t="inlineStr"/>
      <c r="I198" s="4" t="inlineStr">
        <is>
          <t>https://www.facebook.com/people/Monster-Tyres/100095017035749/</t>
        </is>
      </c>
      <c r="J198" s="2" t="inlineStr">
        <is>
          <t>+61 428 990 798</t>
        </is>
      </c>
      <c r="K198" s="2" t="inlineStr"/>
      <c r="L198" s="2" t="inlineStr">
        <is>
          <t>no website listed, only social media (verify on Google Maps)</t>
        </is>
      </c>
      <c r="M198" s="2" t="inlineStr">
        <is>
          <t>Hi Monster Tyres team! [one real detail from their page]. We're AceAds, a web design studio. We couldn't find a website for Monster Tyres, only your Facebook. We'd be happy to make you a free preview of what a website could look like. Want one? No cost, no obligation.</t>
        </is>
      </c>
      <c r="N198" s="4" t="inlineStr">
        <is>
          <t>Open map</t>
        </is>
      </c>
      <c r="O198" s="2" t="inlineStr">
        <is>
          <t>Not contacted</t>
        </is>
      </c>
      <c r="P198" s="2" t="inlineStr"/>
      <c r="Q198" s="2" t="inlineStr"/>
      <c r="R198" s="2" t="inlineStr"/>
      <c r="S198" s="2" t="inlineStr"/>
    </row>
    <row r="199">
      <c r="A199" s="2" t="n">
        <v>198</v>
      </c>
      <c r="B199" s="5" t="inlineStr">
        <is>
          <t>VERIFY FIRST</t>
        </is>
      </c>
      <c r="C199" s="2" t="inlineStr">
        <is>
          <t>No website found</t>
        </is>
      </c>
      <c r="D199" s="2" t="inlineStr">
        <is>
          <t>Sam Auto Care</t>
        </is>
      </c>
      <c r="E199" s="2" t="inlineStr">
        <is>
          <t>mechanic</t>
        </is>
      </c>
      <c r="F199" s="2" t="inlineStr">
        <is>
          <t>Brisbane</t>
        </is>
      </c>
      <c r="G199" s="2" t="inlineStr">
        <is>
          <t>Facebook</t>
        </is>
      </c>
      <c r="H199" s="2" t="inlineStr"/>
      <c r="I199" s="4" t="inlineStr">
        <is>
          <t>https://www.facebook.com/p/Sam-Auto-Care-100075669889000/</t>
        </is>
      </c>
      <c r="J199" s="2" t="inlineStr">
        <is>
          <t>+61 432 798 206</t>
        </is>
      </c>
      <c r="K199" s="2" t="inlineStr"/>
      <c r="L199" s="2" t="inlineStr">
        <is>
          <t>no website listed, only social media (verify on Google Maps)</t>
        </is>
      </c>
      <c r="M199" s="2" t="inlineStr">
        <is>
          <t>Hi Sam Auto Care team! [one real detail from their page]. We're AceAds, a web design studio. We couldn't find a website for Sam Auto Care, only your Facebook. We'd be happy to make you a free preview of what a website could look like. Want one? No cost, no obligation.</t>
        </is>
      </c>
      <c r="N199" s="4" t="inlineStr">
        <is>
          <t>Open map</t>
        </is>
      </c>
      <c r="O199" s="2" t="inlineStr">
        <is>
          <t>Not contacted</t>
        </is>
      </c>
      <c r="P199" s="2" t="inlineStr"/>
      <c r="Q199" s="2" t="inlineStr"/>
      <c r="R199" s="2" t="inlineStr"/>
      <c r="S199" s="2" t="inlineStr"/>
    </row>
    <row r="200">
      <c r="A200" s="2" t="n">
        <v>199</v>
      </c>
      <c r="B200" s="5" t="inlineStr">
        <is>
          <t>VERIFY FIRST</t>
        </is>
      </c>
      <c r="C200" s="2" t="inlineStr">
        <is>
          <t>No website found</t>
        </is>
      </c>
      <c r="D200" s="2" t="inlineStr">
        <is>
          <t>Aloha Hound</t>
        </is>
      </c>
      <c r="E200" s="2" t="inlineStr">
        <is>
          <t>pet business</t>
        </is>
      </c>
      <c r="F200" s="2" t="inlineStr">
        <is>
          <t>Brisbane</t>
        </is>
      </c>
      <c r="G200" s="2" t="inlineStr">
        <is>
          <t>Facebook</t>
        </is>
      </c>
      <c r="H200" s="2" t="inlineStr"/>
      <c r="I200" s="4" t="inlineStr">
        <is>
          <t>https://m.facebook.com/alohahound/</t>
        </is>
      </c>
      <c r="J200" s="2" t="inlineStr">
        <is>
          <t>+61 493 449 752</t>
        </is>
      </c>
      <c r="K200" s="2" t="inlineStr"/>
      <c r="L200" s="2" t="inlineStr">
        <is>
          <t>no website listed, only social media (verify on Google Maps)</t>
        </is>
      </c>
      <c r="M200" s="2" t="inlineStr">
        <is>
          <t>Hi Aloha Hound team! [one real detail from their page]. We're AceAds, a web design studio. We couldn't find a website for Aloha Hound, only your Facebook. We'd be happy to make you a free preview of what a website could look like. Want one? No cost, no obligation.</t>
        </is>
      </c>
      <c r="N200" s="4" t="inlineStr">
        <is>
          <t>Open map</t>
        </is>
      </c>
      <c r="O200" s="2" t="inlineStr">
        <is>
          <t>Not contacted</t>
        </is>
      </c>
      <c r="P200" s="2" t="inlineStr"/>
      <c r="Q200" s="2" t="inlineStr"/>
      <c r="R200" s="2" t="inlineStr"/>
      <c r="S200" s="2" t="inlineStr"/>
    </row>
    <row r="201">
      <c r="A201" s="2" t="n">
        <v>200</v>
      </c>
      <c r="B201" s="5" t="inlineStr">
        <is>
          <t>VERIFY FIRST</t>
        </is>
      </c>
      <c r="C201" s="2" t="inlineStr">
        <is>
          <t>No website found</t>
        </is>
      </c>
      <c r="D201" s="2" t="inlineStr">
        <is>
          <t>Redlands Produce</t>
        </is>
      </c>
      <c r="E201" s="2" t="inlineStr">
        <is>
          <t>pet business</t>
        </is>
      </c>
      <c r="F201" s="2" t="inlineStr">
        <is>
          <t>Brisbane</t>
        </is>
      </c>
      <c r="G201" s="2" t="inlineStr">
        <is>
          <t>Facebook</t>
        </is>
      </c>
      <c r="H201" s="2" t="inlineStr"/>
      <c r="I201" s="4" t="inlineStr">
        <is>
          <t>https://www.facebook.com/RedlandsProduce/</t>
        </is>
      </c>
      <c r="J201" s="2" t="inlineStr">
        <is>
          <t>+61 7 3206 0069</t>
        </is>
      </c>
      <c r="K201" s="2" t="inlineStr"/>
      <c r="L201" s="2" t="inlineStr">
        <is>
          <t>no website listed, only social media (verify on Google Maps)</t>
        </is>
      </c>
      <c r="M201" s="2" t="inlineStr">
        <is>
          <t>Hi Redlands Produce team! [one real detail from their page]. We're AceAds, a web design studio. We couldn't find a website for Redlands Produce, only your Facebook. We'd be happy to make you a free preview of what a website could look like. Want one? No cost, no obligation.</t>
        </is>
      </c>
      <c r="N201" s="4" t="inlineStr">
        <is>
          <t>Open map</t>
        </is>
      </c>
      <c r="O201" s="2" t="inlineStr">
        <is>
          <t>Not contacted</t>
        </is>
      </c>
      <c r="P201" s="2" t="inlineStr"/>
      <c r="Q201" s="2" t="inlineStr"/>
      <c r="R201" s="2" t="inlineStr"/>
      <c r="S201" s="2" t="inlineStr"/>
    </row>
    <row r="202">
      <c r="A202" s="2" t="n">
        <v>201</v>
      </c>
      <c r="B202" s="5" t="inlineStr">
        <is>
          <t>VERIFY FIRST</t>
        </is>
      </c>
      <c r="C202" s="2" t="inlineStr">
        <is>
          <t>No website found</t>
        </is>
      </c>
      <c r="D202" s="2" t="inlineStr">
        <is>
          <t>Tiny Tots Physiotherapy - Kathryn Shutt</t>
        </is>
      </c>
      <c r="E202" s="2" t="inlineStr">
        <is>
          <t>physiotherapist</t>
        </is>
      </c>
      <c r="F202" s="2" t="inlineStr">
        <is>
          <t>Brisbane</t>
        </is>
      </c>
      <c r="G202" s="2" t="inlineStr">
        <is>
          <t>Facebook</t>
        </is>
      </c>
      <c r="H202" s="2" t="inlineStr"/>
      <c r="I202" s="4" t="inlineStr">
        <is>
          <t>https://www.facebook.com/profile.php?id=100044607326097</t>
        </is>
      </c>
      <c r="J202" s="2" t="inlineStr">
        <is>
          <t>+61 402 092 729</t>
        </is>
      </c>
      <c r="K202" s="2" t="inlineStr"/>
      <c r="L202" s="2" t="inlineStr">
        <is>
          <t>no website listed, only social media (verify on Google Maps)</t>
        </is>
      </c>
      <c r="M202" s="2" t="inlineStr">
        <is>
          <t>Hi Tiny Tots Physiotherapy - Kathryn Shutt team! [one real detail from their page]. We're AceAds, a web design studio. We couldn't find a website for Tiny Tots Physiotherapy - Kathryn Shutt, only your Facebook. We'd be happy to make you a free preview of what a website could look like. Want one? No cost, no obligation.</t>
        </is>
      </c>
      <c r="N202" s="4" t="inlineStr">
        <is>
          <t>Open map</t>
        </is>
      </c>
      <c r="O202" s="2" t="inlineStr">
        <is>
          <t>Not contacted</t>
        </is>
      </c>
      <c r="P202" s="2" t="inlineStr"/>
      <c r="Q202" s="2" t="inlineStr"/>
      <c r="R202" s="2" t="inlineStr"/>
      <c r="S202" s="2" t="inlineStr"/>
    </row>
    <row r="203">
      <c r="A203" s="2" t="n">
        <v>202</v>
      </c>
      <c r="B203" s="5" t="inlineStr">
        <is>
          <t>VERIFY FIRST</t>
        </is>
      </c>
      <c r="C203" s="2" t="inlineStr">
        <is>
          <t>No website found</t>
        </is>
      </c>
      <c r="D203" s="2" t="inlineStr">
        <is>
          <t>Asia Canteen</t>
        </is>
      </c>
      <c r="E203" s="2" t="inlineStr">
        <is>
          <t>restaurant</t>
        </is>
      </c>
      <c r="F203" s="2" t="inlineStr">
        <is>
          <t>Brisbane</t>
        </is>
      </c>
      <c r="G203" s="2" t="inlineStr">
        <is>
          <t>Facebook</t>
        </is>
      </c>
      <c r="H203" s="2" t="inlineStr"/>
      <c r="I203" s="4" t="inlineStr">
        <is>
          <t>https://www.facebook.com/people/Asia-Canteen/100063772110992/</t>
        </is>
      </c>
      <c r="J203" s="2" t="inlineStr">
        <is>
          <t>+61 7 3351 0668</t>
        </is>
      </c>
      <c r="K203" s="2" t="inlineStr"/>
      <c r="L203" s="2" t="inlineStr">
        <is>
          <t>no website listed, only social media (verify on Google Maps)</t>
        </is>
      </c>
      <c r="M203" s="2" t="inlineStr">
        <is>
          <t>Hi Asia Canteen team! [one real detail from their page]. We're AceAds, a web design studio. We couldn't find a website for Asia Canteen, only your Facebook. We'd be happy to make you a free preview of what a website could look like. Want one? No cost, no obligation.</t>
        </is>
      </c>
      <c r="N203" s="4" t="inlineStr">
        <is>
          <t>Open map</t>
        </is>
      </c>
      <c r="O203" s="2" t="inlineStr">
        <is>
          <t>Not contacted</t>
        </is>
      </c>
      <c r="P203" s="2" t="inlineStr"/>
      <c r="Q203" s="2" t="inlineStr"/>
      <c r="R203" s="2" t="inlineStr"/>
      <c r="S203" s="2" t="inlineStr"/>
    </row>
    <row r="204">
      <c r="A204" s="2" t="n">
        <v>203</v>
      </c>
      <c r="B204" s="5" t="inlineStr">
        <is>
          <t>VERIFY FIRST</t>
        </is>
      </c>
      <c r="C204" s="2" t="inlineStr">
        <is>
          <t>No website found</t>
        </is>
      </c>
      <c r="D204" s="2" t="inlineStr">
        <is>
          <t>Ben's Burgers</t>
        </is>
      </c>
      <c r="E204" s="2" t="inlineStr">
        <is>
          <t>restaurant</t>
        </is>
      </c>
      <c r="F204" s="2" t="inlineStr">
        <is>
          <t>Brisbane</t>
        </is>
      </c>
      <c r="G204" s="2" t="inlineStr">
        <is>
          <t>Facebook</t>
        </is>
      </c>
      <c r="H204" s="2" t="inlineStr"/>
      <c r="I204" s="4" t="inlineStr">
        <is>
          <t>https://www.facebook.com/bensburgers</t>
        </is>
      </c>
      <c r="J204" s="2" t="inlineStr"/>
      <c r="K204" s="2" t="inlineStr"/>
      <c r="L204" s="2" t="inlineStr">
        <is>
          <t>no website listed, only social media (verify on Google Maps)</t>
        </is>
      </c>
      <c r="M204" s="2" t="inlineStr">
        <is>
          <t>Hi Ben's Burgers team! [one real detail from their page]. We're AceAds, a web design studio. We couldn't find a website for Ben's Burgers, only your Facebook. We'd be happy to make you a free preview of what a website could look like. Want one? No cost, no obligation.</t>
        </is>
      </c>
      <c r="N204" s="4" t="inlineStr">
        <is>
          <t>Open map</t>
        </is>
      </c>
      <c r="O204" s="2" t="inlineStr">
        <is>
          <t>Not contacted</t>
        </is>
      </c>
      <c r="P204" s="2" t="inlineStr"/>
      <c r="Q204" s="2" t="inlineStr"/>
      <c r="R204" s="2" t="inlineStr"/>
      <c r="S204" s="2" t="inlineStr"/>
    </row>
    <row r="205">
      <c r="A205" s="2" t="n">
        <v>204</v>
      </c>
      <c r="B205" s="5" t="inlineStr">
        <is>
          <t>VERIFY FIRST</t>
        </is>
      </c>
      <c r="C205" s="2" t="inlineStr">
        <is>
          <t>No website found</t>
        </is>
      </c>
      <c r="D205" s="2" t="inlineStr">
        <is>
          <t>Buncha Buncha</t>
        </is>
      </c>
      <c r="E205" s="2" t="inlineStr">
        <is>
          <t>restaurant</t>
        </is>
      </c>
      <c r="F205" s="2" t="inlineStr">
        <is>
          <t>Brisbane</t>
        </is>
      </c>
      <c r="G205" s="2" t="inlineStr">
        <is>
          <t>Facebook</t>
        </is>
      </c>
      <c r="H205" s="2" t="inlineStr"/>
      <c r="I205" s="4" t="inlineStr">
        <is>
          <t>https://m.facebook.com/BunchaBunchaQLD/</t>
        </is>
      </c>
      <c r="J205" s="2" t="inlineStr"/>
      <c r="K205" s="2" t="inlineStr"/>
      <c r="L205" s="2" t="inlineStr">
        <is>
          <t>no website listed, only social media (verify on Google Maps)</t>
        </is>
      </c>
      <c r="M205" s="2" t="inlineStr">
        <is>
          <t>Hi Buncha Buncha team! [one real detail from their page]. We're AceAds, a web design studio. We couldn't find a website for Buncha Buncha, only your Facebook. We'd be happy to make you a free preview of what a website could look like. Want one? No cost, no obligation.</t>
        </is>
      </c>
      <c r="N205" s="4" t="inlineStr">
        <is>
          <t>Open map</t>
        </is>
      </c>
      <c r="O205" s="2" t="inlineStr">
        <is>
          <t>Not contacted</t>
        </is>
      </c>
      <c r="P205" s="2" t="inlineStr"/>
      <c r="Q205" s="2" t="inlineStr"/>
      <c r="R205" s="2" t="inlineStr"/>
      <c r="S205" s="2" t="inlineStr"/>
    </row>
    <row r="206">
      <c r="A206" s="2" t="n">
        <v>205</v>
      </c>
      <c r="B206" s="5" t="inlineStr">
        <is>
          <t>VERIFY FIRST</t>
        </is>
      </c>
      <c r="C206" s="2" t="inlineStr">
        <is>
          <t>No website found</t>
        </is>
      </c>
      <c r="D206" s="2" t="inlineStr">
        <is>
          <t>Ho Choi</t>
        </is>
      </c>
      <c r="E206" s="2" t="inlineStr">
        <is>
          <t>restaurant</t>
        </is>
      </c>
      <c r="F206" s="2" t="inlineStr">
        <is>
          <t>Brisbane</t>
        </is>
      </c>
      <c r="G206" s="2" t="inlineStr">
        <is>
          <t>Facebook</t>
        </is>
      </c>
      <c r="H206" s="2" t="inlineStr"/>
      <c r="I206" s="4" t="inlineStr">
        <is>
          <t>https://www.facebook.com/p/Ho-Choi-Licensed-Restaurant-100040303334335/</t>
        </is>
      </c>
      <c r="J206" s="2" t="inlineStr">
        <is>
          <t>+61 7 3848 3785</t>
        </is>
      </c>
      <c r="K206" s="2" t="inlineStr"/>
      <c r="L206" s="2" t="inlineStr">
        <is>
          <t>no website listed, only social media (verify on Google Maps)</t>
        </is>
      </c>
      <c r="M206" s="2" t="inlineStr">
        <is>
          <t>Hi Ho Choi team! [one real detail from their page]. We're AceAds, a web design studio. We couldn't find a website for Ho Choi, only your Facebook. We'd be happy to make you a free preview of what a website could look like. Want one? No cost, no obligation.</t>
        </is>
      </c>
      <c r="N206" s="4" t="inlineStr">
        <is>
          <t>Open map</t>
        </is>
      </c>
      <c r="O206" s="2" t="inlineStr">
        <is>
          <t>Not contacted</t>
        </is>
      </c>
      <c r="P206" s="2" t="inlineStr"/>
      <c r="Q206" s="2" t="inlineStr"/>
      <c r="R206" s="2" t="inlineStr"/>
      <c r="S206" s="2" t="inlineStr"/>
    </row>
    <row r="207">
      <c r="A207" s="2" t="n">
        <v>206</v>
      </c>
      <c r="B207" s="5" t="inlineStr">
        <is>
          <t>VERIFY FIRST</t>
        </is>
      </c>
      <c r="C207" s="2" t="inlineStr">
        <is>
          <t>No website found</t>
        </is>
      </c>
      <c r="D207" s="2" t="inlineStr">
        <is>
          <t>Latin Manna</t>
        </is>
      </c>
      <c r="E207" s="2" t="inlineStr">
        <is>
          <t>restaurant</t>
        </is>
      </c>
      <c r="F207" s="2" t="inlineStr">
        <is>
          <t>Brisbane</t>
        </is>
      </c>
      <c r="G207" s="2" t="inlineStr">
        <is>
          <t>Facebook</t>
        </is>
      </c>
      <c r="H207" s="2" t="inlineStr"/>
      <c r="I207" s="4" t="inlineStr">
        <is>
          <t>https://www.facebook.com/LATIN.MANNA</t>
        </is>
      </c>
      <c r="J207" s="2" t="inlineStr">
        <is>
          <t>+61 414 769 609</t>
        </is>
      </c>
      <c r="K207" s="2" t="inlineStr"/>
      <c r="L207" s="2" t="inlineStr">
        <is>
          <t>no website listed, only social media (verify on Google Maps)</t>
        </is>
      </c>
      <c r="M207" s="2" t="inlineStr">
        <is>
          <t>Hi Latin Manna team! [one real detail from their page]. We're AceAds, a web design studio. We couldn't find a website for Latin Manna, only your Facebook. We'd be happy to make you a free preview of what a website could look like. Want one? No cost, no obligation.</t>
        </is>
      </c>
      <c r="N207" s="4" t="inlineStr">
        <is>
          <t>Open map</t>
        </is>
      </c>
      <c r="O207" s="2" t="inlineStr">
        <is>
          <t>Not contacted</t>
        </is>
      </c>
      <c r="P207" s="2" t="inlineStr"/>
      <c r="Q207" s="2" t="inlineStr"/>
      <c r="R207" s="2" t="inlineStr"/>
      <c r="S207" s="2" t="inlineStr"/>
    </row>
    <row r="208">
      <c r="A208" s="2" t="n">
        <v>207</v>
      </c>
      <c r="B208" s="5" t="inlineStr">
        <is>
          <t>VERIFY FIRST</t>
        </is>
      </c>
      <c r="C208" s="2" t="inlineStr">
        <is>
          <t>No website found</t>
        </is>
      </c>
      <c r="D208" s="2" t="inlineStr">
        <is>
          <t>Nekoland Ramen &amp; Bar</t>
        </is>
      </c>
      <c r="E208" s="2" t="inlineStr">
        <is>
          <t>restaurant</t>
        </is>
      </c>
      <c r="F208" s="2" t="inlineStr">
        <is>
          <t>Brisbane</t>
        </is>
      </c>
      <c r="G208" s="2" t="inlineStr">
        <is>
          <t>Instagram</t>
        </is>
      </c>
      <c r="H208" s="4" t="inlineStr">
        <is>
          <t>https://www.instagram.com/nekoland.westend</t>
        </is>
      </c>
      <c r="I208" s="2" t="inlineStr"/>
      <c r="J208" s="2" t="inlineStr">
        <is>
          <t>+61 414 771 918</t>
        </is>
      </c>
      <c r="K208" s="2" t="inlineStr"/>
      <c r="L208" s="2" t="inlineStr">
        <is>
          <t>no website listed, only social media (verify on Google Maps)</t>
        </is>
      </c>
      <c r="M208" s="2" t="inlineStr">
        <is>
          <t>Hi Nekoland Ramen &amp; Bar team! [one real detail from their page]. We're AceAds, a web design studio. We couldn't find a website for Nekoland Ramen &amp; Bar, only your Instagram. We'd be happy to make you a free preview of what a website could look like. Want one? No cost, no obligation.</t>
        </is>
      </c>
      <c r="N208" s="4" t="inlineStr">
        <is>
          <t>Open map</t>
        </is>
      </c>
      <c r="O208" s="2" t="inlineStr">
        <is>
          <t>Not contacted</t>
        </is>
      </c>
      <c r="P208" s="2" t="inlineStr"/>
      <c r="Q208" s="2" t="inlineStr"/>
      <c r="R208" s="2" t="inlineStr"/>
      <c r="S208" s="2" t="inlineStr"/>
    </row>
    <row r="209">
      <c r="A209" s="2" t="n">
        <v>208</v>
      </c>
      <c r="B209" s="5" t="inlineStr">
        <is>
          <t>VERIFY FIRST</t>
        </is>
      </c>
      <c r="C209" s="2" t="inlineStr">
        <is>
          <t>No website found</t>
        </is>
      </c>
      <c r="D209" s="2" t="inlineStr">
        <is>
          <t>Passion Sushi</t>
        </is>
      </c>
      <c r="E209" s="2" t="inlineStr">
        <is>
          <t>restaurant</t>
        </is>
      </c>
      <c r="F209" s="2" t="inlineStr">
        <is>
          <t>Brisbane</t>
        </is>
      </c>
      <c r="G209" s="2" t="inlineStr">
        <is>
          <t>Facebook</t>
        </is>
      </c>
      <c r="H209" s="2" t="inlineStr"/>
      <c r="I209" s="4" t="inlineStr">
        <is>
          <t>https://www.facebook.com/passionsushi.com.au</t>
        </is>
      </c>
      <c r="J209" s="2" t="inlineStr"/>
      <c r="K209" s="2" t="inlineStr"/>
      <c r="L209" s="2" t="inlineStr">
        <is>
          <t>no website listed, only social media (verify on Google Maps)</t>
        </is>
      </c>
      <c r="M209" s="2" t="inlineStr">
        <is>
          <t>Hi Passion Sushi team! [one real detail from their page]. We're AceAds, a web design studio. We couldn't find a website for Passion Sushi, only your Facebook. We'd be happy to make you a free preview of what a website could look like. Want one? No cost, no obligation.</t>
        </is>
      </c>
      <c r="N209" s="4" t="inlineStr">
        <is>
          <t>Open map</t>
        </is>
      </c>
      <c r="O209" s="2" t="inlineStr">
        <is>
          <t>Not contacted</t>
        </is>
      </c>
      <c r="P209" s="2" t="inlineStr"/>
      <c r="Q209" s="2" t="inlineStr"/>
      <c r="R209" s="2" t="inlineStr"/>
      <c r="S209" s="2" t="inlineStr"/>
    </row>
    <row r="210">
      <c r="A210" s="2" t="n">
        <v>209</v>
      </c>
      <c r="B210" s="5" t="inlineStr">
        <is>
          <t>VERIFY FIRST</t>
        </is>
      </c>
      <c r="C210" s="2" t="inlineStr">
        <is>
          <t>No website found</t>
        </is>
      </c>
      <c r="D210" s="2" t="inlineStr">
        <is>
          <t>Stickybeak</t>
        </is>
      </c>
      <c r="E210" s="2" t="inlineStr">
        <is>
          <t>restaurant</t>
        </is>
      </c>
      <c r="F210" s="2" t="inlineStr">
        <is>
          <t>Brisbane</t>
        </is>
      </c>
      <c r="G210" s="2" t="inlineStr">
        <is>
          <t>Instagram</t>
        </is>
      </c>
      <c r="H210" s="4" t="inlineStr">
        <is>
          <t>https://www.instagram.com/Stickybeakwinebar</t>
        </is>
      </c>
      <c r="I210" s="2" t="inlineStr"/>
      <c r="J210" s="2" t="inlineStr"/>
      <c r="K210" s="2" t="inlineStr"/>
      <c r="L210" s="2" t="inlineStr">
        <is>
          <t>no website listed, only social media (verify on Google Maps)</t>
        </is>
      </c>
      <c r="M210" s="2" t="inlineStr">
        <is>
          <t>Hi Stickybeak team! [one real detail from their page]. We're AceAds, a web design studio. We couldn't find a website for Stickybeak, only your Instagram. We'd be happy to make you a free preview of what a website could look like. Want one? No cost, no obligation.</t>
        </is>
      </c>
      <c r="N210" s="4" t="inlineStr">
        <is>
          <t>Open map</t>
        </is>
      </c>
      <c r="O210" s="2" t="inlineStr">
        <is>
          <t>Not contacted</t>
        </is>
      </c>
      <c r="P210" s="2" t="inlineStr"/>
      <c r="Q210" s="2" t="inlineStr"/>
      <c r="R210" s="2" t="inlineStr"/>
      <c r="S210" s="2" t="inlineStr"/>
    </row>
    <row r="211">
      <c r="A211" s="2" t="n">
        <v>210</v>
      </c>
      <c r="B211" s="5" t="inlineStr">
        <is>
          <t>VERIFY FIRST</t>
        </is>
      </c>
      <c r="C211" s="2" t="inlineStr">
        <is>
          <t>No website found</t>
        </is>
      </c>
      <c r="D211" s="2" t="inlineStr">
        <is>
          <t>The White House Waterford</t>
        </is>
      </c>
      <c r="E211" s="2" t="inlineStr">
        <is>
          <t>restaurant</t>
        </is>
      </c>
      <c r="F211" s="2" t="inlineStr">
        <is>
          <t>Brisbane</t>
        </is>
      </c>
      <c r="G211" s="2" t="inlineStr">
        <is>
          <t>Facebook</t>
        </is>
      </c>
      <c r="H211" s="2" t="inlineStr"/>
      <c r="I211" s="4" t="inlineStr">
        <is>
          <t>https://www.facebook.com/The Whitehouse Waterford</t>
        </is>
      </c>
      <c r="J211" s="2" t="inlineStr"/>
      <c r="K211" s="2" t="inlineStr"/>
      <c r="L211" s="2" t="inlineStr">
        <is>
          <t>no website listed, only social media (verify on Google Maps)</t>
        </is>
      </c>
      <c r="M211" s="2" t="inlineStr">
        <is>
          <t>Hi The White House Waterford team! [one real detail from their page]. We're AceAds, a web design studio. We couldn't find a website for The White House Waterford, only your Facebook. We'd be happy to make you a free preview of what a website could look like. Want one? No cost, no obligation.</t>
        </is>
      </c>
      <c r="N211" s="4" t="inlineStr">
        <is>
          <t>Open map</t>
        </is>
      </c>
      <c r="O211" s="2" t="inlineStr">
        <is>
          <t>Not contacted</t>
        </is>
      </c>
      <c r="P211" s="2" t="inlineStr"/>
      <c r="Q211" s="2" t="inlineStr"/>
      <c r="R211" s="2" t="inlineStr"/>
      <c r="S211" s="2" t="inlineStr"/>
    </row>
    <row r="212">
      <c r="A212" s="2" t="n">
        <v>211</v>
      </c>
      <c r="B212" s="5" t="inlineStr">
        <is>
          <t>VERIFY FIRST</t>
        </is>
      </c>
      <c r="C212" s="2" t="inlineStr">
        <is>
          <t>No website found</t>
        </is>
      </c>
      <c r="D212" s="2" t="inlineStr">
        <is>
          <t>Wara Wara</t>
        </is>
      </c>
      <c r="E212" s="2" t="inlineStr">
        <is>
          <t>restaurant</t>
        </is>
      </c>
      <c r="F212" s="2" t="inlineStr">
        <is>
          <t>Brisbane</t>
        </is>
      </c>
      <c r="G212" s="2" t="inlineStr">
        <is>
          <t>Facebook</t>
        </is>
      </c>
      <c r="H212" s="2" t="inlineStr"/>
      <c r="I212" s="4" t="inlineStr">
        <is>
          <t>https://www.facebook.com/warawarabrisbane</t>
        </is>
      </c>
      <c r="J212" s="2" t="inlineStr"/>
      <c r="K212" s="2" t="inlineStr"/>
      <c r="L212" s="2" t="inlineStr">
        <is>
          <t>no website listed, only social media (verify on Google Maps)</t>
        </is>
      </c>
      <c r="M212" s="2" t="inlineStr">
        <is>
          <t>Hi Wara Wara team! [one real detail from their page]. We're AceAds, a web design studio. We couldn't find a website for Wara Wara, only your Facebook. We'd be happy to make you a free preview of what a website could look like. Want one? No cost, no obligation.</t>
        </is>
      </c>
      <c r="N212" s="4" t="inlineStr">
        <is>
          <t>Open map</t>
        </is>
      </c>
      <c r="O212" s="2" t="inlineStr">
        <is>
          <t>Not contacted</t>
        </is>
      </c>
      <c r="P212" s="2" t="inlineStr"/>
      <c r="Q212" s="2" t="inlineStr"/>
      <c r="R212" s="2" t="inlineStr"/>
      <c r="S212" s="2" t="inlineStr"/>
    </row>
    <row r="213">
      <c r="A213" s="2" t="n">
        <v>212</v>
      </c>
      <c r="B213" s="5" t="inlineStr">
        <is>
          <t>VERIFY FIRST</t>
        </is>
      </c>
      <c r="C213" s="2" t="inlineStr">
        <is>
          <t>No website found</t>
        </is>
      </c>
      <c r="D213" s="2" t="inlineStr">
        <is>
          <t>Big Jim's Takeaway</t>
        </is>
      </c>
      <c r="E213" s="2" t="inlineStr">
        <is>
          <t>takeaway</t>
        </is>
      </c>
      <c r="F213" s="2" t="inlineStr">
        <is>
          <t>Brisbane</t>
        </is>
      </c>
      <c r="G213" s="2" t="inlineStr">
        <is>
          <t>Facebook</t>
        </is>
      </c>
      <c r="H213" s="2" t="inlineStr"/>
      <c r="I213" s="4" t="inlineStr">
        <is>
          <t>https://www.facebook.com/bigjims1/</t>
        </is>
      </c>
      <c r="J213" s="2" t="inlineStr">
        <is>
          <t>+61 7 3394 1873</t>
        </is>
      </c>
      <c r="K213" s="2" t="inlineStr"/>
      <c r="L213" s="2" t="inlineStr">
        <is>
          <t>no website listed, only social media (verify on Google Maps)</t>
        </is>
      </c>
      <c r="M213" s="2" t="inlineStr">
        <is>
          <t>Hi Big Jim's Takeaway team! [one real detail from their page]. We're AceAds, a web design studio. We couldn't find a website for Big Jim's Takeaway, only your Facebook. We'd be happy to make you a free preview of what a website could look like. Want one? No cost, no obligation.</t>
        </is>
      </c>
      <c r="N213" s="4" t="inlineStr">
        <is>
          <t>Open map</t>
        </is>
      </c>
      <c r="O213" s="2" t="inlineStr">
        <is>
          <t>Not contacted</t>
        </is>
      </c>
      <c r="P213" s="2" t="inlineStr"/>
      <c r="Q213" s="2" t="inlineStr"/>
      <c r="R213" s="2" t="inlineStr"/>
      <c r="S213" s="2" t="inlineStr"/>
    </row>
    <row r="214">
      <c r="A214" s="2" t="n">
        <v>213</v>
      </c>
      <c r="B214" s="5" t="inlineStr">
        <is>
          <t>VERIFY FIRST</t>
        </is>
      </c>
      <c r="C214" s="2" t="inlineStr">
        <is>
          <t>No website found</t>
        </is>
      </c>
      <c r="D214" s="2" t="inlineStr">
        <is>
          <t>Clove</t>
        </is>
      </c>
      <c r="E214" s="2" t="inlineStr">
        <is>
          <t>takeaway</t>
        </is>
      </c>
      <c r="F214" s="2" t="inlineStr">
        <is>
          <t>Brisbane</t>
        </is>
      </c>
      <c r="G214" s="2" t="inlineStr">
        <is>
          <t>Facebook</t>
        </is>
      </c>
      <c r="H214" s="2" t="inlineStr"/>
      <c r="I214" s="4" t="inlineStr">
        <is>
          <t>https://facebook.com/pages/category/Restaurant/CLOVE-WEST-END-107877521487899/</t>
        </is>
      </c>
      <c r="J214" s="2" t="inlineStr"/>
      <c r="K214" s="2" t="inlineStr"/>
      <c r="L214" s="2" t="inlineStr">
        <is>
          <t>no website listed, only social media (verify on Google Maps)</t>
        </is>
      </c>
      <c r="M214" s="2" t="inlineStr">
        <is>
          <t>Hi Clove team! [one real detail from their page]. We're AceAds, a web design studio. We couldn't find a website for Clove, only your Facebook. We'd be happy to make you a free preview of what a website could look like. Want one? No cost, no obligation.</t>
        </is>
      </c>
      <c r="N214" s="4" t="inlineStr">
        <is>
          <t>Open map</t>
        </is>
      </c>
      <c r="O214" s="2" t="inlineStr">
        <is>
          <t>Not contacted</t>
        </is>
      </c>
      <c r="P214" s="2" t="inlineStr"/>
      <c r="Q214" s="2" t="inlineStr"/>
      <c r="R214" s="2" t="inlineStr"/>
      <c r="S214" s="2" t="inlineStr"/>
    </row>
    <row r="215">
      <c r="A215" s="2" t="n">
        <v>214</v>
      </c>
      <c r="B215" s="5" t="inlineStr">
        <is>
          <t>VERIFY FIRST</t>
        </is>
      </c>
      <c r="C215" s="2" t="inlineStr">
        <is>
          <t>No website found</t>
        </is>
      </c>
      <c r="D215" s="2" t="inlineStr">
        <is>
          <t>King of the Wings</t>
        </is>
      </c>
      <c r="E215" s="2" t="inlineStr">
        <is>
          <t>takeaway</t>
        </is>
      </c>
      <c r="F215" s="2" t="inlineStr">
        <is>
          <t>Brisbane</t>
        </is>
      </c>
      <c r="G215" s="2" t="inlineStr">
        <is>
          <t>Facebook</t>
        </is>
      </c>
      <c r="H215" s="2" t="inlineStr"/>
      <c r="I215" s="4" t="inlineStr">
        <is>
          <t>https://www.facebook.com/kingofthewingsbrisbane/</t>
        </is>
      </c>
      <c r="J215" s="2" t="inlineStr">
        <is>
          <t>+61 7 3607 2032</t>
        </is>
      </c>
      <c r="K215" s="2" t="inlineStr"/>
      <c r="L215" s="2" t="inlineStr">
        <is>
          <t>no website listed, only social media (verify on Google Maps)</t>
        </is>
      </c>
      <c r="M215" s="2" t="inlineStr">
        <is>
          <t>Hi King of the Wings team! [one real detail from their page]. We're AceAds, a web design studio. We couldn't find a website for King of the Wings, only your Facebook. We'd be happy to make you a free preview of what a website could look like. Want one? No cost, no obligation.</t>
        </is>
      </c>
      <c r="N215" s="4" t="inlineStr">
        <is>
          <t>Open map</t>
        </is>
      </c>
      <c r="O215" s="2" t="inlineStr">
        <is>
          <t>Not contacted</t>
        </is>
      </c>
      <c r="P215" s="2" t="inlineStr"/>
      <c r="Q215" s="2" t="inlineStr"/>
      <c r="R215" s="2" t="inlineStr"/>
      <c r="S215" s="2" t="inlineStr"/>
    </row>
    <row r="216">
      <c r="A216" s="2" t="n">
        <v>215</v>
      </c>
      <c r="B216" s="5" t="inlineStr">
        <is>
          <t>VERIFY FIRST</t>
        </is>
      </c>
      <c r="C216" s="2" t="inlineStr">
        <is>
          <t>No website found</t>
        </is>
      </c>
      <c r="D216" s="2" t="inlineStr">
        <is>
          <t>Lily &amp; Lala Kebab</t>
        </is>
      </c>
      <c r="E216" s="2" t="inlineStr">
        <is>
          <t>takeaway</t>
        </is>
      </c>
      <c r="F216" s="2" t="inlineStr">
        <is>
          <t>Brisbane</t>
        </is>
      </c>
      <c r="G216" s="2" t="inlineStr">
        <is>
          <t>Facebook</t>
        </is>
      </c>
      <c r="H216" s="2" t="inlineStr"/>
      <c r="I216" s="4" t="inlineStr">
        <is>
          <t>https://www.facebook.com/people/LilyLalas-Kebab/61568934639796/</t>
        </is>
      </c>
      <c r="J216" s="2" t="inlineStr"/>
      <c r="K216" s="2" t="inlineStr"/>
      <c r="L216" s="2" t="inlineStr">
        <is>
          <t>no website listed, only social media (verify on Google Maps)</t>
        </is>
      </c>
      <c r="M216" s="2" t="inlineStr">
        <is>
          <t>Hi Lily &amp; Lala Kebab team! [one real detail from their page]. We're AceAds, a web design studio. We couldn't find a website for Lily &amp; Lala Kebab, only your Facebook. We'd be happy to make you a free preview of what a website could look like. Want one? No cost, no obligation.</t>
        </is>
      </c>
      <c r="N216" s="4" t="inlineStr">
        <is>
          <t>Open map</t>
        </is>
      </c>
      <c r="O216" s="2" t="inlineStr">
        <is>
          <t>Not contacted</t>
        </is>
      </c>
      <c r="P216" s="2" t="inlineStr"/>
      <c r="Q216" s="2" t="inlineStr"/>
      <c r="R216" s="2" t="inlineStr"/>
      <c r="S216" s="2" t="inlineStr"/>
    </row>
    <row r="217">
      <c r="A217" s="2" t="n">
        <v>216</v>
      </c>
      <c r="B217" s="5" t="inlineStr">
        <is>
          <t>VERIFY FIRST</t>
        </is>
      </c>
      <c r="C217" s="2" t="inlineStr">
        <is>
          <t>No website found</t>
        </is>
      </c>
      <c r="D217" s="2" t="inlineStr">
        <is>
          <t>Mount Cotton Seafood</t>
        </is>
      </c>
      <c r="E217" s="2" t="inlineStr">
        <is>
          <t>takeaway</t>
        </is>
      </c>
      <c r="F217" s="2" t="inlineStr">
        <is>
          <t>Brisbane</t>
        </is>
      </c>
      <c r="G217" s="2" t="inlineStr">
        <is>
          <t>Facebook</t>
        </is>
      </c>
      <c r="H217" s="2" t="inlineStr"/>
      <c r="I217" s="4" t="inlineStr">
        <is>
          <t>https://www.facebook.com/mountcottonseafood</t>
        </is>
      </c>
      <c r="J217" s="2" t="inlineStr"/>
      <c r="K217" s="2" t="inlineStr"/>
      <c r="L217" s="2" t="inlineStr">
        <is>
          <t>no website listed, only social media (verify on Google Maps)</t>
        </is>
      </c>
      <c r="M217" s="2" t="inlineStr">
        <is>
          <t>Hi Mount Cotton Seafood team! [one real detail from their page]. We're AceAds, a web design studio. We couldn't find a website for Mount Cotton Seafood, only your Facebook. We'd be happy to make you a free preview of what a website could look like. Want one? No cost, no obligation.</t>
        </is>
      </c>
      <c r="N217" s="4" t="inlineStr">
        <is>
          <t>Open map</t>
        </is>
      </c>
      <c r="O217" s="2" t="inlineStr">
        <is>
          <t>Not contacted</t>
        </is>
      </c>
      <c r="P217" s="2" t="inlineStr"/>
      <c r="Q217" s="2" t="inlineStr"/>
      <c r="R217" s="2" t="inlineStr"/>
      <c r="S217" s="2" t="inlineStr"/>
    </row>
    <row r="218">
      <c r="A218" s="2" t="n">
        <v>217</v>
      </c>
      <c r="B218" s="5" t="inlineStr">
        <is>
          <t>VERIFY FIRST</t>
        </is>
      </c>
      <c r="C218" s="2" t="inlineStr">
        <is>
          <t>No website found</t>
        </is>
      </c>
      <c r="D218" s="2" t="inlineStr">
        <is>
          <t>Nessie's Fish Bite</t>
        </is>
      </c>
      <c r="E218" s="2" t="inlineStr">
        <is>
          <t>takeaway</t>
        </is>
      </c>
      <c r="F218" s="2" t="inlineStr">
        <is>
          <t>Brisbane</t>
        </is>
      </c>
      <c r="G218" s="2" t="inlineStr">
        <is>
          <t>Facebook</t>
        </is>
      </c>
      <c r="H218" s="2" t="inlineStr"/>
      <c r="I218" s="4" t="inlineStr">
        <is>
          <t>http://www.facebook.com/nessiesfishbite</t>
        </is>
      </c>
      <c r="J218" s="2" t="inlineStr">
        <is>
          <t>+61 7 3491 8838</t>
        </is>
      </c>
      <c r="K218" s="2" t="inlineStr"/>
      <c r="L218" s="2" t="inlineStr">
        <is>
          <t>no website listed, only social media (verify on Google Maps)</t>
        </is>
      </c>
      <c r="M218" s="2" t="inlineStr">
        <is>
          <t>Hi Nessie's Fish Bite team! [one real detail from their page]. We're AceAds, a web design studio. We couldn't find a website for Nessie's Fish Bite, only your Facebook. We'd be happy to make you a free preview of what a website could look like. Want one? No cost, no obligation.</t>
        </is>
      </c>
      <c r="N218" s="4" t="inlineStr">
        <is>
          <t>Open map</t>
        </is>
      </c>
      <c r="O218" s="2" t="inlineStr">
        <is>
          <t>Not contacted</t>
        </is>
      </c>
      <c r="P218" s="2" t="inlineStr"/>
      <c r="Q218" s="2" t="inlineStr"/>
      <c r="R218" s="2" t="inlineStr"/>
      <c r="S218" s="2" t="inlineStr"/>
    </row>
    <row r="219">
      <c r="A219" s="2" t="n">
        <v>218</v>
      </c>
      <c r="B219" s="5" t="inlineStr">
        <is>
          <t>VERIFY FIRST</t>
        </is>
      </c>
      <c r="C219" s="2" t="inlineStr">
        <is>
          <t>No website found</t>
        </is>
      </c>
      <c r="D219" s="2" t="inlineStr">
        <is>
          <t>Red Hill Seafoods</t>
        </is>
      </c>
      <c r="E219" s="2" t="inlineStr">
        <is>
          <t>takeaway</t>
        </is>
      </c>
      <c r="F219" s="2" t="inlineStr">
        <is>
          <t>Brisbane</t>
        </is>
      </c>
      <c r="G219" s="2" t="inlineStr">
        <is>
          <t>Facebook</t>
        </is>
      </c>
      <c r="H219" s="2" t="inlineStr"/>
      <c r="I219" s="4" t="inlineStr">
        <is>
          <t>https://www.facebook.com/RedHillSeafood</t>
        </is>
      </c>
      <c r="J219" s="2" t="inlineStr">
        <is>
          <t>+61 7 3369 1424</t>
        </is>
      </c>
      <c r="K219" s="2" t="inlineStr"/>
      <c r="L219" s="2" t="inlineStr">
        <is>
          <t>no website listed, only social media (verify on Google Maps)</t>
        </is>
      </c>
      <c r="M219" s="2" t="inlineStr">
        <is>
          <t>Hi Red Hill Seafoods team! [one real detail from their page]. We're AceAds, a web design studio. We couldn't find a website for Red Hill Seafoods, only your Facebook. We'd be happy to make you a free preview of what a website could look like. Want one? No cost, no obligation.</t>
        </is>
      </c>
      <c r="N219" s="4" t="inlineStr">
        <is>
          <t>Open map</t>
        </is>
      </c>
      <c r="O219" s="2" t="inlineStr">
        <is>
          <t>Not contacted</t>
        </is>
      </c>
      <c r="P219" s="2" t="inlineStr"/>
      <c r="Q219" s="2" t="inlineStr"/>
      <c r="R219" s="2" t="inlineStr"/>
      <c r="S219" s="2" t="inlineStr"/>
    </row>
    <row r="220">
      <c r="A220" s="2" t="n">
        <v>219</v>
      </c>
      <c r="B220" s="5" t="inlineStr">
        <is>
          <t>VERIFY FIRST</t>
        </is>
      </c>
      <c r="C220" s="2" t="inlineStr">
        <is>
          <t>No website found</t>
        </is>
      </c>
      <c r="D220" s="2" t="inlineStr">
        <is>
          <t>Rocklea Kebab and Pizza</t>
        </is>
      </c>
      <c r="E220" s="2" t="inlineStr">
        <is>
          <t>takeaway</t>
        </is>
      </c>
      <c r="F220" s="2" t="inlineStr">
        <is>
          <t>Brisbane</t>
        </is>
      </c>
      <c r="G220" s="2" t="inlineStr">
        <is>
          <t>Facebook</t>
        </is>
      </c>
      <c r="H220" s="2" t="inlineStr"/>
      <c r="I220" s="4" t="inlineStr">
        <is>
          <t>https://www.facebook.com/RockleaKebabandpizza/</t>
        </is>
      </c>
      <c r="J220" s="2" t="inlineStr">
        <is>
          <t>+61 7 3162 2670</t>
        </is>
      </c>
      <c r="K220" s="2" t="inlineStr"/>
      <c r="L220" s="2" t="inlineStr">
        <is>
          <t>no website listed, only social media (verify on Google Maps)</t>
        </is>
      </c>
      <c r="M220" s="2" t="inlineStr">
        <is>
          <t>Hi Rocklea Kebab and Pizza team! [one real detail from their page]. We're AceAds, a web design studio. We couldn't find a website for Rocklea Kebab and Pizza, only your Facebook. We'd be happy to make you a free preview of what a website could look like. Want one? No cost, no obligation.</t>
        </is>
      </c>
      <c r="N220" s="4" t="inlineStr">
        <is>
          <t>Open map</t>
        </is>
      </c>
      <c r="O220" s="2" t="inlineStr">
        <is>
          <t>Not contacted</t>
        </is>
      </c>
      <c r="P220" s="2" t="inlineStr"/>
      <c r="Q220" s="2" t="inlineStr"/>
      <c r="R220" s="2" t="inlineStr"/>
      <c r="S220" s="2" t="inlineStr"/>
    </row>
    <row r="221">
      <c r="A221" s="2" t="n">
        <v>220</v>
      </c>
      <c r="B221" s="5" t="inlineStr">
        <is>
          <t>VERIFY FIRST</t>
        </is>
      </c>
      <c r="C221" s="2" t="inlineStr">
        <is>
          <t>No website found</t>
        </is>
      </c>
      <c r="D221" s="2" t="inlineStr">
        <is>
          <t>The Deck</t>
        </is>
      </c>
      <c r="E221" s="2" t="inlineStr">
        <is>
          <t>takeaway</t>
        </is>
      </c>
      <c r="F221" s="2" t="inlineStr">
        <is>
          <t>Brisbane</t>
        </is>
      </c>
      <c r="G221" s="2" t="inlineStr">
        <is>
          <t>Facebook</t>
        </is>
      </c>
      <c r="H221" s="2" t="inlineStr"/>
      <c r="I221" s="4" t="inlineStr">
        <is>
          <t>https://www.facebook.com/thedecktakeawayfood/</t>
        </is>
      </c>
      <c r="J221" s="2" t="inlineStr"/>
      <c r="K221" s="2" t="inlineStr"/>
      <c r="L221" s="2" t="inlineStr">
        <is>
          <t>no website listed, only social media (verify on Google Maps)</t>
        </is>
      </c>
      <c r="M221" s="2" t="inlineStr">
        <is>
          <t>Hi The Deck team! [one real detail from their page]. We're AceAds, a web design studio. We couldn't find a website for The Deck, only your Facebook. We'd be happy to make you a free preview of what a website could look like. Want one? No cost, no obligation.</t>
        </is>
      </c>
      <c r="N221" s="4" t="inlineStr">
        <is>
          <t>Open map</t>
        </is>
      </c>
      <c r="O221" s="2" t="inlineStr">
        <is>
          <t>Not contacted</t>
        </is>
      </c>
      <c r="P221" s="2" t="inlineStr"/>
      <c r="Q221" s="2" t="inlineStr"/>
      <c r="R221" s="2" t="inlineStr"/>
      <c r="S221" s="2" t="inlineStr"/>
    </row>
    <row r="222">
      <c r="A222" s="2" t="n">
        <v>221</v>
      </c>
      <c r="B222" s="5" t="inlineStr">
        <is>
          <t>VERIFY FIRST</t>
        </is>
      </c>
      <c r="C222" s="2" t="inlineStr">
        <is>
          <t>No website found</t>
        </is>
      </c>
      <c r="D222" s="2" t="inlineStr">
        <is>
          <t>Inksane</t>
        </is>
      </c>
      <c r="E222" s="2" t="inlineStr">
        <is>
          <t>tattoo studio</t>
        </is>
      </c>
      <c r="F222" s="2" t="inlineStr">
        <is>
          <t>Brisbane</t>
        </is>
      </c>
      <c r="G222" s="2" t="inlineStr">
        <is>
          <t>Facebook</t>
        </is>
      </c>
      <c r="H222" s="2" t="inlineStr"/>
      <c r="I222" s="4" t="inlineStr">
        <is>
          <t>https://facebook.com/inksanetattooqld/</t>
        </is>
      </c>
      <c r="J222" s="2" t="inlineStr">
        <is>
          <t>+61 7 3172 6331</t>
        </is>
      </c>
      <c r="K222" s="2" t="inlineStr"/>
      <c r="L222" s="2" t="inlineStr">
        <is>
          <t>no website listed, only social media (verify on Google Maps)</t>
        </is>
      </c>
      <c r="M222" s="2" t="inlineStr">
        <is>
          <t>Hi Inksane team! [one real detail from their page]. We're AceAds, a web design studio. We couldn't find a website for Inksane, only your Facebook. We'd be happy to make you a free preview of what a website could look like. Want one? No cost, no obligation.</t>
        </is>
      </c>
      <c r="N222" s="4" t="inlineStr">
        <is>
          <t>Open map</t>
        </is>
      </c>
      <c r="O222" s="2" t="inlineStr">
        <is>
          <t>Not contacted</t>
        </is>
      </c>
      <c r="P222" s="2" t="inlineStr"/>
      <c r="Q222" s="2" t="inlineStr"/>
      <c r="R222" s="2" t="inlineStr"/>
      <c r="S222" s="2" t="inlineStr"/>
    </row>
    <row r="223">
      <c r="A223" s="2" t="n">
        <v>222</v>
      </c>
      <c r="B223" s="5" t="inlineStr">
        <is>
          <t>VERIFY FIRST</t>
        </is>
      </c>
      <c r="C223" s="2" t="inlineStr">
        <is>
          <t>No website found</t>
        </is>
      </c>
      <c r="D223" s="2" t="inlineStr">
        <is>
          <t>Save Point Tattoo</t>
        </is>
      </c>
      <c r="E223" s="2" t="inlineStr">
        <is>
          <t>tattoo studio</t>
        </is>
      </c>
      <c r="F223" s="2" t="inlineStr">
        <is>
          <t>Brisbane</t>
        </is>
      </c>
      <c r="G223" s="2" t="inlineStr">
        <is>
          <t>Facebook</t>
        </is>
      </c>
      <c r="H223" s="2" t="inlineStr"/>
      <c r="I223" s="4" t="inlineStr">
        <is>
          <t>https://www.facebook.com/savepointtattoo</t>
        </is>
      </c>
      <c r="J223" s="2" t="inlineStr">
        <is>
          <t>+61 434 644 034</t>
        </is>
      </c>
      <c r="K223" s="2" t="inlineStr"/>
      <c r="L223" s="2" t="inlineStr">
        <is>
          <t>no website listed, only social media (verify on Google Maps)</t>
        </is>
      </c>
      <c r="M223" s="2" t="inlineStr">
        <is>
          <t>Hi Save Point Tattoo team! [one real detail from their page]. We're AceAds, a web design studio. We couldn't find a website for Save Point Tattoo, only your Facebook. We'd be happy to make you a free preview of what a website could look like. Want one? No cost, no obligation.</t>
        </is>
      </c>
      <c r="N223" s="4" t="inlineStr">
        <is>
          <t>Open map</t>
        </is>
      </c>
      <c r="O223" s="2" t="inlineStr">
        <is>
          <t>Not contacted</t>
        </is>
      </c>
      <c r="P223" s="2" t="inlineStr"/>
      <c r="Q223" s="2" t="inlineStr"/>
      <c r="R223" s="2" t="inlineStr"/>
      <c r="S223" s="2" t="inlineStr"/>
    </row>
    <row r="224">
      <c r="A224" s="2" t="n">
        <v>223</v>
      </c>
      <c r="B224" s="5" t="inlineStr">
        <is>
          <t>VERIFY FIRST</t>
        </is>
      </c>
      <c r="C224" s="2" t="inlineStr">
        <is>
          <t>No website found</t>
        </is>
      </c>
      <c r="D224" s="2" t="inlineStr">
        <is>
          <t>Stafford Tattoo</t>
        </is>
      </c>
      <c r="E224" s="2" t="inlineStr">
        <is>
          <t>tattoo studio</t>
        </is>
      </c>
      <c r="F224" s="2" t="inlineStr">
        <is>
          <t>Brisbane</t>
        </is>
      </c>
      <c r="G224" s="2" t="inlineStr">
        <is>
          <t>Facebook</t>
        </is>
      </c>
      <c r="H224" s="2" t="inlineStr"/>
      <c r="I224" s="4" t="inlineStr">
        <is>
          <t>https://www.facebook.com/st.tattoos/</t>
        </is>
      </c>
      <c r="J224" s="2" t="inlineStr">
        <is>
          <t>+61 7 3357 6696</t>
        </is>
      </c>
      <c r="K224" s="2" t="inlineStr"/>
      <c r="L224" s="2" t="inlineStr">
        <is>
          <t>no website listed, only social media (verify on Google Maps)</t>
        </is>
      </c>
      <c r="M224" s="2" t="inlineStr">
        <is>
          <t>Hi Stafford Tattoo team! [one real detail from their page]. We're AceAds, a web design studio. We couldn't find a website for Stafford Tattoo, only your Facebook. We'd be happy to make you a free preview of what a website could look like. Want one? No cost, no obligation.</t>
        </is>
      </c>
      <c r="N224" s="4" t="inlineStr">
        <is>
          <t>Open map</t>
        </is>
      </c>
      <c r="O224" s="2" t="inlineStr">
        <is>
          <t>Not contacted</t>
        </is>
      </c>
      <c r="P224" s="2" t="inlineStr"/>
      <c r="Q224" s="2" t="inlineStr"/>
      <c r="R224" s="2" t="inlineStr"/>
      <c r="S224" s="2" t="inlineStr"/>
    </row>
    <row r="225">
      <c r="A225" s="2" t="n">
        <v>224</v>
      </c>
      <c r="B225" s="5" t="inlineStr">
        <is>
          <t>VERIFY FIRST</t>
        </is>
      </c>
      <c r="C225" s="2" t="inlineStr">
        <is>
          <t>No website found</t>
        </is>
      </c>
      <c r="D225" s="2" t="inlineStr">
        <is>
          <t>Voodoo Tattoo</t>
        </is>
      </c>
      <c r="E225" s="2" t="inlineStr">
        <is>
          <t>tattoo studio</t>
        </is>
      </c>
      <c r="F225" s="2" t="inlineStr">
        <is>
          <t>Brisbane</t>
        </is>
      </c>
      <c r="G225" s="2" t="inlineStr">
        <is>
          <t>Facebook</t>
        </is>
      </c>
      <c r="H225" s="2" t="inlineStr"/>
      <c r="I225" s="4" t="inlineStr">
        <is>
          <t>https://www.facebook.com/Voodoo-Tattoo-193688920647994/</t>
        </is>
      </c>
      <c r="J225" s="2" t="inlineStr">
        <is>
          <t>+61 7 3801 2912</t>
        </is>
      </c>
      <c r="K225" s="2" t="inlineStr"/>
      <c r="L225" s="2" t="inlineStr">
        <is>
          <t>no website listed, only social media (verify on Google Maps)</t>
        </is>
      </c>
      <c r="M225" s="2" t="inlineStr">
        <is>
          <t>Hi Voodoo Tattoo team! [one real detail from their page]. We're AceAds, a web design studio. We couldn't find a website for Voodoo Tattoo, only your Facebook. We'd be happy to make you a free preview of what a website could look like. Want one? No cost, no obligation.</t>
        </is>
      </c>
      <c r="N225" s="4" t="inlineStr">
        <is>
          <t>Open map</t>
        </is>
      </c>
      <c r="O225" s="2" t="inlineStr">
        <is>
          <t>Not contacted</t>
        </is>
      </c>
      <c r="P225" s="2" t="inlineStr"/>
      <c r="Q225" s="2" t="inlineStr"/>
      <c r="R225" s="2" t="inlineStr"/>
      <c r="S225" s="2" t="inlineStr"/>
    </row>
    <row r="226">
      <c r="A226" s="2" t="n">
        <v>225</v>
      </c>
      <c r="B226" s="5" t="inlineStr">
        <is>
          <t>VERIFY FIRST</t>
        </is>
      </c>
      <c r="C226" s="2" t="inlineStr">
        <is>
          <t>No website found</t>
        </is>
      </c>
      <c r="D226" s="2" t="inlineStr">
        <is>
          <t>Alloway Farm Market</t>
        </is>
      </c>
      <c r="E226" s="2" t="inlineStr">
        <is>
          <t>cafe</t>
        </is>
      </c>
      <c r="F226" s="2" t="inlineStr">
        <is>
          <t>Bundaberg</t>
        </is>
      </c>
      <c r="G226" s="2" t="inlineStr">
        <is>
          <t>Facebook</t>
        </is>
      </c>
      <c r="H226" s="2" t="inlineStr"/>
      <c r="I226" s="4" t="inlineStr">
        <is>
          <t>https://www.facebook.com/allowayfarm/</t>
        </is>
      </c>
      <c r="J226" s="2" t="inlineStr"/>
      <c r="K226" s="2" t="inlineStr"/>
      <c r="L226" s="2" t="inlineStr">
        <is>
          <t>no website listed, only social media (verify on Google Maps)</t>
        </is>
      </c>
      <c r="M226" s="2" t="inlineStr">
        <is>
          <t>Hi Alloway Farm Market team! [one real detail from their page]. We're AceAds, a web design studio. We couldn't find a website for Alloway Farm Market, only your Facebook. We'd be happy to make you a free preview of what a website could look like. Want one? No cost, no obligation.</t>
        </is>
      </c>
      <c r="N226" s="4" t="inlineStr">
        <is>
          <t>Open map</t>
        </is>
      </c>
      <c r="O226" s="2" t="inlineStr">
        <is>
          <t>Not contacted</t>
        </is>
      </c>
      <c r="P226" s="2" t="inlineStr"/>
      <c r="Q226" s="2" t="inlineStr"/>
      <c r="R226" s="2" t="inlineStr"/>
      <c r="S226" s="2" t="inlineStr"/>
    </row>
    <row r="227">
      <c r="A227" s="2" t="n">
        <v>226</v>
      </c>
      <c r="B227" s="5" t="inlineStr">
        <is>
          <t>VERIFY FIRST</t>
        </is>
      </c>
      <c r="C227" s="2" t="inlineStr">
        <is>
          <t>No website found</t>
        </is>
      </c>
      <c r="D227" s="2" t="inlineStr">
        <is>
          <t>J-Elec Electrical Contractors</t>
        </is>
      </c>
      <c r="E227" s="2" t="inlineStr">
        <is>
          <t>electrician</t>
        </is>
      </c>
      <c r="F227" s="2" t="inlineStr">
        <is>
          <t>Bundaberg</t>
        </is>
      </c>
      <c r="G227" s="2" t="inlineStr">
        <is>
          <t>Facebook</t>
        </is>
      </c>
      <c r="H227" s="2" t="inlineStr"/>
      <c r="I227" s="4" t="inlineStr">
        <is>
          <t>https://www.facebook.com/jelecelectricalcontractors/</t>
        </is>
      </c>
      <c r="J227" s="2" t="inlineStr">
        <is>
          <t>+61 7 4154 3421</t>
        </is>
      </c>
      <c r="K227" s="2" t="inlineStr"/>
      <c r="L227" s="2" t="inlineStr">
        <is>
          <t>no website listed, only social media (verify on Google Maps)</t>
        </is>
      </c>
      <c r="M227" s="2" t="inlineStr">
        <is>
          <t>Hi J-Elec Electrical Contractors team! [one real detail from their page]. We're AceAds, a web design studio. We couldn't find a website for J-Elec Electrical Contractors, only your Facebook. We'd be happy to make you a free preview of what a website could look like. Want one? No cost, no obligation.</t>
        </is>
      </c>
      <c r="N227" s="4" t="inlineStr">
        <is>
          <t>Open map</t>
        </is>
      </c>
      <c r="O227" s="2" t="inlineStr">
        <is>
          <t>Not contacted</t>
        </is>
      </c>
      <c r="P227" s="2" t="inlineStr"/>
      <c r="Q227" s="2" t="inlineStr"/>
      <c r="R227" s="2" t="inlineStr"/>
      <c r="S227" s="2" t="inlineStr"/>
    </row>
    <row r="228">
      <c r="A228" s="2" t="n">
        <v>227</v>
      </c>
      <c r="B228" s="5" t="inlineStr">
        <is>
          <t>VERIFY FIRST</t>
        </is>
      </c>
      <c r="C228" s="2" t="inlineStr">
        <is>
          <t>No website found</t>
        </is>
      </c>
      <c r="D228" s="2" t="inlineStr">
        <is>
          <t>Teddy Espresso</t>
        </is>
      </c>
      <c r="E228" s="2" t="inlineStr">
        <is>
          <t>cafe</t>
        </is>
      </c>
      <c r="F228" s="2" t="inlineStr">
        <is>
          <t>Cairns</t>
        </is>
      </c>
      <c r="G228" s="2" t="inlineStr">
        <is>
          <t>Facebook</t>
        </is>
      </c>
      <c r="H228" s="2" t="inlineStr"/>
      <c r="I228" s="4" t="inlineStr">
        <is>
          <t>https://www.facebook.com/teddyespresso.com.au/</t>
        </is>
      </c>
      <c r="J228" s="2" t="inlineStr"/>
      <c r="K228" s="2" t="inlineStr"/>
      <c r="L228" s="2" t="inlineStr">
        <is>
          <t>no website listed, only social media (verify on Google Maps)</t>
        </is>
      </c>
      <c r="M228" s="2" t="inlineStr">
        <is>
          <t>Hi Teddy Espresso team! [one real detail from their page]. We're AceAds, a web design studio. We couldn't find a website for Teddy Espresso, only your Facebook. We'd be happy to make you a free preview of what a website could look like. Want one? No cost, no obligation.</t>
        </is>
      </c>
      <c r="N228" s="4" t="inlineStr">
        <is>
          <t>Open map</t>
        </is>
      </c>
      <c r="O228" s="2" t="inlineStr">
        <is>
          <t>Not contacted</t>
        </is>
      </c>
      <c r="P228" s="2" t="inlineStr"/>
      <c r="Q228" s="2" t="inlineStr"/>
      <c r="R228" s="2" t="inlineStr"/>
      <c r="S228" s="2" t="inlineStr"/>
    </row>
    <row r="229">
      <c r="A229" s="2" t="n">
        <v>228</v>
      </c>
      <c r="B229" s="5" t="inlineStr">
        <is>
          <t>VERIFY FIRST</t>
        </is>
      </c>
      <c r="C229" s="2" t="inlineStr">
        <is>
          <t>No website found</t>
        </is>
      </c>
      <c r="D229" s="2" t="inlineStr">
        <is>
          <t>Iron strength power and performance</t>
        </is>
      </c>
      <c r="E229" s="2" t="inlineStr">
        <is>
          <t>gym or studio</t>
        </is>
      </c>
      <c r="F229" s="2" t="inlineStr">
        <is>
          <t>Cairns</t>
        </is>
      </c>
      <c r="G229" s="2" t="inlineStr">
        <is>
          <t>Facebook</t>
        </is>
      </c>
      <c r="H229" s="2" t="inlineStr"/>
      <c r="I229" s="4" t="inlineStr">
        <is>
          <t>https://www.facebook.com/ironstrengthpp/</t>
        </is>
      </c>
      <c r="J229" s="2" t="inlineStr">
        <is>
          <t>+61 423 531 278</t>
        </is>
      </c>
      <c r="K229" s="2" t="inlineStr"/>
      <c r="L229" s="2" t="inlineStr">
        <is>
          <t>no website listed, only social media (verify on Google Maps)</t>
        </is>
      </c>
      <c r="M229" s="2" t="inlineStr">
        <is>
          <t>Hi Iron strength power and performance team! [one real detail from their page]. We're AceAds, a web design studio. We couldn't find a website for Iron strength power and performance, only your Facebook. We'd be happy to make you a free preview of what a website could look like. Want one? No cost, no obligation.</t>
        </is>
      </c>
      <c r="N229" s="4" t="inlineStr">
        <is>
          <t>Open map</t>
        </is>
      </c>
      <c r="O229" s="2" t="inlineStr">
        <is>
          <t>Not contacted</t>
        </is>
      </c>
      <c r="P229" s="2" t="inlineStr"/>
      <c r="Q229" s="2" t="inlineStr"/>
      <c r="R229" s="2" t="inlineStr"/>
      <c r="S229" s="2" t="inlineStr"/>
    </row>
    <row r="230">
      <c r="A230" s="2" t="n">
        <v>229</v>
      </c>
      <c r="B230" s="5" t="inlineStr">
        <is>
          <t>VERIFY FIRST</t>
        </is>
      </c>
      <c r="C230" s="2" t="inlineStr">
        <is>
          <t>No website found</t>
        </is>
      </c>
      <c r="D230" s="2" t="inlineStr">
        <is>
          <t>Tasty Road</t>
        </is>
      </c>
      <c r="E230" s="2" t="inlineStr">
        <is>
          <t>restaurant</t>
        </is>
      </c>
      <c r="F230" s="2" t="inlineStr">
        <is>
          <t>Cairns</t>
        </is>
      </c>
      <c r="G230" s="2" t="inlineStr">
        <is>
          <t>Facebook</t>
        </is>
      </c>
      <c r="H230" s="2" t="inlineStr"/>
      <c r="I230" s="4" t="inlineStr">
        <is>
          <t>https://facebook.com/tastyroad</t>
        </is>
      </c>
      <c r="J230" s="2" t="inlineStr"/>
      <c r="K230" s="2" t="inlineStr"/>
      <c r="L230" s="2" t="inlineStr">
        <is>
          <t>no website listed, only social media (verify on Google Maps)</t>
        </is>
      </c>
      <c r="M230" s="2" t="inlineStr">
        <is>
          <t>Hi Tasty Road team! [one real detail from their page]. We're AceAds, a web design studio. We couldn't find a website for Tasty Road, only your Facebook. We'd be happy to make you a free preview of what a website could look like. Want one? No cost, no obligation.</t>
        </is>
      </c>
      <c r="N230" s="4" t="inlineStr">
        <is>
          <t>Open map</t>
        </is>
      </c>
      <c r="O230" s="2" t="inlineStr">
        <is>
          <t>Not contacted</t>
        </is>
      </c>
      <c r="P230" s="2" t="inlineStr"/>
      <c r="Q230" s="2" t="inlineStr"/>
      <c r="R230" s="2" t="inlineStr"/>
      <c r="S230" s="2" t="inlineStr"/>
    </row>
    <row r="231">
      <c r="A231" s="2" t="n">
        <v>230</v>
      </c>
      <c r="B231" s="5" t="inlineStr">
        <is>
          <t>VERIFY FIRST</t>
        </is>
      </c>
      <c r="C231" s="2" t="inlineStr">
        <is>
          <t>No website found</t>
        </is>
      </c>
      <c r="D231" s="2" t="inlineStr">
        <is>
          <t>Dolphins Harbourside Hotel</t>
        </is>
      </c>
      <c r="E231" s="2" t="inlineStr">
        <is>
          <t>accommodation</t>
        </is>
      </c>
      <c r="F231" s="2" t="inlineStr">
        <is>
          <t>Gold Coast</t>
        </is>
      </c>
      <c r="G231" s="2" t="inlineStr">
        <is>
          <t>Facebook</t>
        </is>
      </c>
      <c r="H231" s="2" t="inlineStr"/>
      <c r="I231" s="4" t="inlineStr">
        <is>
          <t>https://www.facebook.com/DolphinsHarbourisdeHotel/</t>
        </is>
      </c>
      <c r="J231" s="2" t="inlineStr">
        <is>
          <t>+61 7 5599 1909</t>
        </is>
      </c>
      <c r="K231" s="2" t="inlineStr"/>
      <c r="L231" s="2" t="inlineStr">
        <is>
          <t>no website listed, only social media (verify on Google Maps)</t>
        </is>
      </c>
      <c r="M231" s="2" t="inlineStr">
        <is>
          <t>Hi Dolphins Harbourside Hotel team! [one real detail from their page]. We're AceAds, a web design studio. We couldn't find a website for Dolphins Harbourside Hotel, only your Facebook. We'd be happy to make you a free preview of what a website could look like. Want one? No cost, no obligation.</t>
        </is>
      </c>
      <c r="N231" s="4" t="inlineStr">
        <is>
          <t>Open map</t>
        </is>
      </c>
      <c r="O231" s="2" t="inlineStr">
        <is>
          <t>Not contacted</t>
        </is>
      </c>
      <c r="P231" s="2" t="inlineStr"/>
      <c r="Q231" s="2" t="inlineStr"/>
      <c r="R231" s="2" t="inlineStr"/>
      <c r="S231" s="2" t="inlineStr"/>
    </row>
    <row r="232">
      <c r="A232" s="2" t="n">
        <v>231</v>
      </c>
      <c r="B232" s="5" t="inlineStr">
        <is>
          <t>VERIFY FIRST</t>
        </is>
      </c>
      <c r="C232" s="2" t="inlineStr">
        <is>
          <t>No website found</t>
        </is>
      </c>
      <c r="D232" s="2" t="inlineStr">
        <is>
          <t>Boulangerie Vietnam</t>
        </is>
      </c>
      <c r="E232" s="2" t="inlineStr">
        <is>
          <t>bakery</t>
        </is>
      </c>
      <c r="F232" s="2" t="inlineStr">
        <is>
          <t>Gold Coast</t>
        </is>
      </c>
      <c r="G232" s="2" t="inlineStr">
        <is>
          <t>Facebook</t>
        </is>
      </c>
      <c r="H232" s="2" t="inlineStr"/>
      <c r="I232" s="4" t="inlineStr">
        <is>
          <t>https://www.facebook.com/p/Boulangerie-Vietnam-100086495847018/</t>
        </is>
      </c>
      <c r="J232" s="2" t="inlineStr">
        <is>
          <t>+61 432 747 703</t>
        </is>
      </c>
      <c r="K232" s="2" t="inlineStr"/>
      <c r="L232" s="2" t="inlineStr">
        <is>
          <t>no website listed, only social media (verify on Google Maps)</t>
        </is>
      </c>
      <c r="M232" s="2" t="inlineStr">
        <is>
          <t>Hi Boulangerie Vietnam team! [one real detail from their page]. We're AceAds, a web design studio. We couldn't find a website for Boulangerie Vietnam, only your Facebook. We'd be happy to make you a free preview of what a website could look like. Want one? No cost, no obligation.</t>
        </is>
      </c>
      <c r="N232" s="4" t="inlineStr">
        <is>
          <t>Open map</t>
        </is>
      </c>
      <c r="O232" s="2" t="inlineStr">
        <is>
          <t>Not contacted</t>
        </is>
      </c>
      <c r="P232" s="2" t="inlineStr"/>
      <c r="Q232" s="2" t="inlineStr"/>
      <c r="R232" s="2" t="inlineStr"/>
      <c r="S232" s="2" t="inlineStr"/>
    </row>
    <row r="233">
      <c r="A233" s="2" t="n">
        <v>232</v>
      </c>
      <c r="B233" s="5" t="inlineStr">
        <is>
          <t>VERIFY FIRST</t>
        </is>
      </c>
      <c r="C233" s="2" t="inlineStr">
        <is>
          <t>No website found</t>
        </is>
      </c>
      <c r="D233" s="2" t="inlineStr">
        <is>
          <t>La De Da</t>
        </is>
      </c>
      <c r="E233" s="2" t="inlineStr">
        <is>
          <t>bakery</t>
        </is>
      </c>
      <c r="F233" s="2" t="inlineStr">
        <is>
          <t>Gold Coast</t>
        </is>
      </c>
      <c r="G233" s="2" t="inlineStr">
        <is>
          <t>Facebook</t>
        </is>
      </c>
      <c r="H233" s="2" t="inlineStr"/>
      <c r="I233" s="4" t="inlineStr">
        <is>
          <t>https://facebook.com/ladedabakery/</t>
        </is>
      </c>
      <c r="J233" s="2" t="inlineStr">
        <is>
          <t>+61 7 5599 5688</t>
        </is>
      </c>
      <c r="K233" s="2" t="inlineStr"/>
      <c r="L233" s="2" t="inlineStr">
        <is>
          <t>no website listed, only social media (verify on Google Maps)</t>
        </is>
      </c>
      <c r="M233" s="2" t="inlineStr">
        <is>
          <t>Hi La De Da team! [one real detail from their page]. We're AceAds, a web design studio. We couldn't find a website for La De Da, only your Facebook. We'd be happy to make you a free preview of what a website could look like. Want one? No cost, no obligation.</t>
        </is>
      </c>
      <c r="N233" s="4" t="inlineStr">
        <is>
          <t>Open map</t>
        </is>
      </c>
      <c r="O233" s="2" t="inlineStr">
        <is>
          <t>Not contacted</t>
        </is>
      </c>
      <c r="P233" s="2" t="inlineStr"/>
      <c r="Q233" s="2" t="inlineStr"/>
      <c r="R233" s="2" t="inlineStr"/>
      <c r="S233" s="2" t="inlineStr"/>
    </row>
    <row r="234">
      <c r="A234" s="2" t="n">
        <v>233</v>
      </c>
      <c r="B234" s="5" t="inlineStr">
        <is>
          <t>VERIFY FIRST</t>
        </is>
      </c>
      <c r="C234" s="2" t="inlineStr">
        <is>
          <t>No website found</t>
        </is>
      </c>
      <c r="D234" s="2" t="inlineStr">
        <is>
          <t>Lakeside Bakery</t>
        </is>
      </c>
      <c r="E234" s="2" t="inlineStr">
        <is>
          <t>bakery</t>
        </is>
      </c>
      <c r="F234" s="2" t="inlineStr">
        <is>
          <t>Gold Coast</t>
        </is>
      </c>
      <c r="G234" s="2" t="inlineStr">
        <is>
          <t>Facebook</t>
        </is>
      </c>
      <c r="H234" s="2" t="inlineStr"/>
      <c r="I234" s="4" t="inlineStr">
        <is>
          <t>https://www.facebook.com/lakesidebakerypalmbeach</t>
        </is>
      </c>
      <c r="J234" s="2" t="inlineStr"/>
      <c r="K234" s="2" t="inlineStr"/>
      <c r="L234" s="2" t="inlineStr">
        <is>
          <t>no website listed, only social media (verify on Google Maps)</t>
        </is>
      </c>
      <c r="M234" s="2" t="inlineStr">
        <is>
          <t>Hi Lakeside Bakery team! [one real detail from their page]. We're AceAds, a web design studio. We couldn't find a website for Lakeside Bakery, only your Facebook. We'd be happy to make you a free preview of what a website could look like. Want one? No cost, no obligation.</t>
        </is>
      </c>
      <c r="N234" s="4" t="inlineStr">
        <is>
          <t>Open map</t>
        </is>
      </c>
      <c r="O234" s="2" t="inlineStr">
        <is>
          <t>Not contacted</t>
        </is>
      </c>
      <c r="P234" s="2" t="inlineStr"/>
      <c r="Q234" s="2" t="inlineStr"/>
      <c r="R234" s="2" t="inlineStr"/>
      <c r="S234" s="2" t="inlineStr"/>
    </row>
    <row r="235">
      <c r="A235" s="2" t="n">
        <v>234</v>
      </c>
      <c r="B235" s="5" t="inlineStr">
        <is>
          <t>VERIFY FIRST</t>
        </is>
      </c>
      <c r="C235" s="2" t="inlineStr">
        <is>
          <t>No website found</t>
        </is>
      </c>
      <c r="D235" s="2" t="inlineStr">
        <is>
          <t>MR Bake</t>
        </is>
      </c>
      <c r="E235" s="2" t="inlineStr">
        <is>
          <t>bakery</t>
        </is>
      </c>
      <c r="F235" s="2" t="inlineStr">
        <is>
          <t>Gold Coast</t>
        </is>
      </c>
      <c r="G235" s="2" t="inlineStr">
        <is>
          <t>Facebook</t>
        </is>
      </c>
      <c r="H235" s="2" t="inlineStr"/>
      <c r="I235" s="4" t="inlineStr">
        <is>
          <t>https://www.facebook.com/hellomrbake/</t>
        </is>
      </c>
      <c r="J235" s="2" t="inlineStr">
        <is>
          <t>+61 419 917 489</t>
        </is>
      </c>
      <c r="K235" s="2" t="inlineStr"/>
      <c r="L235" s="2" t="inlineStr">
        <is>
          <t>no website listed, only social media (verify on Google Maps)</t>
        </is>
      </c>
      <c r="M235" s="2" t="inlineStr">
        <is>
          <t>Hi MR Bake team! [one real detail from their page]. We're AceAds, a web design studio. We couldn't find a website for MR Bake, only your Facebook. We'd be happy to make you a free preview of what a website could look like. Want one? No cost, no obligation.</t>
        </is>
      </c>
      <c r="N235" s="4" t="inlineStr">
        <is>
          <t>Open map</t>
        </is>
      </c>
      <c r="O235" s="2" t="inlineStr">
        <is>
          <t>Not contacted</t>
        </is>
      </c>
      <c r="P235" s="2" t="inlineStr"/>
      <c r="Q235" s="2" t="inlineStr"/>
      <c r="R235" s="2" t="inlineStr"/>
      <c r="S235" s="2" t="inlineStr"/>
    </row>
    <row r="236">
      <c r="A236" s="2" t="n">
        <v>235</v>
      </c>
      <c r="B236" s="5" t="inlineStr">
        <is>
          <t>VERIFY FIRST</t>
        </is>
      </c>
      <c r="C236" s="2" t="inlineStr">
        <is>
          <t>No website found</t>
        </is>
      </c>
      <c r="D236" s="2" t="inlineStr">
        <is>
          <t>Oriental Bakery</t>
        </is>
      </c>
      <c r="E236" s="2" t="inlineStr">
        <is>
          <t>bakery</t>
        </is>
      </c>
      <c r="F236" s="2" t="inlineStr">
        <is>
          <t>Gold Coast</t>
        </is>
      </c>
      <c r="G236" s="2" t="inlineStr">
        <is>
          <t>Facebook</t>
        </is>
      </c>
      <c r="H236" s="2" t="inlineStr"/>
      <c r="I236" s="4" t="inlineStr">
        <is>
          <t>https://www.facebook.com/TheOrientalBakery/</t>
        </is>
      </c>
      <c r="J236" s="2" t="inlineStr">
        <is>
          <t>+61 7 5578 5247</t>
        </is>
      </c>
      <c r="K236" s="2" t="inlineStr"/>
      <c r="L236" s="2" t="inlineStr">
        <is>
          <t>no website listed, only social media (verify on Google Maps)</t>
        </is>
      </c>
      <c r="M236" s="2" t="inlineStr">
        <is>
          <t>Hi Oriental Bakery team! [one real detail from their page]. We're AceAds, a web design studio. We couldn't find a website for Oriental Bakery, only your Facebook. We'd be happy to make you a free preview of what a website could look like. Want one? No cost, no obligation.</t>
        </is>
      </c>
      <c r="N236" s="4" t="inlineStr">
        <is>
          <t>Open map</t>
        </is>
      </c>
      <c r="O236" s="2" t="inlineStr">
        <is>
          <t>Not contacted</t>
        </is>
      </c>
      <c r="P236" s="2" t="inlineStr"/>
      <c r="Q236" s="2" t="inlineStr"/>
      <c r="R236" s="2" t="inlineStr"/>
      <c r="S236" s="2" t="inlineStr"/>
    </row>
    <row r="237">
      <c r="A237" s="2" t="n">
        <v>236</v>
      </c>
      <c r="B237" s="5" t="inlineStr">
        <is>
          <t>VERIFY FIRST</t>
        </is>
      </c>
      <c r="C237" s="2" t="inlineStr">
        <is>
          <t>No website found</t>
        </is>
      </c>
      <c r="D237" s="2" t="inlineStr">
        <is>
          <t>Pan 200 Daily Bakery</t>
        </is>
      </c>
      <c r="E237" s="2" t="inlineStr">
        <is>
          <t>bakery</t>
        </is>
      </c>
      <c r="F237" s="2" t="inlineStr">
        <is>
          <t>Gold Coast</t>
        </is>
      </c>
      <c r="G237" s="2" t="inlineStr">
        <is>
          <t>Facebook</t>
        </is>
      </c>
      <c r="H237" s="2" t="inlineStr"/>
      <c r="I237" s="4" t="inlineStr">
        <is>
          <t>https://www.facebook.com/people/Pan-200-Daily-Bakery/100077636797482/</t>
        </is>
      </c>
      <c r="J237" s="2" t="inlineStr">
        <is>
          <t>+61 468 745 122</t>
        </is>
      </c>
      <c r="K237" s="2" t="inlineStr"/>
      <c r="L237" s="2" t="inlineStr">
        <is>
          <t>no website listed, only social media (verify on Google Maps)</t>
        </is>
      </c>
      <c r="M237" s="2" t="inlineStr">
        <is>
          <t>Hi Pan 200 Daily Bakery team! [one real detail from their page]. We're AceAds, a web design studio. We couldn't find a website for Pan 200 Daily Bakery, only your Facebook. We'd be happy to make you a free preview of what a website could look like. Want one? No cost, no obligation.</t>
        </is>
      </c>
      <c r="N237" s="4" t="inlineStr">
        <is>
          <t>Open map</t>
        </is>
      </c>
      <c r="O237" s="2" t="inlineStr">
        <is>
          <t>Not contacted</t>
        </is>
      </c>
      <c r="P237" s="2" t="inlineStr"/>
      <c r="Q237" s="2" t="inlineStr"/>
      <c r="R237" s="2" t="inlineStr"/>
      <c r="S237" s="2" t="inlineStr"/>
    </row>
    <row r="238">
      <c r="A238" s="2" t="n">
        <v>237</v>
      </c>
      <c r="B238" s="5" t="inlineStr">
        <is>
          <t>VERIFY FIRST</t>
        </is>
      </c>
      <c r="C238" s="2" t="inlineStr">
        <is>
          <t>No website found</t>
        </is>
      </c>
      <c r="D238" s="2" t="inlineStr">
        <is>
          <t>Madocke Beer Brewing Co</t>
        </is>
      </c>
      <c r="E238" s="2" t="inlineStr">
        <is>
          <t>bar or pub</t>
        </is>
      </c>
      <c r="F238" s="2" t="inlineStr">
        <is>
          <t>Gold Coast</t>
        </is>
      </c>
      <c r="G238" s="2" t="inlineStr">
        <is>
          <t>Facebook</t>
        </is>
      </c>
      <c r="H238" s="2" t="inlineStr"/>
      <c r="I238" s="4" t="inlineStr">
        <is>
          <t>https://www.facebook.com/madockebeer/</t>
        </is>
      </c>
      <c r="J238" s="2" t="inlineStr"/>
      <c r="K238" s="2" t="inlineStr"/>
      <c r="L238" s="2" t="inlineStr">
        <is>
          <t>no website listed, only social media (verify on Google Maps)</t>
        </is>
      </c>
      <c r="M238" s="2" t="inlineStr">
        <is>
          <t>Hi Madocke Beer Brewing Co team! [one real detail from their page]. We're AceAds, a web design studio. We couldn't find a website for Madocke Beer Brewing Co, only your Facebook. We'd be happy to make you a free preview of what a website could look like. Want one? No cost, no obligation.</t>
        </is>
      </c>
      <c r="N238" s="4" t="inlineStr">
        <is>
          <t>Open map</t>
        </is>
      </c>
      <c r="O238" s="2" t="inlineStr">
        <is>
          <t>Not contacted</t>
        </is>
      </c>
      <c r="P238" s="2" t="inlineStr"/>
      <c r="Q238" s="2" t="inlineStr"/>
      <c r="R238" s="2" t="inlineStr"/>
      <c r="S238" s="2" t="inlineStr"/>
    </row>
    <row r="239">
      <c r="A239" s="2" t="n">
        <v>238</v>
      </c>
      <c r="B239" s="5" t="inlineStr">
        <is>
          <t>VERIFY FIRST</t>
        </is>
      </c>
      <c r="C239" s="2" t="inlineStr">
        <is>
          <t>No website found</t>
        </is>
      </c>
      <c r="D239" s="2" t="inlineStr">
        <is>
          <t>5th Avenue Hair</t>
        </is>
      </c>
      <c r="E239" s="2" t="inlineStr">
        <is>
          <t>barber or hairdresser</t>
        </is>
      </c>
      <c r="F239" s="2" t="inlineStr">
        <is>
          <t>Gold Coast</t>
        </is>
      </c>
      <c r="G239" s="2" t="inlineStr">
        <is>
          <t>Facebook</t>
        </is>
      </c>
      <c r="H239" s="2" t="inlineStr"/>
      <c r="I239" s="4" t="inlineStr">
        <is>
          <t>https://www.facebook.com/people/5th-Avenue-Hair-Palm-Beach/100090549709595/</t>
        </is>
      </c>
      <c r="J239" s="2" t="inlineStr"/>
      <c r="K239" s="2" t="inlineStr"/>
      <c r="L239" s="2" t="inlineStr">
        <is>
          <t>no website listed, only social media (verify on Google Maps)</t>
        </is>
      </c>
      <c r="M239" s="2" t="inlineStr">
        <is>
          <t>Hi 5th Avenue Hair team! [one real detail from their page]. We're AceAds, a web design studio. We couldn't find a website for 5th Avenue Hair, only your Facebook. We'd be happy to make you a free preview of what a website could look like. Want one? No cost, no obligation.</t>
        </is>
      </c>
      <c r="N239" s="4" t="inlineStr">
        <is>
          <t>Open map</t>
        </is>
      </c>
      <c r="O239" s="2" t="inlineStr">
        <is>
          <t>Not contacted</t>
        </is>
      </c>
      <c r="P239" s="2" t="inlineStr"/>
      <c r="Q239" s="2" t="inlineStr"/>
      <c r="R239" s="2" t="inlineStr"/>
      <c r="S239" s="2" t="inlineStr"/>
    </row>
    <row r="240">
      <c r="A240" s="2" t="n">
        <v>239</v>
      </c>
      <c r="B240" s="5" t="inlineStr">
        <is>
          <t>VERIFY FIRST</t>
        </is>
      </c>
      <c r="C240" s="2" t="inlineStr">
        <is>
          <t>No website found</t>
        </is>
      </c>
      <c r="D240" s="2" t="inlineStr">
        <is>
          <t>Barber &amp; Capelli Co</t>
        </is>
      </c>
      <c r="E240" s="2" t="inlineStr">
        <is>
          <t>barber or hairdresser</t>
        </is>
      </c>
      <c r="F240" s="2" t="inlineStr">
        <is>
          <t>Gold Coast</t>
        </is>
      </c>
      <c r="G240" s="2" t="inlineStr">
        <is>
          <t>Facebook</t>
        </is>
      </c>
      <c r="H240" s="2" t="inlineStr"/>
      <c r="I240" s="4" t="inlineStr">
        <is>
          <t>https://facebook.com/barberandcapelli</t>
        </is>
      </c>
      <c r="J240" s="2" t="inlineStr">
        <is>
          <t>+61 473 948 785</t>
        </is>
      </c>
      <c r="K240" s="2" t="inlineStr"/>
      <c r="L240" s="2" t="inlineStr">
        <is>
          <t>no website listed, only social media (verify on Google Maps)</t>
        </is>
      </c>
      <c r="M240" s="2" t="inlineStr">
        <is>
          <t>Hi Barber &amp; Capelli Co team! [one real detail from their page]. We're AceAds, a web design studio. We couldn't find a website for Barber &amp; Capelli Co, only your Facebook. We'd be happy to make you a free preview of what a website could look like. Want one? No cost, no obligation.</t>
        </is>
      </c>
      <c r="N240" s="4" t="inlineStr">
        <is>
          <t>Open map</t>
        </is>
      </c>
      <c r="O240" s="2" t="inlineStr">
        <is>
          <t>Not contacted</t>
        </is>
      </c>
      <c r="P240" s="2" t="inlineStr"/>
      <c r="Q240" s="2" t="inlineStr"/>
      <c r="R240" s="2" t="inlineStr"/>
      <c r="S240" s="2" t="inlineStr"/>
    </row>
    <row r="241">
      <c r="A241" s="2" t="n">
        <v>240</v>
      </c>
      <c r="B241" s="5" t="inlineStr">
        <is>
          <t>VERIFY FIRST</t>
        </is>
      </c>
      <c r="C241" s="2" t="inlineStr">
        <is>
          <t>No website found</t>
        </is>
      </c>
      <c r="D241" s="2" t="inlineStr">
        <is>
          <t>Bimbos Hair</t>
        </is>
      </c>
      <c r="E241" s="2" t="inlineStr">
        <is>
          <t>barber or hairdresser</t>
        </is>
      </c>
      <c r="F241" s="2" t="inlineStr">
        <is>
          <t>Gold Coast</t>
        </is>
      </c>
      <c r="G241" s="2" t="inlineStr">
        <is>
          <t>Instagram</t>
        </is>
      </c>
      <c r="H241" s="4" t="inlineStr">
        <is>
          <t>https://www.instagram.com/bimbos.gc/</t>
        </is>
      </c>
      <c r="I241" s="4" t="inlineStr">
        <is>
          <t>https://www.facebook.com/p/Blondie-hair-co-100078309943317/</t>
        </is>
      </c>
      <c r="J241" s="2" t="inlineStr">
        <is>
          <t>+61 7 5598 2355</t>
        </is>
      </c>
      <c r="K241" s="2" t="inlineStr"/>
      <c r="L241" s="2" t="inlineStr">
        <is>
          <t>no website listed, only social media (verify on Google Maps)</t>
        </is>
      </c>
      <c r="M241" s="2" t="inlineStr">
        <is>
          <t>Hi Bimbos Hair team! [one real detail from their page]. We're AceAds, a web design studio. We couldn't find a website for Bimbos Hair, only your Instagram. We'd be happy to make you a free preview of what a website could look like. Want one? No cost, no obligation.</t>
        </is>
      </c>
      <c r="N241" s="4" t="inlineStr">
        <is>
          <t>Open map</t>
        </is>
      </c>
      <c r="O241" s="2" t="inlineStr">
        <is>
          <t>Not contacted</t>
        </is>
      </c>
      <c r="P241" s="2" t="inlineStr"/>
      <c r="Q241" s="2" t="inlineStr"/>
      <c r="R241" s="2" t="inlineStr"/>
      <c r="S241" s="2" t="inlineStr"/>
    </row>
    <row r="242">
      <c r="A242" s="2" t="n">
        <v>241</v>
      </c>
      <c r="B242" s="5" t="inlineStr">
        <is>
          <t>VERIFY FIRST</t>
        </is>
      </c>
      <c r="C242" s="2" t="inlineStr">
        <is>
          <t>No website found</t>
        </is>
      </c>
      <c r="D242" s="2" t="inlineStr">
        <is>
          <t>Brazabarber</t>
        </is>
      </c>
      <c r="E242" s="2" t="inlineStr">
        <is>
          <t>barber or hairdresser</t>
        </is>
      </c>
      <c r="F242" s="2" t="inlineStr">
        <is>
          <t>Gold Coast</t>
        </is>
      </c>
      <c r="G242" s="2" t="inlineStr">
        <is>
          <t>Facebook</t>
        </is>
      </c>
      <c r="H242" s="2" t="inlineStr"/>
      <c r="I242" s="4" t="inlineStr">
        <is>
          <t>https://www.facebook.com/brazabarbergc/about/</t>
        </is>
      </c>
      <c r="J242" s="2" t="inlineStr">
        <is>
          <t>+61 412 399 950</t>
        </is>
      </c>
      <c r="K242" s="2" t="inlineStr"/>
      <c r="L242" s="2" t="inlineStr">
        <is>
          <t>no website listed, only social media (verify on Google Maps)</t>
        </is>
      </c>
      <c r="M242" s="2" t="inlineStr">
        <is>
          <t>Hi Brazabarber team! [one real detail from their page]. We're AceAds, a web design studio. We couldn't find a website for Brazabarber, only your Facebook. We'd be happy to make you a free preview of what a website could look like. Want one? No cost, no obligation.</t>
        </is>
      </c>
      <c r="N242" s="4" t="inlineStr">
        <is>
          <t>Open map</t>
        </is>
      </c>
      <c r="O242" s="2" t="inlineStr">
        <is>
          <t>Not contacted</t>
        </is>
      </c>
      <c r="P242" s="2" t="inlineStr"/>
      <c r="Q242" s="2" t="inlineStr"/>
      <c r="R242" s="2" t="inlineStr"/>
      <c r="S242" s="2" t="inlineStr"/>
    </row>
    <row r="243">
      <c r="A243" s="2" t="n">
        <v>242</v>
      </c>
      <c r="B243" s="5" t="inlineStr">
        <is>
          <t>VERIFY FIRST</t>
        </is>
      </c>
      <c r="C243" s="2" t="inlineStr">
        <is>
          <t>No website found</t>
        </is>
      </c>
      <c r="D243" s="2" t="inlineStr">
        <is>
          <t>Colour Nation</t>
        </is>
      </c>
      <c r="E243" s="2" t="inlineStr">
        <is>
          <t>barber or hairdresser</t>
        </is>
      </c>
      <c r="F243" s="2" t="inlineStr">
        <is>
          <t>Gold Coast</t>
        </is>
      </c>
      <c r="G243" s="2" t="inlineStr">
        <is>
          <t>Facebook</t>
        </is>
      </c>
      <c r="H243" s="2" t="inlineStr"/>
      <c r="I243" s="4" t="inlineStr">
        <is>
          <t>https://www.facebook.com/colournationpalmbeach/</t>
        </is>
      </c>
      <c r="J243" s="2" t="inlineStr">
        <is>
          <t>+61 7 5525 6444</t>
        </is>
      </c>
      <c r="K243" s="2" t="inlineStr"/>
      <c r="L243" s="2" t="inlineStr">
        <is>
          <t>no website listed, only social media (verify on Google Maps)</t>
        </is>
      </c>
      <c r="M243" s="2" t="inlineStr">
        <is>
          <t>Hi Colour Nation team! [one real detail from their page]. We're AceAds, a web design studio. We couldn't find a website for Colour Nation, only your Facebook. We'd be happy to make you a free preview of what a website could look like. Want one? No cost, no obligation.</t>
        </is>
      </c>
      <c r="N243" s="4" t="inlineStr">
        <is>
          <t>Open map</t>
        </is>
      </c>
      <c r="O243" s="2" t="inlineStr">
        <is>
          <t>Not contacted</t>
        </is>
      </c>
      <c r="P243" s="2" t="inlineStr"/>
      <c r="Q243" s="2" t="inlineStr"/>
      <c r="R243" s="2" t="inlineStr"/>
      <c r="S243" s="2" t="inlineStr"/>
    </row>
    <row r="244">
      <c r="A244" s="2" t="n">
        <v>243</v>
      </c>
      <c r="B244" s="5" t="inlineStr">
        <is>
          <t>VERIFY FIRST</t>
        </is>
      </c>
      <c r="C244" s="2" t="inlineStr">
        <is>
          <t>No website found</t>
        </is>
      </c>
      <c r="D244" s="2" t="inlineStr">
        <is>
          <t>Get Smart Hair Body &amp; Soul</t>
        </is>
      </c>
      <c r="E244" s="2" t="inlineStr">
        <is>
          <t>barber or hairdresser</t>
        </is>
      </c>
      <c r="F244" s="2" t="inlineStr">
        <is>
          <t>Gold Coast</t>
        </is>
      </c>
      <c r="G244" s="2" t="inlineStr">
        <is>
          <t>Facebook</t>
        </is>
      </c>
      <c r="H244" s="2" t="inlineStr"/>
      <c r="I244" s="4" t="inlineStr">
        <is>
          <t>https://www.facebook.com/getsmarthairbodysoul/</t>
        </is>
      </c>
      <c r="J244" s="2" t="inlineStr">
        <is>
          <t>+61 7 5576 1770</t>
        </is>
      </c>
      <c r="K244" s="2" t="inlineStr"/>
      <c r="L244" s="2" t="inlineStr">
        <is>
          <t>no website listed, only social media (verify on Google Maps)</t>
        </is>
      </c>
      <c r="M244" s="2" t="inlineStr">
        <is>
          <t>Hi Get Smart Hair Body &amp; Soul team! [one real detail from their page]. We're AceAds, a web design studio. We couldn't find a website for Get Smart Hair Body &amp; Soul, only your Facebook. We'd be happy to make you a free preview of what a website could look like. Want one? No cost, no obligation.</t>
        </is>
      </c>
      <c r="N244" s="4" t="inlineStr">
        <is>
          <t>Open map</t>
        </is>
      </c>
      <c r="O244" s="2" t="inlineStr">
        <is>
          <t>Not contacted</t>
        </is>
      </c>
      <c r="P244" s="2" t="inlineStr"/>
      <c r="Q244" s="2" t="inlineStr"/>
      <c r="R244" s="2" t="inlineStr"/>
      <c r="S244" s="2" t="inlineStr"/>
    </row>
    <row r="245">
      <c r="A245" s="2" t="n">
        <v>244</v>
      </c>
      <c r="B245" s="5" t="inlineStr">
        <is>
          <t>VERIFY FIRST</t>
        </is>
      </c>
      <c r="C245" s="2" t="inlineStr">
        <is>
          <t>No website found</t>
        </is>
      </c>
      <c r="D245" s="2" t="inlineStr">
        <is>
          <t>Hair Affair</t>
        </is>
      </c>
      <c r="E245" s="2" t="inlineStr">
        <is>
          <t>barber or hairdresser</t>
        </is>
      </c>
      <c r="F245" s="2" t="inlineStr">
        <is>
          <t>Gold Coast</t>
        </is>
      </c>
      <c r="G245" s="2" t="inlineStr">
        <is>
          <t>Facebook</t>
        </is>
      </c>
      <c r="H245" s="2" t="inlineStr"/>
      <c r="I245" s="4" t="inlineStr">
        <is>
          <t>https://www.facebook.com/HairAffairBurleigh/</t>
        </is>
      </c>
      <c r="J245" s="2" t="inlineStr">
        <is>
          <t>+61 7 5535 2405</t>
        </is>
      </c>
      <c r="K245" s="2" t="inlineStr"/>
      <c r="L245" s="2" t="inlineStr">
        <is>
          <t>no website listed, only social media (verify on Google Maps)</t>
        </is>
      </c>
      <c r="M245" s="2" t="inlineStr">
        <is>
          <t>Hi Hair Affair team! [one real detail from their page]. We're AceAds, a web design studio. We couldn't find a website for Hair Affair, only your Facebook. We'd be happy to make you a free preview of what a website could look like. Want one? No cost, no obligation.</t>
        </is>
      </c>
      <c r="N245" s="4" t="inlineStr">
        <is>
          <t>Open map</t>
        </is>
      </c>
      <c r="O245" s="2" t="inlineStr">
        <is>
          <t>Not contacted</t>
        </is>
      </c>
      <c r="P245" s="2" t="inlineStr"/>
      <c r="Q245" s="2" t="inlineStr"/>
      <c r="R245" s="2" t="inlineStr"/>
      <c r="S245" s="2" t="inlineStr"/>
    </row>
    <row r="246">
      <c r="A246" s="2" t="n">
        <v>245</v>
      </c>
      <c r="B246" s="5" t="inlineStr">
        <is>
          <t>VERIFY FIRST</t>
        </is>
      </c>
      <c r="C246" s="2" t="inlineStr">
        <is>
          <t>No website found</t>
        </is>
      </c>
      <c r="D246" s="2" t="inlineStr">
        <is>
          <t>Hair by Serena</t>
        </is>
      </c>
      <c r="E246" s="2" t="inlineStr">
        <is>
          <t>barber or hairdresser</t>
        </is>
      </c>
      <c r="F246" s="2" t="inlineStr">
        <is>
          <t>Gold Coast</t>
        </is>
      </c>
      <c r="G246" s="2" t="inlineStr">
        <is>
          <t>Facebook</t>
        </is>
      </c>
      <c r="H246" s="2" t="inlineStr"/>
      <c r="I246" s="4" t="inlineStr">
        <is>
          <t>https://www.facebook.com/hairbyserena.goldcoast/</t>
        </is>
      </c>
      <c r="J246" s="2" t="inlineStr">
        <is>
          <t>+61 424 517 323</t>
        </is>
      </c>
      <c r="K246" s="2" t="inlineStr"/>
      <c r="L246" s="2" t="inlineStr">
        <is>
          <t>no website listed, only social media (verify on Google Maps)</t>
        </is>
      </c>
      <c r="M246" s="2" t="inlineStr">
        <is>
          <t>Hi Hair by Serena team! [one real detail from their page]. We're AceAds, a web design studio. We couldn't find a website for Hair by Serena, only your Facebook. We'd be happy to make you a free preview of what a website could look like. Want one? No cost, no obligation.</t>
        </is>
      </c>
      <c r="N246" s="4" t="inlineStr">
        <is>
          <t>Open map</t>
        </is>
      </c>
      <c r="O246" s="2" t="inlineStr">
        <is>
          <t>Not contacted</t>
        </is>
      </c>
      <c r="P246" s="2" t="inlineStr"/>
      <c r="Q246" s="2" t="inlineStr"/>
      <c r="R246" s="2" t="inlineStr"/>
      <c r="S246" s="2" t="inlineStr"/>
    </row>
    <row r="247">
      <c r="A247" s="2" t="n">
        <v>246</v>
      </c>
      <c r="B247" s="5" t="inlineStr">
        <is>
          <t>VERIFY FIRST</t>
        </is>
      </c>
      <c r="C247" s="2" t="inlineStr">
        <is>
          <t>No website found</t>
        </is>
      </c>
      <c r="D247" s="2" t="inlineStr">
        <is>
          <t>Intro Hairdressing</t>
        </is>
      </c>
      <c r="E247" s="2" t="inlineStr">
        <is>
          <t>barber or hairdresser</t>
        </is>
      </c>
      <c r="F247" s="2" t="inlineStr">
        <is>
          <t>Gold Coast</t>
        </is>
      </c>
      <c r="G247" s="2" t="inlineStr">
        <is>
          <t>Facebook</t>
        </is>
      </c>
      <c r="H247" s="2" t="inlineStr"/>
      <c r="I247" s="4" t="inlineStr">
        <is>
          <t>https://www.facebook.com/Intro-Hair-Burleigh-1626887570895425/</t>
        </is>
      </c>
      <c r="J247" s="2" t="inlineStr">
        <is>
          <t>+61 7 5535 6625</t>
        </is>
      </c>
      <c r="K247" s="2" t="inlineStr"/>
      <c r="L247" s="2" t="inlineStr">
        <is>
          <t>no website listed, only social media (verify on Google Maps)</t>
        </is>
      </c>
      <c r="M247" s="2" t="inlineStr">
        <is>
          <t>Hi Intro Hairdressing team! [one real detail from their page]. We're AceAds, a web design studio. We couldn't find a website for Intro Hairdressing, only your Facebook. We'd be happy to make you a free preview of what a website could look like. Want one? No cost, no obligation.</t>
        </is>
      </c>
      <c r="N247" s="4" t="inlineStr">
        <is>
          <t>Open map</t>
        </is>
      </c>
      <c r="O247" s="2" t="inlineStr">
        <is>
          <t>Not contacted</t>
        </is>
      </c>
      <c r="P247" s="2" t="inlineStr"/>
      <c r="Q247" s="2" t="inlineStr"/>
      <c r="R247" s="2" t="inlineStr"/>
      <c r="S247" s="2" t="inlineStr"/>
    </row>
    <row r="248">
      <c r="A248" s="2" t="n">
        <v>247</v>
      </c>
      <c r="B248" s="5" t="inlineStr">
        <is>
          <t>VERIFY FIRST</t>
        </is>
      </c>
      <c r="C248" s="2" t="inlineStr">
        <is>
          <t>No website found</t>
        </is>
      </c>
      <c r="D248" s="2" t="inlineStr">
        <is>
          <t>Jeannie's Barber Shop</t>
        </is>
      </c>
      <c r="E248" s="2" t="inlineStr">
        <is>
          <t>barber or hairdresser</t>
        </is>
      </c>
      <c r="F248" s="2" t="inlineStr">
        <is>
          <t>Gold Coast</t>
        </is>
      </c>
      <c r="G248" s="2" t="inlineStr">
        <is>
          <t>Facebook</t>
        </is>
      </c>
      <c r="H248" s="2" t="inlineStr"/>
      <c r="I248" s="4" t="inlineStr">
        <is>
          <t>https://www.facebook.com/jeanniesbarbershop/</t>
        </is>
      </c>
      <c r="J248" s="2" t="inlineStr">
        <is>
          <t>+61 427 019 157</t>
        </is>
      </c>
      <c r="K248" s="2" t="inlineStr"/>
      <c r="L248" s="2" t="inlineStr">
        <is>
          <t>no website listed, only social media (verify on Google Maps)</t>
        </is>
      </c>
      <c r="M248" s="2" t="inlineStr">
        <is>
          <t>Hi Jeannie's Barber Shop team! [one real detail from their page]. We're AceAds, a web design studio. We couldn't find a website for Jeannie's Barber Shop, only your Facebook. We'd be happy to make you a free preview of what a website could look like. Want one? No cost, no obligation.</t>
        </is>
      </c>
      <c r="N248" s="4" t="inlineStr">
        <is>
          <t>Open map</t>
        </is>
      </c>
      <c r="O248" s="2" t="inlineStr">
        <is>
          <t>Not contacted</t>
        </is>
      </c>
      <c r="P248" s="2" t="inlineStr"/>
      <c r="Q248" s="2" t="inlineStr"/>
      <c r="R248" s="2" t="inlineStr"/>
      <c r="S248" s="2" t="inlineStr"/>
    </row>
    <row r="249">
      <c r="A249" s="2" t="n">
        <v>248</v>
      </c>
      <c r="B249" s="5" t="inlineStr">
        <is>
          <t>VERIFY FIRST</t>
        </is>
      </c>
      <c r="C249" s="2" t="inlineStr">
        <is>
          <t>No website found</t>
        </is>
      </c>
      <c r="D249" s="2" t="inlineStr">
        <is>
          <t>Keli's Kuts</t>
        </is>
      </c>
      <c r="E249" s="2" t="inlineStr">
        <is>
          <t>barber or hairdresser</t>
        </is>
      </c>
      <c r="F249" s="2" t="inlineStr">
        <is>
          <t>Gold Coast</t>
        </is>
      </c>
      <c r="G249" s="2" t="inlineStr">
        <is>
          <t>Facebook</t>
        </is>
      </c>
      <c r="H249" s="2" t="inlineStr"/>
      <c r="I249" s="4" t="inlineStr">
        <is>
          <t>https://www.facebook.com/KelisKutz/</t>
        </is>
      </c>
      <c r="J249" s="2" t="inlineStr">
        <is>
          <t>+61 7 5554 6969</t>
        </is>
      </c>
      <c r="K249" s="2" t="inlineStr"/>
      <c r="L249" s="2" t="inlineStr">
        <is>
          <t>no website listed, only social media (verify on Google Maps)</t>
        </is>
      </c>
      <c r="M249" s="2" t="inlineStr">
        <is>
          <t>Hi Keli's Kuts team! [one real detail from their page]. We're AceAds, a web design studio. We couldn't find a website for Keli's Kuts, only your Facebook. We'd be happy to make you a free preview of what a website could look like. Want one? No cost, no obligation.</t>
        </is>
      </c>
      <c r="N249" s="4" t="inlineStr">
        <is>
          <t>Open map</t>
        </is>
      </c>
      <c r="O249" s="2" t="inlineStr">
        <is>
          <t>Not contacted</t>
        </is>
      </c>
      <c r="P249" s="2" t="inlineStr"/>
      <c r="Q249" s="2" t="inlineStr"/>
      <c r="R249" s="2" t="inlineStr"/>
      <c r="S249" s="2" t="inlineStr"/>
    </row>
    <row r="250">
      <c r="A250" s="2" t="n">
        <v>249</v>
      </c>
      <c r="B250" s="5" t="inlineStr">
        <is>
          <t>VERIFY FIRST</t>
        </is>
      </c>
      <c r="C250" s="2" t="inlineStr">
        <is>
          <t>No website found</t>
        </is>
      </c>
      <c r="D250" s="2" t="inlineStr">
        <is>
          <t>Love is in the hair</t>
        </is>
      </c>
      <c r="E250" s="2" t="inlineStr">
        <is>
          <t>barber or hairdresser</t>
        </is>
      </c>
      <c r="F250" s="2" t="inlineStr">
        <is>
          <t>Gold Coast</t>
        </is>
      </c>
      <c r="G250" s="2" t="inlineStr">
        <is>
          <t>Facebook</t>
        </is>
      </c>
      <c r="H250" s="2" t="inlineStr"/>
      <c r="I250" s="4" t="inlineStr">
        <is>
          <t>https://www.facebook.com/loveisinthehairhairsalon/</t>
        </is>
      </c>
      <c r="J250" s="2" t="inlineStr">
        <is>
          <t>+61 429 828 254</t>
        </is>
      </c>
      <c r="K250" s="2" t="inlineStr"/>
      <c r="L250" s="2" t="inlineStr">
        <is>
          <t>no website listed, only social media (verify on Google Maps)</t>
        </is>
      </c>
      <c r="M250" s="2" t="inlineStr">
        <is>
          <t>Hi Love is in the hair team! [one real detail from their page]. We're AceAds, a web design studio. We couldn't find a website for Love is in the hair, only your Facebook. We'd be happy to make you a free preview of what a website could look like. Want one? No cost, no obligation.</t>
        </is>
      </c>
      <c r="N250" s="4" t="inlineStr">
        <is>
          <t>Open map</t>
        </is>
      </c>
      <c r="O250" s="2" t="inlineStr">
        <is>
          <t>Not contacted</t>
        </is>
      </c>
      <c r="P250" s="2" t="inlineStr"/>
      <c r="Q250" s="2" t="inlineStr"/>
      <c r="R250" s="2" t="inlineStr"/>
      <c r="S250" s="2" t="inlineStr"/>
    </row>
    <row r="251">
      <c r="A251" s="2" t="n">
        <v>250</v>
      </c>
      <c r="B251" s="5" t="inlineStr">
        <is>
          <t>VERIFY FIRST</t>
        </is>
      </c>
      <c r="C251" s="2" t="inlineStr">
        <is>
          <t>No website found</t>
        </is>
      </c>
      <c r="D251" s="2" t="inlineStr">
        <is>
          <t>Newlengths Hairdressing</t>
        </is>
      </c>
      <c r="E251" s="2" t="inlineStr">
        <is>
          <t>barber or hairdresser</t>
        </is>
      </c>
      <c r="F251" s="2" t="inlineStr">
        <is>
          <t>Gold Coast</t>
        </is>
      </c>
      <c r="G251" s="2" t="inlineStr">
        <is>
          <t>Facebook</t>
        </is>
      </c>
      <c r="H251" s="2" t="inlineStr"/>
      <c r="I251" s="4" t="inlineStr">
        <is>
          <t>https://www.facebook.com/NewlengthsNobbyBeach/</t>
        </is>
      </c>
      <c r="J251" s="2" t="inlineStr">
        <is>
          <t>+61 427 201 006</t>
        </is>
      </c>
      <c r="K251" s="2" t="inlineStr"/>
      <c r="L251" s="2" t="inlineStr">
        <is>
          <t>no website listed, only social media (verify on Google Maps)</t>
        </is>
      </c>
      <c r="M251" s="2" t="inlineStr">
        <is>
          <t>Hi Newlengths Hairdressing team! [one real detail from their page]. We're AceAds, a web design studio. We couldn't find a website for Newlengths Hairdressing, only your Facebook. We'd be happy to make you a free preview of what a website could look like. Want one? No cost, no obligation.</t>
        </is>
      </c>
      <c r="N251" s="4" t="inlineStr">
        <is>
          <t>Open map</t>
        </is>
      </c>
      <c r="O251" s="2" t="inlineStr">
        <is>
          <t>Not contacted</t>
        </is>
      </c>
      <c r="P251" s="2" t="inlineStr"/>
      <c r="Q251" s="2" t="inlineStr"/>
      <c r="R251" s="2" t="inlineStr"/>
      <c r="S251" s="2" t="inlineStr"/>
    </row>
    <row r="252">
      <c r="A252" s="2" t="n">
        <v>251</v>
      </c>
      <c r="B252" s="5" t="inlineStr">
        <is>
          <t>VERIFY FIRST</t>
        </is>
      </c>
      <c r="C252" s="2" t="inlineStr">
        <is>
          <t>No website found</t>
        </is>
      </c>
      <c r="D252" s="2" t="inlineStr">
        <is>
          <t>Old Wiley's Barbershop</t>
        </is>
      </c>
      <c r="E252" s="2" t="inlineStr">
        <is>
          <t>barber or hairdresser</t>
        </is>
      </c>
      <c r="F252" s="2" t="inlineStr">
        <is>
          <t>Gold Coast</t>
        </is>
      </c>
      <c r="G252" s="2" t="inlineStr">
        <is>
          <t>Facebook</t>
        </is>
      </c>
      <c r="H252" s="2" t="inlineStr"/>
      <c r="I252" s="4" t="inlineStr">
        <is>
          <t>https://www.facebook.com/p/Old-Wileys-Barbershop-100063607865296/</t>
        </is>
      </c>
      <c r="J252" s="2" t="inlineStr"/>
      <c r="K252" s="2" t="inlineStr"/>
      <c r="L252" s="2" t="inlineStr">
        <is>
          <t>no website listed, only social media (verify on Google Maps)</t>
        </is>
      </c>
      <c r="M252" s="2" t="inlineStr">
        <is>
          <t>Hi Old Wiley's Barbershop team! [one real detail from their page]. We're AceAds, a web design studio. We couldn't find a website for Old Wiley's Barbershop, only your Facebook. We'd be happy to make you a free preview of what a website could look like. Want one? No cost, no obligation.</t>
        </is>
      </c>
      <c r="N252" s="4" t="inlineStr">
        <is>
          <t>Open map</t>
        </is>
      </c>
      <c r="O252" s="2" t="inlineStr">
        <is>
          <t>Not contacted</t>
        </is>
      </c>
      <c r="P252" s="2" t="inlineStr"/>
      <c r="Q252" s="2" t="inlineStr"/>
      <c r="R252" s="2" t="inlineStr"/>
      <c r="S252" s="2" t="inlineStr"/>
    </row>
    <row r="253">
      <c r="A253" s="2" t="n">
        <v>252</v>
      </c>
      <c r="B253" s="5" t="inlineStr">
        <is>
          <t>VERIFY FIRST</t>
        </is>
      </c>
      <c r="C253" s="2" t="inlineStr">
        <is>
          <t>No website found</t>
        </is>
      </c>
      <c r="D253" s="2" t="inlineStr">
        <is>
          <t>Rachael's Hair Studio</t>
        </is>
      </c>
      <c r="E253" s="2" t="inlineStr">
        <is>
          <t>barber or hairdresser</t>
        </is>
      </c>
      <c r="F253" s="2" t="inlineStr">
        <is>
          <t>Gold Coast</t>
        </is>
      </c>
      <c r="G253" s="2" t="inlineStr">
        <is>
          <t>Facebook</t>
        </is>
      </c>
      <c r="H253" s="2" t="inlineStr"/>
      <c r="I253" s="4" t="inlineStr">
        <is>
          <t>https://www.facebook.com/profile.php?id=100063804390042</t>
        </is>
      </c>
      <c r="J253" s="2" t="inlineStr">
        <is>
          <t>+61 7 5536 2737</t>
        </is>
      </c>
      <c r="K253" s="2" t="inlineStr"/>
      <c r="L253" s="2" t="inlineStr">
        <is>
          <t>no website listed, only social media (verify on Google Maps)</t>
        </is>
      </c>
      <c r="M253" s="2" t="inlineStr">
        <is>
          <t>Hi Rachael's Hair Studio team! [one real detail from their page]. We're AceAds, a web design studio. We couldn't find a website for Rachael's Hair Studio, only your Facebook. We'd be happy to make you a free preview of what a website could look like. Want one? No cost, no obligation.</t>
        </is>
      </c>
      <c r="N253" s="4" t="inlineStr">
        <is>
          <t>Open map</t>
        </is>
      </c>
      <c r="O253" s="2" t="inlineStr">
        <is>
          <t>Not contacted</t>
        </is>
      </c>
      <c r="P253" s="2" t="inlineStr"/>
      <c r="Q253" s="2" t="inlineStr"/>
      <c r="R253" s="2" t="inlineStr"/>
      <c r="S253" s="2" t="inlineStr"/>
    </row>
    <row r="254">
      <c r="A254" s="2" t="n">
        <v>253</v>
      </c>
      <c r="B254" s="5" t="inlineStr">
        <is>
          <t>VERIFY FIRST</t>
        </is>
      </c>
      <c r="C254" s="2" t="inlineStr">
        <is>
          <t>No website found</t>
        </is>
      </c>
      <c r="D254" s="2" t="inlineStr">
        <is>
          <t>Saltydogs Barber Shop</t>
        </is>
      </c>
      <c r="E254" s="2" t="inlineStr">
        <is>
          <t>barber or hairdresser</t>
        </is>
      </c>
      <c r="F254" s="2" t="inlineStr">
        <is>
          <t>Gold Coast</t>
        </is>
      </c>
      <c r="G254" s="2" t="inlineStr">
        <is>
          <t>Facebook</t>
        </is>
      </c>
      <c r="H254" s="2" t="inlineStr"/>
      <c r="I254" s="4" t="inlineStr">
        <is>
          <t>https://www.facebook.com/people/Salty-dogs-barber-shop/100050556597140/</t>
        </is>
      </c>
      <c r="J254" s="2" t="inlineStr">
        <is>
          <t>+61 414 825 368</t>
        </is>
      </c>
      <c r="K254" s="2" t="inlineStr"/>
      <c r="L254" s="2" t="inlineStr">
        <is>
          <t>no website listed, only social media (verify on Google Maps)</t>
        </is>
      </c>
      <c r="M254" s="2" t="inlineStr">
        <is>
          <t>Hi Saltydogs Barber Shop team! [one real detail from their page]. We're AceAds, a web design studio. We couldn't find a website for Saltydogs Barber Shop, only your Facebook. We'd be happy to make you a free preview of what a website could look like. Want one? No cost, no obligation.</t>
        </is>
      </c>
      <c r="N254" s="4" t="inlineStr">
        <is>
          <t>Open map</t>
        </is>
      </c>
      <c r="O254" s="2" t="inlineStr">
        <is>
          <t>Not contacted</t>
        </is>
      </c>
      <c r="P254" s="2" t="inlineStr"/>
      <c r="Q254" s="2" t="inlineStr"/>
      <c r="R254" s="2" t="inlineStr"/>
      <c r="S254" s="2" t="inlineStr"/>
    </row>
    <row r="255">
      <c r="A255" s="2" t="n">
        <v>254</v>
      </c>
      <c r="B255" s="5" t="inlineStr">
        <is>
          <t>VERIFY FIRST</t>
        </is>
      </c>
      <c r="C255" s="2" t="inlineStr">
        <is>
          <t>No website found</t>
        </is>
      </c>
      <c r="D255" s="2" t="inlineStr">
        <is>
          <t>Style Addict</t>
        </is>
      </c>
      <c r="E255" s="2" t="inlineStr">
        <is>
          <t>barber or hairdresser</t>
        </is>
      </c>
      <c r="F255" s="2" t="inlineStr">
        <is>
          <t>Gold Coast</t>
        </is>
      </c>
      <c r="G255" s="2" t="inlineStr">
        <is>
          <t>Instagram</t>
        </is>
      </c>
      <c r="H255" s="4" t="inlineStr">
        <is>
          <t>https://www.instagram.com/styleaddict_hairmastery/?hl=en</t>
        </is>
      </c>
      <c r="I255" s="2" t="inlineStr"/>
      <c r="J255" s="2" t="inlineStr"/>
      <c r="K255" s="2" t="inlineStr"/>
      <c r="L255" s="2" t="inlineStr">
        <is>
          <t>no website listed, only social media (verify on Google Maps)</t>
        </is>
      </c>
      <c r="M255" s="2" t="inlineStr">
        <is>
          <t>Hi Style Addict team! [one real detail from their page]. We're AceAds, a web design studio. We couldn't find a website for Style Addict, only your Instagram. We'd be happy to make you a free preview of what a website could look like. Want one? No cost, no obligation.</t>
        </is>
      </c>
      <c r="N255" s="4" t="inlineStr">
        <is>
          <t>Open map</t>
        </is>
      </c>
      <c r="O255" s="2" t="inlineStr">
        <is>
          <t>Not contacted</t>
        </is>
      </c>
      <c r="P255" s="2" t="inlineStr"/>
      <c r="Q255" s="2" t="inlineStr"/>
      <c r="R255" s="2" t="inlineStr"/>
      <c r="S255" s="2" t="inlineStr"/>
    </row>
    <row r="256">
      <c r="A256" s="2" t="n">
        <v>255</v>
      </c>
      <c r="B256" s="5" t="inlineStr">
        <is>
          <t>VERIFY FIRST</t>
        </is>
      </c>
      <c r="C256" s="2" t="inlineStr">
        <is>
          <t>Site shows an error</t>
        </is>
      </c>
      <c r="D256" s="2" t="inlineStr">
        <is>
          <t>This studio&amp;co</t>
        </is>
      </c>
      <c r="E256" s="2" t="inlineStr">
        <is>
          <t>barber or hairdresser</t>
        </is>
      </c>
      <c r="F256" s="2" t="inlineStr">
        <is>
          <t>Gold Coast</t>
        </is>
      </c>
      <c r="G256" s="2" t="inlineStr">
        <is>
          <t>Instagram</t>
        </is>
      </c>
      <c r="H256" s="4" t="inlineStr">
        <is>
          <t>https://instagram.com/this.studioandco</t>
        </is>
      </c>
      <c r="I256" s="4" t="inlineStr">
        <is>
          <t>https://facebook.com/this.studioandco</t>
        </is>
      </c>
      <c r="J256" s="2" t="inlineStr">
        <is>
          <t>+61 402 100 721</t>
        </is>
      </c>
      <c r="K256" s="4" t="inlineStr">
        <is>
          <t>https://thisstudioandco.com.au</t>
        </is>
      </c>
      <c r="L256" s="2" t="inlineStr">
        <is>
          <t>homepage shows an error page (HTTP 404)</t>
        </is>
      </c>
      <c r="M256" s="2" t="inlineStr">
        <is>
          <t>Hi This studio&amp;co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256" s="4" t="inlineStr">
        <is>
          <t>Open map</t>
        </is>
      </c>
      <c r="O256" s="2" t="inlineStr">
        <is>
          <t>Not contacted</t>
        </is>
      </c>
      <c r="P256" s="2" t="inlineStr"/>
      <c r="Q256" s="2" t="inlineStr"/>
      <c r="R256" s="2" t="inlineStr"/>
      <c r="S256" s="2" t="inlineStr"/>
    </row>
    <row r="257">
      <c r="A257" s="2" t="n">
        <v>256</v>
      </c>
      <c r="B257" s="5" t="inlineStr">
        <is>
          <t>VERIFY FIRST</t>
        </is>
      </c>
      <c r="C257" s="2" t="inlineStr">
        <is>
          <t>No website found</t>
        </is>
      </c>
      <c r="D257" s="2" t="inlineStr">
        <is>
          <t>Zina Hair Studio</t>
        </is>
      </c>
      <c r="E257" s="2" t="inlineStr">
        <is>
          <t>barber or hairdresser</t>
        </is>
      </c>
      <c r="F257" s="2" t="inlineStr">
        <is>
          <t>Gold Coast</t>
        </is>
      </c>
      <c r="G257" s="2" t="inlineStr">
        <is>
          <t>Facebook</t>
        </is>
      </c>
      <c r="H257" s="2" t="inlineStr"/>
      <c r="I257" s="4" t="inlineStr">
        <is>
          <t>https://www.facebook.com/zinahairstudio/</t>
        </is>
      </c>
      <c r="J257" s="2" t="inlineStr">
        <is>
          <t>+61 410 105 180</t>
        </is>
      </c>
      <c r="K257" s="2" t="inlineStr"/>
      <c r="L257" s="2" t="inlineStr">
        <is>
          <t>no website listed, only social media (verify on Google Maps)</t>
        </is>
      </c>
      <c r="M257" s="2" t="inlineStr">
        <is>
          <t>Hi Zina Hair Studio team! [one real detail from their page]. We're AceAds, a web design studio. We couldn't find a website for Zina Hair Studio, only your Facebook. We'd be happy to make you a free preview of what a website could look like. Want one? No cost, no obligation.</t>
        </is>
      </c>
      <c r="N257" s="4" t="inlineStr">
        <is>
          <t>Open map</t>
        </is>
      </c>
      <c r="O257" s="2" t="inlineStr">
        <is>
          <t>Not contacted</t>
        </is>
      </c>
      <c r="P257" s="2" t="inlineStr"/>
      <c r="Q257" s="2" t="inlineStr"/>
      <c r="R257" s="2" t="inlineStr"/>
      <c r="S257" s="2" t="inlineStr"/>
    </row>
    <row r="258">
      <c r="A258" s="2" t="n">
        <v>257</v>
      </c>
      <c r="B258" s="5" t="inlineStr">
        <is>
          <t>VERIFY FIRST</t>
        </is>
      </c>
      <c r="C258" s="2" t="inlineStr">
        <is>
          <t>No website found</t>
        </is>
      </c>
      <c r="D258" s="2" t="inlineStr">
        <is>
          <t>The Courtyard Co</t>
        </is>
      </c>
      <c r="E258" s="2" t="inlineStr">
        <is>
          <t>beauty salon</t>
        </is>
      </c>
      <c r="F258" s="2" t="inlineStr">
        <is>
          <t>Gold Coast</t>
        </is>
      </c>
      <c r="G258" s="2" t="inlineStr">
        <is>
          <t>Facebook</t>
        </is>
      </c>
      <c r="H258" s="2" t="inlineStr"/>
      <c r="I258" s="4" t="inlineStr">
        <is>
          <t>https://www.facebook.com/frontyardsgc/</t>
        </is>
      </c>
      <c r="J258" s="2" t="inlineStr">
        <is>
          <t>+61 479 077 953</t>
        </is>
      </c>
      <c r="K258" s="2" t="inlineStr"/>
      <c r="L258" s="2" t="inlineStr">
        <is>
          <t>no website listed, only social media (verify on Google Maps)</t>
        </is>
      </c>
      <c r="M258" s="2" t="inlineStr">
        <is>
          <t>Hi The Courtyard Co team! [one real detail from their page]. We're AceAds, a web design studio. We couldn't find a website for The Courtyard Co, only your Facebook. We'd be happy to make you a free preview of what a website could look like. Want one? No cost, no obligation.</t>
        </is>
      </c>
      <c r="N258" s="4" t="inlineStr">
        <is>
          <t>Open map</t>
        </is>
      </c>
      <c r="O258" s="2" t="inlineStr">
        <is>
          <t>Not contacted</t>
        </is>
      </c>
      <c r="P258" s="2" t="inlineStr"/>
      <c r="Q258" s="2" t="inlineStr"/>
      <c r="R258" s="2" t="inlineStr"/>
      <c r="S258" s="2" t="inlineStr"/>
    </row>
    <row r="259">
      <c r="A259" s="2" t="n">
        <v>258</v>
      </c>
      <c r="B259" s="5" t="inlineStr">
        <is>
          <t>VERIFY FIRST</t>
        </is>
      </c>
      <c r="C259" s="2" t="inlineStr">
        <is>
          <t>No website found</t>
        </is>
      </c>
      <c r="D259" s="2" t="inlineStr">
        <is>
          <t>Desire</t>
        </is>
      </c>
      <c r="E259" s="2" t="inlineStr">
        <is>
          <t>boutique</t>
        </is>
      </c>
      <c r="F259" s="2" t="inlineStr">
        <is>
          <t>Gold Coast</t>
        </is>
      </c>
      <c r="G259" s="2" t="inlineStr">
        <is>
          <t>Facebook</t>
        </is>
      </c>
      <c r="H259" s="2" t="inlineStr"/>
      <c r="I259" s="4" t="inlineStr">
        <is>
          <t>https://facebook.com/people/Desire-on-James/100057670328902</t>
        </is>
      </c>
      <c r="J259" s="2" t="inlineStr">
        <is>
          <t>+61 432 357 151</t>
        </is>
      </c>
      <c r="K259" s="2" t="inlineStr"/>
      <c r="L259" s="2" t="inlineStr">
        <is>
          <t>no website listed, only social media (verify on Google Maps)</t>
        </is>
      </c>
      <c r="M259" s="2" t="inlineStr">
        <is>
          <t>Hi Desire team! [one real detail from their page]. We're AceAds, a web design studio. We couldn't find a website for Desire, only your Facebook. We'd be happy to make you a free preview of what a website could look like. Want one? No cost, no obligation.</t>
        </is>
      </c>
      <c r="N259" s="4" t="inlineStr">
        <is>
          <t>Open map</t>
        </is>
      </c>
      <c r="O259" s="2" t="inlineStr">
        <is>
          <t>Not contacted</t>
        </is>
      </c>
      <c r="P259" s="2" t="inlineStr"/>
      <c r="Q259" s="2" t="inlineStr"/>
      <c r="R259" s="2" t="inlineStr"/>
      <c r="S259" s="2" t="inlineStr"/>
    </row>
    <row r="260">
      <c r="A260" s="2" t="n">
        <v>259</v>
      </c>
      <c r="B260" s="5" t="inlineStr">
        <is>
          <t>VERIFY FIRST</t>
        </is>
      </c>
      <c r="C260" s="2" t="inlineStr">
        <is>
          <t>No website found</t>
        </is>
      </c>
      <c r="D260" s="2" t="inlineStr">
        <is>
          <t>BJ Snacks</t>
        </is>
      </c>
      <c r="E260" s="2" t="inlineStr">
        <is>
          <t>cafe</t>
        </is>
      </c>
      <c r="F260" s="2" t="inlineStr">
        <is>
          <t>Gold Coast</t>
        </is>
      </c>
      <c r="G260" s="2" t="inlineStr">
        <is>
          <t>Facebook</t>
        </is>
      </c>
      <c r="H260" s="2" t="inlineStr"/>
      <c r="I260" s="4" t="inlineStr">
        <is>
          <t>https://www.facebook.com/Bjsnacksburleighheads/</t>
        </is>
      </c>
      <c r="J260" s="2" t="inlineStr">
        <is>
          <t>+61 7 5593 5270</t>
        </is>
      </c>
      <c r="K260" s="2" t="inlineStr"/>
      <c r="L260" s="2" t="inlineStr">
        <is>
          <t>no website listed, only social media (verify on Google Maps)</t>
        </is>
      </c>
      <c r="M260" s="2" t="inlineStr">
        <is>
          <t>Hi BJ Snacks team! [one real detail from their page]. We're AceAds, a web design studio. We couldn't find a website for BJ Snacks, only your Facebook. We'd be happy to make you a free preview of what a website could look like. Want one? No cost, no obligation.</t>
        </is>
      </c>
      <c r="N260" s="4" t="inlineStr">
        <is>
          <t>Open map</t>
        </is>
      </c>
      <c r="O260" s="2" t="inlineStr">
        <is>
          <t>Not contacted</t>
        </is>
      </c>
      <c r="P260" s="2" t="inlineStr"/>
      <c r="Q260" s="2" t="inlineStr"/>
      <c r="R260" s="2" t="inlineStr"/>
      <c r="S260" s="2" t="inlineStr"/>
    </row>
    <row r="261">
      <c r="A261" s="2" t="n">
        <v>260</v>
      </c>
      <c r="B261" s="5" t="inlineStr">
        <is>
          <t>VERIFY FIRST</t>
        </is>
      </c>
      <c r="C261" s="2" t="inlineStr">
        <is>
          <t>No website found</t>
        </is>
      </c>
      <c r="D261" s="2" t="inlineStr">
        <is>
          <t>Café Biaggi</t>
        </is>
      </c>
      <c r="E261" s="2" t="inlineStr">
        <is>
          <t>cafe</t>
        </is>
      </c>
      <c r="F261" s="2" t="inlineStr">
        <is>
          <t>Gold Coast</t>
        </is>
      </c>
      <c r="G261" s="2" t="inlineStr">
        <is>
          <t>Facebook</t>
        </is>
      </c>
      <c r="H261" s="2" t="inlineStr"/>
      <c r="I261" s="4" t="inlineStr">
        <is>
          <t>https://www.facebook.com/Cafe-Biaggi-110229862373489/</t>
        </is>
      </c>
      <c r="J261" s="2" t="inlineStr">
        <is>
          <t>+61 7 5593 7072</t>
        </is>
      </c>
      <c r="K261" s="2" t="inlineStr"/>
      <c r="L261" s="2" t="inlineStr">
        <is>
          <t>no website listed, only social media (verify on Google Maps)</t>
        </is>
      </c>
      <c r="M261" s="2" t="inlineStr">
        <is>
          <t>Hi Café Biaggi team! [one real detail from their page]. We're AceAds, a web design studio. We couldn't find a website for Café Biaggi, only your Facebook. We'd be happy to make you a free preview of what a website could look like. Want one? No cost, no obligation.</t>
        </is>
      </c>
      <c r="N261" s="4" t="inlineStr">
        <is>
          <t>Open map</t>
        </is>
      </c>
      <c r="O261" s="2" t="inlineStr">
        <is>
          <t>Not contacted</t>
        </is>
      </c>
      <c r="P261" s="2" t="inlineStr"/>
      <c r="Q261" s="2" t="inlineStr"/>
      <c r="R261" s="2" t="inlineStr"/>
      <c r="S261" s="2" t="inlineStr"/>
    </row>
    <row r="262">
      <c r="A262" s="2" t="n">
        <v>261</v>
      </c>
      <c r="B262" s="5" t="inlineStr">
        <is>
          <t>VERIFY FIRST</t>
        </is>
      </c>
      <c r="C262" s="2" t="inlineStr">
        <is>
          <t>No website found</t>
        </is>
      </c>
      <c r="D262" s="2" t="inlineStr">
        <is>
          <t>Commune</t>
        </is>
      </c>
      <c r="E262" s="2" t="inlineStr">
        <is>
          <t>cafe</t>
        </is>
      </c>
      <c r="F262" s="2" t="inlineStr">
        <is>
          <t>Gold Coast</t>
        </is>
      </c>
      <c r="G262" s="2" t="inlineStr">
        <is>
          <t>Facebook</t>
        </is>
      </c>
      <c r="H262" s="2" t="inlineStr"/>
      <c r="I262" s="4" t="inlineStr">
        <is>
          <t>https://www.facebook.com/Commune-188007077908552/</t>
        </is>
      </c>
      <c r="J262" s="2" t="inlineStr">
        <is>
          <t>+61 7 5520 3377</t>
        </is>
      </c>
      <c r="K262" s="2" t="inlineStr"/>
      <c r="L262" s="2" t="inlineStr">
        <is>
          <t>no website listed, only social media (verify on Google Maps)</t>
        </is>
      </c>
      <c r="M262" s="2" t="inlineStr">
        <is>
          <t>Hi Commune team! [one real detail from their page]. We're AceAds, a web design studio. We couldn't find a website for Commune, only your Facebook. We'd be happy to make you a free preview of what a website could look like. Want one? No cost, no obligation.</t>
        </is>
      </c>
      <c r="N262" s="4" t="inlineStr">
        <is>
          <t>Open map</t>
        </is>
      </c>
      <c r="O262" s="2" t="inlineStr">
        <is>
          <t>Not contacted</t>
        </is>
      </c>
      <c r="P262" s="2" t="inlineStr"/>
      <c r="Q262" s="2" t="inlineStr"/>
      <c r="R262" s="2" t="inlineStr"/>
      <c r="S262" s="2" t="inlineStr"/>
    </row>
    <row r="263">
      <c r="A263" s="2" t="n">
        <v>262</v>
      </c>
      <c r="B263" s="5" t="inlineStr">
        <is>
          <t>VERIFY FIRST</t>
        </is>
      </c>
      <c r="C263" s="2" t="inlineStr">
        <is>
          <t>No website found</t>
        </is>
      </c>
      <c r="D263" s="2" t="inlineStr">
        <is>
          <t>Daily Grind</t>
        </is>
      </c>
      <c r="E263" s="2" t="inlineStr">
        <is>
          <t>cafe</t>
        </is>
      </c>
      <c r="F263" s="2" t="inlineStr">
        <is>
          <t>Gold Coast</t>
        </is>
      </c>
      <c r="G263" s="2" t="inlineStr">
        <is>
          <t>Facebook</t>
        </is>
      </c>
      <c r="H263" s="2" t="inlineStr"/>
      <c r="I263" s="4" t="inlineStr">
        <is>
          <t>https://www.facebook.com/dailygrindburleigh/</t>
        </is>
      </c>
      <c r="J263" s="2" t="inlineStr">
        <is>
          <t>+61 449 075 032</t>
        </is>
      </c>
      <c r="K263" s="2" t="inlineStr"/>
      <c r="L263" s="2" t="inlineStr">
        <is>
          <t>no website listed, only social media (verify on Google Maps)</t>
        </is>
      </c>
      <c r="M263" s="2" t="inlineStr">
        <is>
          <t>Hi Daily Grind team! [one real detail from their page]. We're AceAds, a web design studio. We couldn't find a website for Daily Grind, only your Facebook. We'd be happy to make you a free preview of what a website could look like. Want one? No cost, no obligation.</t>
        </is>
      </c>
      <c r="N263" s="4" t="inlineStr">
        <is>
          <t>Open map</t>
        </is>
      </c>
      <c r="O263" s="2" t="inlineStr">
        <is>
          <t>Not contacted</t>
        </is>
      </c>
      <c r="P263" s="2" t="inlineStr"/>
      <c r="Q263" s="2" t="inlineStr"/>
      <c r="R263" s="2" t="inlineStr"/>
      <c r="S263" s="2" t="inlineStr"/>
    </row>
    <row r="264">
      <c r="A264" s="2" t="n">
        <v>263</v>
      </c>
      <c r="B264" s="5" t="inlineStr">
        <is>
          <t>VERIFY FIRST</t>
        </is>
      </c>
      <c r="C264" s="2" t="inlineStr">
        <is>
          <t>No website found</t>
        </is>
      </c>
      <c r="D264" s="2" t="inlineStr">
        <is>
          <t>Fresh Coffee Bar</t>
        </is>
      </c>
      <c r="E264" s="2" t="inlineStr">
        <is>
          <t>cafe</t>
        </is>
      </c>
      <c r="F264" s="2" t="inlineStr">
        <is>
          <t>Gold Coast</t>
        </is>
      </c>
      <c r="G264" s="2" t="inlineStr">
        <is>
          <t>Facebook</t>
        </is>
      </c>
      <c r="H264" s="2" t="inlineStr"/>
      <c r="I264" s="4" t="inlineStr">
        <is>
          <t>https://www.facebook.com/FreshCoffeeBarVarsity/</t>
        </is>
      </c>
      <c r="J264" s="2" t="inlineStr">
        <is>
          <t>+61 7 5580 8468</t>
        </is>
      </c>
      <c r="K264" s="2" t="inlineStr"/>
      <c r="L264" s="2" t="inlineStr">
        <is>
          <t>no website listed, only social media (verify on Google Maps)</t>
        </is>
      </c>
      <c r="M264" s="2" t="inlineStr">
        <is>
          <t>Hi Fresh Coffee Bar team! [one real detail from their page]. We're AceAds, a web design studio. We couldn't find a website for Fresh Coffee Bar, only your Facebook. We'd be happy to make you a free preview of what a website could look like. Want one? No cost, no obligation.</t>
        </is>
      </c>
      <c r="N264" s="4" t="inlineStr">
        <is>
          <t>Open map</t>
        </is>
      </c>
      <c r="O264" s="2" t="inlineStr">
        <is>
          <t>Not contacted</t>
        </is>
      </c>
      <c r="P264" s="2" t="inlineStr"/>
      <c r="Q264" s="2" t="inlineStr"/>
      <c r="R264" s="2" t="inlineStr"/>
      <c r="S264" s="2" t="inlineStr"/>
    </row>
    <row r="265">
      <c r="A265" s="2" t="n">
        <v>264</v>
      </c>
      <c r="B265" s="5" t="inlineStr">
        <is>
          <t>VERIFY FIRST</t>
        </is>
      </c>
      <c r="C265" s="2" t="inlineStr">
        <is>
          <t>No website found</t>
        </is>
      </c>
      <c r="D265" s="2" t="inlineStr">
        <is>
          <t>Hide N Seek Espresso</t>
        </is>
      </c>
      <c r="E265" s="2" t="inlineStr">
        <is>
          <t>cafe</t>
        </is>
      </c>
      <c r="F265" s="2" t="inlineStr">
        <is>
          <t>Gold Coast</t>
        </is>
      </c>
      <c r="G265" s="2" t="inlineStr">
        <is>
          <t>Facebook</t>
        </is>
      </c>
      <c r="H265" s="2" t="inlineStr"/>
      <c r="I265" s="4" t="inlineStr">
        <is>
          <t>https://www.facebook.com/hidenseekespresso13/</t>
        </is>
      </c>
      <c r="J265" s="2" t="inlineStr">
        <is>
          <t>+61 447 593 827</t>
        </is>
      </c>
      <c r="K265" s="2" t="inlineStr"/>
      <c r="L265" s="2" t="inlineStr">
        <is>
          <t>no website listed, only social media (verify on Google Maps)</t>
        </is>
      </c>
      <c r="M265" s="2" t="inlineStr">
        <is>
          <t>Hi Hide N Seek Espresso team! [one real detail from their page]. We're AceAds, a web design studio. We couldn't find a website for Hide N Seek Espresso, only your Facebook. We'd be happy to make you a free preview of what a website could look like. Want one? No cost, no obligation.</t>
        </is>
      </c>
      <c r="N265" s="4" t="inlineStr">
        <is>
          <t>Open map</t>
        </is>
      </c>
      <c r="O265" s="2" t="inlineStr">
        <is>
          <t>Not contacted</t>
        </is>
      </c>
      <c r="P265" s="2" t="inlineStr"/>
      <c r="Q265" s="2" t="inlineStr"/>
      <c r="R265" s="2" t="inlineStr"/>
      <c r="S265" s="2" t="inlineStr"/>
    </row>
    <row r="266">
      <c r="A266" s="2" t="n">
        <v>265</v>
      </c>
      <c r="B266" s="5" t="inlineStr">
        <is>
          <t>VERIFY FIRST</t>
        </is>
      </c>
      <c r="C266" s="2" t="inlineStr">
        <is>
          <t>No website found</t>
        </is>
      </c>
      <c r="D266" s="2" t="inlineStr">
        <is>
          <t>Little Bandits Coffee &amp; More</t>
        </is>
      </c>
      <c r="E266" s="2" t="inlineStr">
        <is>
          <t>cafe</t>
        </is>
      </c>
      <c r="F266" s="2" t="inlineStr">
        <is>
          <t>Gold Coast</t>
        </is>
      </c>
      <c r="G266" s="2" t="inlineStr">
        <is>
          <t>Instagram</t>
        </is>
      </c>
      <c r="H266" s="4" t="inlineStr">
        <is>
          <t>https://www.instagram.com/littlebanditscoffee/</t>
        </is>
      </c>
      <c r="I266" s="2" t="inlineStr"/>
      <c r="J266" s="2" t="inlineStr"/>
      <c r="K266" s="2" t="inlineStr"/>
      <c r="L266" s="2" t="inlineStr">
        <is>
          <t>no website listed, only social media (verify on Google Maps)</t>
        </is>
      </c>
      <c r="M266" s="2" t="inlineStr">
        <is>
          <t>Hi Little Bandits Coffee &amp; More team! [one real detail from their page]. We're AceAds, a web design studio. We couldn't find a website for Little Bandits Coffee &amp; More, only your Instagram. We'd be happy to make you a free preview of what a website could look like. Want one? No cost, no obligation.</t>
        </is>
      </c>
      <c r="N266" s="4" t="inlineStr">
        <is>
          <t>Open map</t>
        </is>
      </c>
      <c r="O266" s="2" t="inlineStr">
        <is>
          <t>Not contacted</t>
        </is>
      </c>
      <c r="P266" s="2" t="inlineStr"/>
      <c r="Q266" s="2" t="inlineStr"/>
      <c r="R266" s="2" t="inlineStr"/>
      <c r="S266" s="2" t="inlineStr"/>
    </row>
    <row r="267">
      <c r="A267" s="2" t="n">
        <v>266</v>
      </c>
      <c r="B267" s="5" t="inlineStr">
        <is>
          <t>VERIFY FIRST</t>
        </is>
      </c>
      <c r="C267" s="2" t="inlineStr">
        <is>
          <t>No website found</t>
        </is>
      </c>
      <c r="D267" s="2" t="inlineStr">
        <is>
          <t>More Coffee Please</t>
        </is>
      </c>
      <c r="E267" s="2" t="inlineStr">
        <is>
          <t>cafe</t>
        </is>
      </c>
      <c r="F267" s="2" t="inlineStr">
        <is>
          <t>Gold Coast</t>
        </is>
      </c>
      <c r="G267" s="2" t="inlineStr">
        <is>
          <t>Facebook</t>
        </is>
      </c>
      <c r="H267" s="2" t="inlineStr"/>
      <c r="I267" s="4" t="inlineStr">
        <is>
          <t>https://www.facebook.com/morecoffeepleasecafe/</t>
        </is>
      </c>
      <c r="J267" s="2" t="inlineStr">
        <is>
          <t>+61 7 5536 7456</t>
        </is>
      </c>
      <c r="K267" s="2" t="inlineStr"/>
      <c r="L267" s="2" t="inlineStr">
        <is>
          <t>no website listed, only social media (verify on Google Maps)</t>
        </is>
      </c>
      <c r="M267" s="2" t="inlineStr">
        <is>
          <t>Hi More Coffee Please team! [one real detail from their page]. We're AceAds, a web design studio. We couldn't find a website for More Coffee Please, only your Facebook. We'd be happy to make you a free preview of what a website could look like. Want one? No cost, no obligation.</t>
        </is>
      </c>
      <c r="N267" s="4" t="inlineStr">
        <is>
          <t>Open map</t>
        </is>
      </c>
      <c r="O267" s="2" t="inlineStr">
        <is>
          <t>Not contacted</t>
        </is>
      </c>
      <c r="P267" s="2" t="inlineStr"/>
      <c r="Q267" s="2" t="inlineStr"/>
      <c r="R267" s="2" t="inlineStr"/>
      <c r="S267" s="2" t="inlineStr"/>
    </row>
    <row r="268">
      <c r="A268" s="2" t="n">
        <v>267</v>
      </c>
      <c r="B268" s="5" t="inlineStr">
        <is>
          <t>VERIFY FIRST</t>
        </is>
      </c>
      <c r="C268" s="2" t="inlineStr">
        <is>
          <t>Site shows an error</t>
        </is>
      </c>
      <c r="D268" s="2" t="inlineStr">
        <is>
          <t>Niche &amp; Co</t>
        </is>
      </c>
      <c r="E268" s="2" t="inlineStr">
        <is>
          <t>cafe</t>
        </is>
      </c>
      <c r="F268" s="2" t="inlineStr">
        <is>
          <t>Gold Coast</t>
        </is>
      </c>
      <c r="G268" s="2" t="inlineStr">
        <is>
          <t>Instagram</t>
        </is>
      </c>
      <c r="H268" s="4" t="inlineStr">
        <is>
          <t>https://instagram.com/nicheandco</t>
        </is>
      </c>
      <c r="I268" s="4" t="inlineStr">
        <is>
          <t>https://facebook.com/nicheandco</t>
        </is>
      </c>
      <c r="J268" s="2" t="inlineStr">
        <is>
          <t>+61 7 5598 2535</t>
        </is>
      </c>
      <c r="K268" s="4" t="inlineStr">
        <is>
          <t>https://nicheandco.com.au</t>
        </is>
      </c>
      <c r="L268" s="2" t="inlineStr">
        <is>
          <t>homepage shows an error page (HTTP 404)</t>
        </is>
      </c>
      <c r="M268" s="2" t="inlineStr">
        <is>
          <t>Hi Niche &amp; Co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268" s="4" t="inlineStr">
        <is>
          <t>Open map</t>
        </is>
      </c>
      <c r="O268" s="2" t="inlineStr">
        <is>
          <t>Not contacted</t>
        </is>
      </c>
      <c r="P268" s="2" t="inlineStr"/>
      <c r="Q268" s="2" t="inlineStr"/>
      <c r="R268" s="2" t="inlineStr"/>
      <c r="S268" s="2" t="inlineStr"/>
    </row>
    <row r="269">
      <c r="A269" s="2" t="n">
        <v>268</v>
      </c>
      <c r="B269" s="5" t="inlineStr">
        <is>
          <t>VERIFY FIRST</t>
        </is>
      </c>
      <c r="C269" s="2" t="inlineStr">
        <is>
          <t>No website found</t>
        </is>
      </c>
      <c r="D269" s="2" t="inlineStr">
        <is>
          <t>Profile Coffee Co-Lab</t>
        </is>
      </c>
      <c r="E269" s="2" t="inlineStr">
        <is>
          <t>cafe</t>
        </is>
      </c>
      <c r="F269" s="2" t="inlineStr">
        <is>
          <t>Gold Coast</t>
        </is>
      </c>
      <c r="G269" s="2" t="inlineStr">
        <is>
          <t>Instagram</t>
        </is>
      </c>
      <c r="H269" s="4" t="inlineStr">
        <is>
          <t>https://www.instagram.com/profile_coffee_colab/</t>
        </is>
      </c>
      <c r="I269" s="2" t="inlineStr"/>
      <c r="J269" s="2" t="inlineStr"/>
      <c r="K269" s="2" t="inlineStr"/>
      <c r="L269" s="2" t="inlineStr">
        <is>
          <t>no website listed, only social media (verify on Google Maps)</t>
        </is>
      </c>
      <c r="M269" s="2" t="inlineStr">
        <is>
          <t>Hi Profile Coffee Co-Lab team! [one real detail from their page]. We're AceAds, a web design studio. We couldn't find a website for Profile Coffee Co-Lab, only your Instagram. We'd be happy to make you a free preview of what a website could look like. Want one? No cost, no obligation.</t>
        </is>
      </c>
      <c r="N269" s="4" t="inlineStr">
        <is>
          <t>Open map</t>
        </is>
      </c>
      <c r="O269" s="2" t="inlineStr">
        <is>
          <t>Not contacted</t>
        </is>
      </c>
      <c r="P269" s="2" t="inlineStr"/>
      <c r="Q269" s="2" t="inlineStr"/>
      <c r="R269" s="2" t="inlineStr"/>
      <c r="S269" s="2" t="inlineStr"/>
    </row>
    <row r="270">
      <c r="A270" s="2" t="n">
        <v>269</v>
      </c>
      <c r="B270" s="5" t="inlineStr">
        <is>
          <t>VERIFY FIRST</t>
        </is>
      </c>
      <c r="C270" s="2" t="inlineStr">
        <is>
          <t>No website found</t>
        </is>
      </c>
      <c r="D270" s="2" t="inlineStr">
        <is>
          <t>Quade &amp; Co</t>
        </is>
      </c>
      <c r="E270" s="2" t="inlineStr">
        <is>
          <t>cafe</t>
        </is>
      </c>
      <c r="F270" s="2" t="inlineStr">
        <is>
          <t>Gold Coast</t>
        </is>
      </c>
      <c r="G270" s="2" t="inlineStr">
        <is>
          <t>Instagram</t>
        </is>
      </c>
      <c r="H270" s="4" t="inlineStr">
        <is>
          <t>https://instagram.com/quadeandco</t>
        </is>
      </c>
      <c r="I270" s="4" t="inlineStr">
        <is>
          <t>https://facebook.com/quadeandco</t>
        </is>
      </c>
      <c r="J270" s="2" t="inlineStr"/>
      <c r="K270" s="2" t="inlineStr"/>
      <c r="L270" s="2" t="inlineStr">
        <is>
          <t>no website listed, only social media (verify on Google Maps)</t>
        </is>
      </c>
      <c r="M270" s="2" t="inlineStr">
        <is>
          <t>Hi Quade &amp; Co team! [one real detail from their page]. We're AceAds, a web design studio. We couldn't find a website for Quade &amp; Co, only your Instagram. We'd be happy to make you a free preview of what a website could look like. Want one? No cost, no obligation.</t>
        </is>
      </c>
      <c r="N270" s="4" t="inlineStr">
        <is>
          <t>Open map</t>
        </is>
      </c>
      <c r="O270" s="2" t="inlineStr">
        <is>
          <t>Not contacted</t>
        </is>
      </c>
      <c r="P270" s="2" t="inlineStr"/>
      <c r="Q270" s="2" t="inlineStr"/>
      <c r="R270" s="2" t="inlineStr"/>
      <c r="S270" s="2" t="inlineStr"/>
    </row>
    <row r="271">
      <c r="A271" s="2" t="n">
        <v>270</v>
      </c>
      <c r="B271" s="5" t="inlineStr">
        <is>
          <t>VERIFY FIRST</t>
        </is>
      </c>
      <c r="C271" s="2" t="inlineStr">
        <is>
          <t>No website found</t>
        </is>
      </c>
      <c r="D271" s="2" t="inlineStr">
        <is>
          <t>See Yö Cafe &amp; Bakery</t>
        </is>
      </c>
      <c r="E271" s="2" t="inlineStr">
        <is>
          <t>cafe</t>
        </is>
      </c>
      <c r="F271" s="2" t="inlineStr">
        <is>
          <t>Gold Coast</t>
        </is>
      </c>
      <c r="G271" s="2" t="inlineStr">
        <is>
          <t>Facebook</t>
        </is>
      </c>
      <c r="H271" s="2" t="inlineStr"/>
      <c r="I271" s="4" t="inlineStr">
        <is>
          <t>https://www.facebook.com/marieanitas/</t>
        </is>
      </c>
      <c r="J271" s="2" t="inlineStr">
        <is>
          <t>+61 7 5572 3224</t>
        </is>
      </c>
      <c r="K271" s="2" t="inlineStr"/>
      <c r="L271" s="2" t="inlineStr">
        <is>
          <t>no website listed, only social media (verify on Google Maps)</t>
        </is>
      </c>
      <c r="M271" s="2" t="inlineStr">
        <is>
          <t>Hi See Yö Cafe &amp; Bakery team! [one real detail from their page]. We're AceAds, a web design studio. We couldn't find a website for See Yö Cafe &amp; Bakery, only your Facebook. We'd be happy to make you a free preview of what a website could look like. Want one? No cost, no obligation.</t>
        </is>
      </c>
      <c r="N271" s="4" t="inlineStr">
        <is>
          <t>Open map</t>
        </is>
      </c>
      <c r="O271" s="2" t="inlineStr">
        <is>
          <t>Not contacted</t>
        </is>
      </c>
      <c r="P271" s="2" t="inlineStr"/>
      <c r="Q271" s="2" t="inlineStr"/>
      <c r="R271" s="2" t="inlineStr"/>
      <c r="S271" s="2" t="inlineStr"/>
    </row>
    <row r="272">
      <c r="A272" s="2" t="n">
        <v>271</v>
      </c>
      <c r="B272" s="5" t="inlineStr">
        <is>
          <t>VERIFY FIRST</t>
        </is>
      </c>
      <c r="C272" s="2" t="inlineStr">
        <is>
          <t>No website found</t>
        </is>
      </c>
      <c r="D272" s="2" t="inlineStr">
        <is>
          <t>Street Corner Espresso</t>
        </is>
      </c>
      <c r="E272" s="2" t="inlineStr">
        <is>
          <t>cafe</t>
        </is>
      </c>
      <c r="F272" s="2" t="inlineStr">
        <is>
          <t>Gold Coast</t>
        </is>
      </c>
      <c r="G272" s="2" t="inlineStr">
        <is>
          <t>Facebook</t>
        </is>
      </c>
      <c r="H272" s="2" t="inlineStr"/>
      <c r="I272" s="4" t="inlineStr">
        <is>
          <t>https://www.facebook.com/StreetCornerEspresso/</t>
        </is>
      </c>
      <c r="J272" s="2" t="inlineStr">
        <is>
          <t>+61 7 5520 0886</t>
        </is>
      </c>
      <c r="K272" s="2" t="inlineStr"/>
      <c r="L272" s="2" t="inlineStr">
        <is>
          <t>no website listed, only social media (verify on Google Maps)</t>
        </is>
      </c>
      <c r="M272" s="2" t="inlineStr">
        <is>
          <t>Hi Street Corner Espresso team! [one real detail from their page]. We're AceAds, a web design studio. We couldn't find a website for Street Corner Espresso, only your Facebook. We'd be happy to make you a free preview of what a website could look like. Want one? No cost, no obligation.</t>
        </is>
      </c>
      <c r="N272" s="4" t="inlineStr">
        <is>
          <t>Open map</t>
        </is>
      </c>
      <c r="O272" s="2" t="inlineStr">
        <is>
          <t>Not contacted</t>
        </is>
      </c>
      <c r="P272" s="2" t="inlineStr"/>
      <c r="Q272" s="2" t="inlineStr"/>
      <c r="R272" s="2" t="inlineStr"/>
      <c r="S272" s="2" t="inlineStr"/>
    </row>
    <row r="273">
      <c r="A273" s="2" t="n">
        <v>272</v>
      </c>
      <c r="B273" s="5" t="inlineStr">
        <is>
          <t>VERIFY FIRST</t>
        </is>
      </c>
      <c r="C273" s="2" t="inlineStr">
        <is>
          <t>No website found</t>
        </is>
      </c>
      <c r="D273" s="2" t="inlineStr">
        <is>
          <t>The Kumara Patch</t>
        </is>
      </c>
      <c r="E273" s="2" t="inlineStr">
        <is>
          <t>cafe</t>
        </is>
      </c>
      <c r="F273" s="2" t="inlineStr">
        <is>
          <t>Gold Coast</t>
        </is>
      </c>
      <c r="G273" s="2" t="inlineStr">
        <is>
          <t>Facebook</t>
        </is>
      </c>
      <c r="H273" s="2" t="inlineStr"/>
      <c r="I273" s="4" t="inlineStr">
        <is>
          <t>https://www.facebook.com/thekumarapatch/</t>
        </is>
      </c>
      <c r="J273" s="2" t="inlineStr">
        <is>
          <t>+61 7 5539 4243</t>
        </is>
      </c>
      <c r="K273" s="2" t="inlineStr"/>
      <c r="L273" s="2" t="inlineStr">
        <is>
          <t>no website listed, only social media (verify on Google Maps)</t>
        </is>
      </c>
      <c r="M273" s="2" t="inlineStr">
        <is>
          <t>Hi The Kumara Patch team! [one real detail from their page]. We're AceAds, a web design studio. We couldn't find a website for The Kumara Patch, only your Facebook. We'd be happy to make you a free preview of what a website could look like. Want one? No cost, no obligation.</t>
        </is>
      </c>
      <c r="N273" s="4" t="inlineStr">
        <is>
          <t>Open map</t>
        </is>
      </c>
      <c r="O273" s="2" t="inlineStr">
        <is>
          <t>Not contacted</t>
        </is>
      </c>
      <c r="P273" s="2" t="inlineStr"/>
      <c r="Q273" s="2" t="inlineStr"/>
      <c r="R273" s="2" t="inlineStr"/>
      <c r="S273" s="2" t="inlineStr"/>
    </row>
    <row r="274">
      <c r="A274" s="2" t="n">
        <v>273</v>
      </c>
      <c r="B274" s="5" t="inlineStr">
        <is>
          <t>VERIFY FIRST</t>
        </is>
      </c>
      <c r="C274" s="2" t="inlineStr">
        <is>
          <t>No website found</t>
        </is>
      </c>
      <c r="D274" s="2" t="inlineStr">
        <is>
          <t>The Press Cafe</t>
        </is>
      </c>
      <c r="E274" s="2" t="inlineStr">
        <is>
          <t>cafe</t>
        </is>
      </c>
      <c r="F274" s="2" t="inlineStr">
        <is>
          <t>Gold Coast</t>
        </is>
      </c>
      <c r="G274" s="2" t="inlineStr">
        <is>
          <t>Facebook</t>
        </is>
      </c>
      <c r="H274" s="2" t="inlineStr"/>
      <c r="I274" s="4" t="inlineStr">
        <is>
          <t>https://www.facebook.com/thepresscafecoomera/</t>
        </is>
      </c>
      <c r="J274" s="2" t="inlineStr">
        <is>
          <t>+61 417 402 174</t>
        </is>
      </c>
      <c r="K274" s="2" t="inlineStr"/>
      <c r="L274" s="2" t="inlineStr">
        <is>
          <t>no website listed, only social media (verify on Google Maps)</t>
        </is>
      </c>
      <c r="M274" s="2" t="inlineStr">
        <is>
          <t>Hi The Press Cafe team! [one real detail from their page]. We're AceAds, a web design studio. We couldn't find a website for The Press Cafe, only your Facebook. We'd be happy to make you a free preview of what a website could look like. Want one? No cost, no obligation.</t>
        </is>
      </c>
      <c r="N274" s="4" t="inlineStr">
        <is>
          <t>Open map</t>
        </is>
      </c>
      <c r="O274" s="2" t="inlineStr">
        <is>
          <t>Not contacted</t>
        </is>
      </c>
      <c r="P274" s="2" t="inlineStr"/>
      <c r="Q274" s="2" t="inlineStr"/>
      <c r="R274" s="2" t="inlineStr"/>
      <c r="S274" s="2" t="inlineStr"/>
    </row>
    <row r="275">
      <c r="A275" s="2" t="n">
        <v>274</v>
      </c>
      <c r="B275" s="5" t="inlineStr">
        <is>
          <t>VERIFY FIRST</t>
        </is>
      </c>
      <c r="C275" s="2" t="inlineStr">
        <is>
          <t>No website found</t>
        </is>
      </c>
      <c r="D275" s="2" t="inlineStr">
        <is>
          <t>The Treehouse</t>
        </is>
      </c>
      <c r="E275" s="2" t="inlineStr">
        <is>
          <t>cafe</t>
        </is>
      </c>
      <c r="F275" s="2" t="inlineStr">
        <is>
          <t>Gold Coast</t>
        </is>
      </c>
      <c r="G275" s="2" t="inlineStr">
        <is>
          <t>Facebook</t>
        </is>
      </c>
      <c r="H275" s="2" t="inlineStr"/>
      <c r="I275" s="4" t="inlineStr">
        <is>
          <t>https://www.facebook.com/treehouseonthehill/</t>
        </is>
      </c>
      <c r="J275" s="2" t="inlineStr"/>
      <c r="K275" s="2" t="inlineStr"/>
      <c r="L275" s="2" t="inlineStr">
        <is>
          <t>no website listed, only social media (verify on Google Maps)</t>
        </is>
      </c>
      <c r="M275" s="2" t="inlineStr">
        <is>
          <t>Hi The Treehouse team! [one real detail from their page]. We're AceAds, a web design studio. We couldn't find a website for The Treehouse, only your Facebook. We'd be happy to make you a free preview of what a website could look like. Want one? No cost, no obligation.</t>
        </is>
      </c>
      <c r="N275" s="4" t="inlineStr">
        <is>
          <t>Open map</t>
        </is>
      </c>
      <c r="O275" s="2" t="inlineStr">
        <is>
          <t>Not contacted</t>
        </is>
      </c>
      <c r="P275" s="2" t="inlineStr"/>
      <c r="Q275" s="2" t="inlineStr"/>
      <c r="R275" s="2" t="inlineStr"/>
      <c r="S275" s="2" t="inlineStr"/>
    </row>
    <row r="276">
      <c r="A276" s="2" t="n">
        <v>275</v>
      </c>
      <c r="B276" s="5" t="inlineStr">
        <is>
          <t>VERIFY FIRST</t>
        </is>
      </c>
      <c r="C276" s="2" t="inlineStr">
        <is>
          <t>No website found</t>
        </is>
      </c>
      <c r="D276" s="2" t="inlineStr">
        <is>
          <t>Broccoli Brothers</t>
        </is>
      </c>
      <c r="E276" s="2" t="inlineStr">
        <is>
          <t>deli or specialty food</t>
        </is>
      </c>
      <c r="F276" s="2" t="inlineStr">
        <is>
          <t>Gold Coast</t>
        </is>
      </c>
      <c r="G276" s="2" t="inlineStr">
        <is>
          <t>Facebook</t>
        </is>
      </c>
      <c r="H276" s="2" t="inlineStr"/>
      <c r="I276" s="4" t="inlineStr">
        <is>
          <t>https://www.facebook.com/Broccoli.Brothers.Treetops.Plaza/</t>
        </is>
      </c>
      <c r="J276" s="2" t="inlineStr">
        <is>
          <t>+61 7 5522 0066</t>
        </is>
      </c>
      <c r="K276" s="2" t="inlineStr"/>
      <c r="L276" s="2" t="inlineStr">
        <is>
          <t>no website listed, only social media (verify on Google Maps)</t>
        </is>
      </c>
      <c r="M276" s="2" t="inlineStr">
        <is>
          <t>Hi Broccoli Brothers team! [one real detail from their page]. We're AceAds, a web design studio. We couldn't find a website for Broccoli Brothers, only your Facebook. We'd be happy to make you a free preview of what a website could look like. Want one? No cost, no obligation.</t>
        </is>
      </c>
      <c r="N276" s="4" t="inlineStr">
        <is>
          <t>Open map</t>
        </is>
      </c>
      <c r="O276" s="2" t="inlineStr">
        <is>
          <t>Not contacted</t>
        </is>
      </c>
      <c r="P276" s="2" t="inlineStr"/>
      <c r="Q276" s="2" t="inlineStr"/>
      <c r="R276" s="2" t="inlineStr"/>
      <c r="S276" s="2" t="inlineStr"/>
    </row>
    <row r="277">
      <c r="A277" s="2" t="n">
        <v>276</v>
      </c>
      <c r="B277" s="5" t="inlineStr">
        <is>
          <t>VERIFY FIRST</t>
        </is>
      </c>
      <c r="C277" s="2" t="inlineStr">
        <is>
          <t>No website found</t>
        </is>
      </c>
      <c r="D277" s="2" t="inlineStr">
        <is>
          <t>Gold Coast Growers Market</t>
        </is>
      </c>
      <c r="E277" s="2" t="inlineStr">
        <is>
          <t>deli or specialty food</t>
        </is>
      </c>
      <c r="F277" s="2" t="inlineStr">
        <is>
          <t>Gold Coast</t>
        </is>
      </c>
      <c r="G277" s="2" t="inlineStr">
        <is>
          <t>Facebook</t>
        </is>
      </c>
      <c r="H277" s="2" t="inlineStr"/>
      <c r="I277" s="4" t="inlineStr">
        <is>
          <t>https://www.facebook.com/p/Gold-Coast-Growers-Market-100063543881581/</t>
        </is>
      </c>
      <c r="J277" s="2" t="inlineStr">
        <is>
          <t>+61 412 697 263</t>
        </is>
      </c>
      <c r="K277" s="2" t="inlineStr"/>
      <c r="L277" s="2" t="inlineStr">
        <is>
          <t>no website listed, only social media (verify on Google Maps)</t>
        </is>
      </c>
      <c r="M277" s="2" t="inlineStr">
        <is>
          <t>Hi Gold Coast Growers Market team! [one real detail from their page]. We're AceAds, a web design studio. We couldn't find a website for Gold Coast Growers Market, only your Facebook. We'd be happy to make you a free preview of what a website could look like. Want one? No cost, no obligation.</t>
        </is>
      </c>
      <c r="N277" s="4" t="inlineStr">
        <is>
          <t>Open map</t>
        </is>
      </c>
      <c r="O277" s="2" t="inlineStr">
        <is>
          <t>Not contacted</t>
        </is>
      </c>
      <c r="P277" s="2" t="inlineStr"/>
      <c r="Q277" s="2" t="inlineStr"/>
      <c r="R277" s="2" t="inlineStr"/>
      <c r="S277" s="2" t="inlineStr"/>
    </row>
    <row r="278">
      <c r="A278" s="2" t="n">
        <v>277</v>
      </c>
      <c r="B278" s="5" t="inlineStr">
        <is>
          <t>VERIFY FIRST</t>
        </is>
      </c>
      <c r="C278" s="2" t="inlineStr">
        <is>
          <t>No website found</t>
        </is>
      </c>
      <c r="D278" s="2" t="inlineStr">
        <is>
          <t>Kingswood Park Butchery</t>
        </is>
      </c>
      <c r="E278" s="2" t="inlineStr">
        <is>
          <t>deli or specialty food</t>
        </is>
      </c>
      <c r="F278" s="2" t="inlineStr">
        <is>
          <t>Gold Coast</t>
        </is>
      </c>
      <c r="G278" s="2" t="inlineStr">
        <is>
          <t>Facebook</t>
        </is>
      </c>
      <c r="H278" s="2" t="inlineStr"/>
      <c r="I278" s="4" t="inlineStr">
        <is>
          <t>https://www.facebook.com/Kingswoodparkbutchery/</t>
        </is>
      </c>
      <c r="J278" s="2" t="inlineStr">
        <is>
          <t>+61 7 5534 4054</t>
        </is>
      </c>
      <c r="K278" s="2" t="inlineStr"/>
      <c r="L278" s="2" t="inlineStr">
        <is>
          <t>no website listed, only social media (verify on Google Maps)</t>
        </is>
      </c>
      <c r="M278" s="2" t="inlineStr">
        <is>
          <t>Hi Kingswood Park Butchery team! [one real detail from their page]. We're AceAds, a web design studio. We couldn't find a website for Kingswood Park Butchery, only your Facebook. We'd be happy to make you a free preview of what a website could look like. Want one? No cost, no obligation.</t>
        </is>
      </c>
      <c r="N278" s="4" t="inlineStr">
        <is>
          <t>Open map</t>
        </is>
      </c>
      <c r="O278" s="2" t="inlineStr">
        <is>
          <t>Not contacted</t>
        </is>
      </c>
      <c r="P278" s="2" t="inlineStr"/>
      <c r="Q278" s="2" t="inlineStr"/>
      <c r="R278" s="2" t="inlineStr"/>
      <c r="S278" s="2" t="inlineStr"/>
    </row>
    <row r="279">
      <c r="A279" s="2" t="n">
        <v>278</v>
      </c>
      <c r="B279" s="5" t="inlineStr">
        <is>
          <t>VERIFY FIRST</t>
        </is>
      </c>
      <c r="C279" s="2" t="inlineStr">
        <is>
          <t>No website found</t>
        </is>
      </c>
      <c r="D279" s="2" t="inlineStr">
        <is>
          <t>Lakeside Quality Meats</t>
        </is>
      </c>
      <c r="E279" s="2" t="inlineStr">
        <is>
          <t>deli or specialty food</t>
        </is>
      </c>
      <c r="F279" s="2" t="inlineStr">
        <is>
          <t>Gold Coast</t>
        </is>
      </c>
      <c r="G279" s="2" t="inlineStr">
        <is>
          <t>Instagram</t>
        </is>
      </c>
      <c r="H279" s="4" t="inlineStr">
        <is>
          <t>https://www.instagram.com/lakeside_quality_meats</t>
        </is>
      </c>
      <c r="I279" s="4" t="inlineStr">
        <is>
          <t>https://www.facebook.com/lakesidequalitymeatspalmbeach/</t>
        </is>
      </c>
      <c r="J279" s="2" t="inlineStr">
        <is>
          <t>+61 7 5534 5704</t>
        </is>
      </c>
      <c r="K279" s="2" t="inlineStr"/>
      <c r="L279" s="2" t="inlineStr">
        <is>
          <t>no website listed, only social media (verify on Google Maps)</t>
        </is>
      </c>
      <c r="M279" s="2" t="inlineStr">
        <is>
          <t>Hi Lakeside Quality Meats team! [one real detail from their page]. We're AceAds, a web design studio. We couldn't find a website for Lakeside Quality Meats, only your Instagram. We'd be happy to make you a free preview of what a website could look like. Want one? No cost, no obligation.</t>
        </is>
      </c>
      <c r="N279" s="4" t="inlineStr">
        <is>
          <t>Open map</t>
        </is>
      </c>
      <c r="O279" s="2" t="inlineStr">
        <is>
          <t>Not contacted</t>
        </is>
      </c>
      <c r="P279" s="2" t="inlineStr"/>
      <c r="Q279" s="2" t="inlineStr"/>
      <c r="R279" s="2" t="inlineStr"/>
      <c r="S279" s="2" t="inlineStr"/>
    </row>
    <row r="280">
      <c r="A280" s="2" t="n">
        <v>279</v>
      </c>
      <c r="B280" s="5" t="inlineStr">
        <is>
          <t>VERIFY FIRST</t>
        </is>
      </c>
      <c r="C280" s="2" t="inlineStr">
        <is>
          <t>No website found</t>
        </is>
      </c>
      <c r="D280" s="2" t="inlineStr">
        <is>
          <t>Loveday’s Quality Meats</t>
        </is>
      </c>
      <c r="E280" s="2" t="inlineStr">
        <is>
          <t>deli or specialty food</t>
        </is>
      </c>
      <c r="F280" s="2" t="inlineStr">
        <is>
          <t>Gold Coast</t>
        </is>
      </c>
      <c r="G280" s="2" t="inlineStr">
        <is>
          <t>Facebook</t>
        </is>
      </c>
      <c r="H280" s="2" t="inlineStr"/>
      <c r="I280" s="4" t="inlineStr">
        <is>
          <t>https://www.facebook.com/lovedaysqualitymeats/</t>
        </is>
      </c>
      <c r="J280" s="2" t="inlineStr">
        <is>
          <t>+61 7 5593 5023</t>
        </is>
      </c>
      <c r="K280" s="2" t="inlineStr"/>
      <c r="L280" s="2" t="inlineStr">
        <is>
          <t>no website listed, only social media (verify on Google Maps)</t>
        </is>
      </c>
      <c r="M280" s="2" t="inlineStr">
        <is>
          <t>Hi Loveday’s Quality Meats team! [one real detail from their page]. We're AceAds, a web design studio. We couldn't find a website for Loveday’s Quality Meats, only your Facebook. We'd be happy to make you a free preview of what a website could look like. Want one? No cost, no obligation.</t>
        </is>
      </c>
      <c r="N280" s="4" t="inlineStr">
        <is>
          <t>Open map</t>
        </is>
      </c>
      <c r="O280" s="2" t="inlineStr">
        <is>
          <t>Not contacted</t>
        </is>
      </c>
      <c r="P280" s="2" t="inlineStr"/>
      <c r="Q280" s="2" t="inlineStr"/>
      <c r="R280" s="2" t="inlineStr"/>
      <c r="S280" s="2" t="inlineStr"/>
    </row>
    <row r="281">
      <c r="A281" s="2" t="n">
        <v>280</v>
      </c>
      <c r="B281" s="5" t="inlineStr">
        <is>
          <t>VERIFY FIRST</t>
        </is>
      </c>
      <c r="C281" s="2" t="inlineStr">
        <is>
          <t>No website found</t>
        </is>
      </c>
      <c r="D281" s="2" t="inlineStr">
        <is>
          <t>Salt &amp; Smoke Meat Co</t>
        </is>
      </c>
      <c r="E281" s="2" t="inlineStr">
        <is>
          <t>deli or specialty food</t>
        </is>
      </c>
      <c r="F281" s="2" t="inlineStr">
        <is>
          <t>Gold Coast</t>
        </is>
      </c>
      <c r="G281" s="2" t="inlineStr">
        <is>
          <t>Instagram</t>
        </is>
      </c>
      <c r="H281" s="4" t="inlineStr">
        <is>
          <t>https://www.instagram.com/saltandsmoke_meatco/</t>
        </is>
      </c>
      <c r="I281" s="4" t="inlineStr">
        <is>
          <t>https://www.facebook.com/saltandsmokemeatco/</t>
        </is>
      </c>
      <c r="J281" s="2" t="inlineStr">
        <is>
          <t>+61 7 5690 3893</t>
        </is>
      </c>
      <c r="K281" s="2" t="inlineStr"/>
      <c r="L281" s="2" t="inlineStr">
        <is>
          <t>no website listed, only social media (verify on Google Maps)</t>
        </is>
      </c>
      <c r="M281" s="2" t="inlineStr">
        <is>
          <t>Hi Salt &amp; Smoke Meat Co team! [one real detail from their page]. We're AceAds, a web design studio. We couldn't find a website for Salt &amp; Smoke Meat Co, only your Instagram. We'd be happy to make you a free preview of what a website could look like. Want one? No cost, no obligation.</t>
        </is>
      </c>
      <c r="N281" s="4" t="inlineStr">
        <is>
          <t>Open map</t>
        </is>
      </c>
      <c r="O281" s="2" t="inlineStr">
        <is>
          <t>Not contacted</t>
        </is>
      </c>
      <c r="P281" s="2" t="inlineStr"/>
      <c r="Q281" s="2" t="inlineStr"/>
      <c r="R281" s="2" t="inlineStr"/>
      <c r="S281" s="2" t="inlineStr"/>
    </row>
    <row r="282">
      <c r="A282" s="2" t="n">
        <v>281</v>
      </c>
      <c r="B282" s="5" t="inlineStr">
        <is>
          <t>VERIFY FIRST</t>
        </is>
      </c>
      <c r="C282" s="2" t="inlineStr">
        <is>
          <t>No website found</t>
        </is>
      </c>
      <c r="D282" s="2" t="inlineStr">
        <is>
          <t>The Butcher's Table</t>
        </is>
      </c>
      <c r="E282" s="2" t="inlineStr">
        <is>
          <t>deli or specialty food</t>
        </is>
      </c>
      <c r="F282" s="2" t="inlineStr">
        <is>
          <t>Gold Coast</t>
        </is>
      </c>
      <c r="G282" s="2" t="inlineStr">
        <is>
          <t>Facebook</t>
        </is>
      </c>
      <c r="H282" s="2" t="inlineStr"/>
      <c r="I282" s="4" t="inlineStr">
        <is>
          <t>https://facebook.com/thebutcherstablenerang</t>
        </is>
      </c>
      <c r="J282" s="2" t="inlineStr">
        <is>
          <t>+61 7 5502 2019</t>
        </is>
      </c>
      <c r="K282" s="2" t="inlineStr"/>
      <c r="L282" s="2" t="inlineStr">
        <is>
          <t>no website listed, only social media (verify on Google Maps)</t>
        </is>
      </c>
      <c r="M282" s="2" t="inlineStr">
        <is>
          <t>Hi The Butcher's Table team! [one real detail from their page]. We're AceAds, a web design studio. We couldn't find a website for The Butcher's Table, only your Facebook. We'd be happy to make you a free preview of what a website could look like. Want one? No cost, no obligation.</t>
        </is>
      </c>
      <c r="N282" s="4" t="inlineStr">
        <is>
          <t>Open map</t>
        </is>
      </c>
      <c r="O282" s="2" t="inlineStr">
        <is>
          <t>Not contacted</t>
        </is>
      </c>
      <c r="P282" s="2" t="inlineStr"/>
      <c r="Q282" s="2" t="inlineStr"/>
      <c r="R282" s="2" t="inlineStr"/>
      <c r="S282" s="2" t="inlineStr"/>
    </row>
    <row r="283">
      <c r="A283" s="2" t="n">
        <v>282</v>
      </c>
      <c r="B283" s="5" t="inlineStr">
        <is>
          <t>VERIFY FIRST</t>
        </is>
      </c>
      <c r="C283" s="2" t="inlineStr">
        <is>
          <t>No website found</t>
        </is>
      </c>
      <c r="D283" s="2" t="inlineStr">
        <is>
          <t>Vish Fruit &amp; Veg</t>
        </is>
      </c>
      <c r="E283" s="2" t="inlineStr">
        <is>
          <t>deli or specialty food</t>
        </is>
      </c>
      <c r="F283" s="2" t="inlineStr">
        <is>
          <t>Gold Coast</t>
        </is>
      </c>
      <c r="G283" s="2" t="inlineStr">
        <is>
          <t>Instagram</t>
        </is>
      </c>
      <c r="H283" s="4" t="inlineStr">
        <is>
          <t>https://instagram.com/vishnusfreshfruitsanvegetables</t>
        </is>
      </c>
      <c r="I283" s="4" t="inlineStr">
        <is>
          <t>https://facebook.com/people/Vish-Fruit-veg/100063856403485</t>
        </is>
      </c>
      <c r="J283" s="2" t="inlineStr">
        <is>
          <t>+61 449 807 590</t>
        </is>
      </c>
      <c r="K283" s="2" t="inlineStr"/>
      <c r="L283" s="2" t="inlineStr">
        <is>
          <t>no website listed, only social media (verify on Google Maps)</t>
        </is>
      </c>
      <c r="M283" s="2" t="inlineStr">
        <is>
          <t>Hi Vish Fruit &amp; Veg team! [one real detail from their page]. We're AceAds, a web design studio. We couldn't find a website for Vish Fruit &amp; Veg, only your Instagram. We'd be happy to make you a free preview of what a website could look like. Want one? No cost, no obligation.</t>
        </is>
      </c>
      <c r="N283" s="4" t="inlineStr">
        <is>
          <t>Open map</t>
        </is>
      </c>
      <c r="O283" s="2" t="inlineStr">
        <is>
          <t>Not contacted</t>
        </is>
      </c>
      <c r="P283" s="2" t="inlineStr"/>
      <c r="Q283" s="2" t="inlineStr"/>
      <c r="R283" s="2" t="inlineStr"/>
      <c r="S283" s="2" t="inlineStr"/>
    </row>
    <row r="284">
      <c r="A284" s="2" t="n">
        <v>283</v>
      </c>
      <c r="B284" s="5" t="inlineStr">
        <is>
          <t>VERIFY FIRST</t>
        </is>
      </c>
      <c r="C284" s="2" t="inlineStr">
        <is>
          <t>No website found</t>
        </is>
      </c>
      <c r="D284" s="2" t="inlineStr">
        <is>
          <t>Impact Furniture Finishers</t>
        </is>
      </c>
      <c r="E284" s="2" t="inlineStr">
        <is>
          <t>gift or homewares</t>
        </is>
      </c>
      <c r="F284" s="2" t="inlineStr">
        <is>
          <t>Gold Coast</t>
        </is>
      </c>
      <c r="G284" s="2" t="inlineStr">
        <is>
          <t>Facebook</t>
        </is>
      </c>
      <c r="H284" s="2" t="inlineStr"/>
      <c r="I284" s="4" t="inlineStr">
        <is>
          <t>https://www.facebook.com/ImpactFurnitureFinishers/</t>
        </is>
      </c>
      <c r="J284" s="2" t="inlineStr">
        <is>
          <t>+61 7 5598 4155</t>
        </is>
      </c>
      <c r="K284" s="2" t="inlineStr"/>
      <c r="L284" s="2" t="inlineStr">
        <is>
          <t>no website listed, only social media (verify on Google Maps)</t>
        </is>
      </c>
      <c r="M284" s="2" t="inlineStr">
        <is>
          <t>Hi Impact Furniture Finishers team! [one real detail from their page]. We're AceAds, a web design studio. We couldn't find a website for Impact Furniture Finishers, only your Facebook. We'd be happy to make you a free preview of what a website could look like. Want one? No cost, no obligation.</t>
        </is>
      </c>
      <c r="N284" s="4" t="inlineStr">
        <is>
          <t>Open map</t>
        </is>
      </c>
      <c r="O284" s="2" t="inlineStr">
        <is>
          <t>Not contacted</t>
        </is>
      </c>
      <c r="P284" s="2" t="inlineStr"/>
      <c r="Q284" s="2" t="inlineStr"/>
      <c r="R284" s="2" t="inlineStr"/>
      <c r="S284" s="2" t="inlineStr"/>
    </row>
    <row r="285">
      <c r="A285" s="2" t="n">
        <v>284</v>
      </c>
      <c r="B285" s="5" t="inlineStr">
        <is>
          <t>VERIFY FIRST</t>
        </is>
      </c>
      <c r="C285" s="2" t="inlineStr">
        <is>
          <t>No website found</t>
        </is>
      </c>
      <c r="D285" s="2" t="inlineStr">
        <is>
          <t>The Best Things Jewellery</t>
        </is>
      </c>
      <c r="E285" s="2" t="inlineStr">
        <is>
          <t>jeweller</t>
        </is>
      </c>
      <c r="F285" s="2" t="inlineStr">
        <is>
          <t>Gold Coast</t>
        </is>
      </c>
      <c r="G285" s="2" t="inlineStr">
        <is>
          <t>Facebook</t>
        </is>
      </c>
      <c r="H285" s="2" t="inlineStr"/>
      <c r="I285" s="4" t="inlineStr">
        <is>
          <t>https://www.facebook.com/2251GCHWY/</t>
        </is>
      </c>
      <c r="J285" s="2" t="inlineStr">
        <is>
          <t>+61 7 5572 7711</t>
        </is>
      </c>
      <c r="K285" s="2" t="inlineStr"/>
      <c r="L285" s="2" t="inlineStr">
        <is>
          <t>no website listed, only social media (verify on Google Maps)</t>
        </is>
      </c>
      <c r="M285" s="2" t="inlineStr">
        <is>
          <t>Hi The Best Things Jewellery team! [one real detail from their page]. We're AceAds, a web design studio. We couldn't find a website for The Best Things Jewellery, only your Facebook. We'd be happy to make you a free preview of what a website could look like. Want one? No cost, no obligation.</t>
        </is>
      </c>
      <c r="N285" s="4" t="inlineStr">
        <is>
          <t>Open map</t>
        </is>
      </c>
      <c r="O285" s="2" t="inlineStr">
        <is>
          <t>Not contacted</t>
        </is>
      </c>
      <c r="P285" s="2" t="inlineStr"/>
      <c r="Q285" s="2" t="inlineStr"/>
      <c r="R285" s="2" t="inlineStr"/>
      <c r="S285" s="2" t="inlineStr"/>
    </row>
    <row r="286">
      <c r="A286" s="2" t="n">
        <v>285</v>
      </c>
      <c r="B286" s="5" t="inlineStr">
        <is>
          <t>VERIFY FIRST</t>
        </is>
      </c>
      <c r="C286" s="2" t="inlineStr">
        <is>
          <t>No website found</t>
        </is>
      </c>
      <c r="D286" s="2" t="inlineStr">
        <is>
          <t>Palm Beach Cellars</t>
        </is>
      </c>
      <c r="E286" s="2" t="inlineStr">
        <is>
          <t>liquor or wine</t>
        </is>
      </c>
      <c r="F286" s="2" t="inlineStr">
        <is>
          <t>Gold Coast</t>
        </is>
      </c>
      <c r="G286" s="2" t="inlineStr">
        <is>
          <t>Instagram</t>
        </is>
      </c>
      <c r="H286" s="4" t="inlineStr">
        <is>
          <t>https://www.instagram.com/palmbeachcellars/</t>
        </is>
      </c>
      <c r="I286" s="2" t="inlineStr"/>
      <c r="J286" s="2" t="inlineStr">
        <is>
          <t>+61 7 5534 7855</t>
        </is>
      </c>
      <c r="K286" s="2" t="inlineStr"/>
      <c r="L286" s="2" t="inlineStr">
        <is>
          <t>no website listed, only social media (verify on Google Maps)</t>
        </is>
      </c>
      <c r="M286" s="2" t="inlineStr">
        <is>
          <t>Hi Palm Beach Cellars team! [one real detail from their page]. We're AceAds, a web design studio. We couldn't find a website for Palm Beach Cellars, only your Instagram. We'd be happy to make you a free preview of what a website could look like. Want one? No cost, no obligation.</t>
        </is>
      </c>
      <c r="N286" s="4" t="inlineStr">
        <is>
          <t>Open map</t>
        </is>
      </c>
      <c r="O286" s="2" t="inlineStr">
        <is>
          <t>Not contacted</t>
        </is>
      </c>
      <c r="P286" s="2" t="inlineStr"/>
      <c r="Q286" s="2" t="inlineStr"/>
      <c r="R286" s="2" t="inlineStr"/>
      <c r="S286" s="2" t="inlineStr"/>
    </row>
    <row r="287">
      <c r="A287" s="2" t="n">
        <v>286</v>
      </c>
      <c r="B287" s="5" t="inlineStr">
        <is>
          <t>VERIFY FIRST</t>
        </is>
      </c>
      <c r="C287" s="2" t="inlineStr">
        <is>
          <t>No website found</t>
        </is>
      </c>
      <c r="D287" s="2" t="inlineStr">
        <is>
          <t>Bundall Smash Repairs</t>
        </is>
      </c>
      <c r="E287" s="2" t="inlineStr">
        <is>
          <t>mechanic</t>
        </is>
      </c>
      <c r="F287" s="2" t="inlineStr">
        <is>
          <t>Gold Coast</t>
        </is>
      </c>
      <c r="G287" s="2" t="inlineStr">
        <is>
          <t>Facebook</t>
        </is>
      </c>
      <c r="H287" s="2" t="inlineStr"/>
      <c r="I287" s="4" t="inlineStr">
        <is>
          <t>https://www.facebook.com/BundallSmash/</t>
        </is>
      </c>
      <c r="J287" s="2" t="inlineStr">
        <is>
          <t>+61 7 5570 3444</t>
        </is>
      </c>
      <c r="K287" s="2" t="inlineStr"/>
      <c r="L287" s="2" t="inlineStr">
        <is>
          <t>no website listed, only social media (verify on Google Maps)</t>
        </is>
      </c>
      <c r="M287" s="2" t="inlineStr">
        <is>
          <t>Hi Bundall Smash Repairs team! [one real detail from their page]. We're AceAds, a web design studio. We couldn't find a website for Bundall Smash Repairs, only your Facebook. We'd be happy to make you a free preview of what a website could look like. Want one? No cost, no obligation.</t>
        </is>
      </c>
      <c r="N287" s="4" t="inlineStr">
        <is>
          <t>Open map</t>
        </is>
      </c>
      <c r="O287" s="2" t="inlineStr">
        <is>
          <t>Not contacted</t>
        </is>
      </c>
      <c r="P287" s="2" t="inlineStr"/>
      <c r="Q287" s="2" t="inlineStr"/>
      <c r="R287" s="2" t="inlineStr"/>
      <c r="S287" s="2" t="inlineStr"/>
    </row>
    <row r="288">
      <c r="A288" s="2" t="n">
        <v>287</v>
      </c>
      <c r="B288" s="5" t="inlineStr">
        <is>
          <t>VERIFY FIRST</t>
        </is>
      </c>
      <c r="C288" s="2" t="inlineStr">
        <is>
          <t>No website found</t>
        </is>
      </c>
      <c r="D288" s="2" t="inlineStr">
        <is>
          <t>Craig's Detailing</t>
        </is>
      </c>
      <c r="E288" s="2" t="inlineStr">
        <is>
          <t>mechanic</t>
        </is>
      </c>
      <c r="F288" s="2" t="inlineStr">
        <is>
          <t>Gold Coast</t>
        </is>
      </c>
      <c r="G288" s="2" t="inlineStr">
        <is>
          <t>Facebook</t>
        </is>
      </c>
      <c r="H288" s="2" t="inlineStr"/>
      <c r="I288" s="4" t="inlineStr">
        <is>
          <t>https://www.facebook.com/Craigs-Detailing-118049508275423/</t>
        </is>
      </c>
      <c r="J288" s="2" t="inlineStr"/>
      <c r="K288" s="2" t="inlineStr"/>
      <c r="L288" s="2" t="inlineStr">
        <is>
          <t>no website listed, only social media (verify on Google Maps)</t>
        </is>
      </c>
      <c r="M288" s="2" t="inlineStr">
        <is>
          <t>Hi Craig's Detailing team! [one real detail from their page]. We're AceAds, a web design studio. We couldn't find a website for Craig's Detailing, only your Facebook. We'd be happy to make you a free preview of what a website could look like. Want one? No cost, no obligation.</t>
        </is>
      </c>
      <c r="N288" s="4" t="inlineStr">
        <is>
          <t>Open map</t>
        </is>
      </c>
      <c r="O288" s="2" t="inlineStr">
        <is>
          <t>Not contacted</t>
        </is>
      </c>
      <c r="P288" s="2" t="inlineStr"/>
      <c r="Q288" s="2" t="inlineStr"/>
      <c r="R288" s="2" t="inlineStr"/>
      <c r="S288" s="2" t="inlineStr"/>
    </row>
    <row r="289">
      <c r="A289" s="2" t="n">
        <v>288</v>
      </c>
      <c r="B289" s="5" t="inlineStr">
        <is>
          <t>VERIFY FIRST</t>
        </is>
      </c>
      <c r="C289" s="2" t="inlineStr">
        <is>
          <t>No website found</t>
        </is>
      </c>
      <c r="D289" s="2" t="inlineStr">
        <is>
          <t>George Gray Motors</t>
        </is>
      </c>
      <c r="E289" s="2" t="inlineStr">
        <is>
          <t>mechanic</t>
        </is>
      </c>
      <c r="F289" s="2" t="inlineStr">
        <is>
          <t>Gold Coast</t>
        </is>
      </c>
      <c r="G289" s="2" t="inlineStr">
        <is>
          <t>Facebook</t>
        </is>
      </c>
      <c r="H289" s="2" t="inlineStr"/>
      <c r="I289" s="4" t="inlineStr">
        <is>
          <t>https://www.facebook.com/pages/category/Automotive-Repair-Shop/George-Gray-Motors-1800438436943462/</t>
        </is>
      </c>
      <c r="J289" s="2" t="inlineStr">
        <is>
          <t>+61 7 5576 3202</t>
        </is>
      </c>
      <c r="K289" s="2" t="inlineStr"/>
      <c r="L289" s="2" t="inlineStr">
        <is>
          <t>no website listed, only social media (verify on Google Maps)</t>
        </is>
      </c>
      <c r="M289" s="2" t="inlineStr">
        <is>
          <t>Hi George Gray Motors team! [one real detail from their page]. We're AceAds, a web design studio. We couldn't find a website for George Gray Motors, only your Facebook. We'd be happy to make you a free preview of what a website could look like. Want one? No cost, no obligation.</t>
        </is>
      </c>
      <c r="N289" s="4" t="inlineStr">
        <is>
          <t>Open map</t>
        </is>
      </c>
      <c r="O289" s="2" t="inlineStr">
        <is>
          <t>Not contacted</t>
        </is>
      </c>
      <c r="P289" s="2" t="inlineStr"/>
      <c r="Q289" s="2" t="inlineStr"/>
      <c r="R289" s="2" t="inlineStr"/>
      <c r="S289" s="2" t="inlineStr"/>
    </row>
    <row r="290">
      <c r="A290" s="2" t="n">
        <v>289</v>
      </c>
      <c r="B290" s="5" t="inlineStr">
        <is>
          <t>VERIFY FIRST</t>
        </is>
      </c>
      <c r="C290" s="2" t="inlineStr">
        <is>
          <t>No website found</t>
        </is>
      </c>
      <c r="D290" s="2" t="inlineStr">
        <is>
          <t>Guys Bodyworks</t>
        </is>
      </c>
      <c r="E290" s="2" t="inlineStr">
        <is>
          <t>mechanic</t>
        </is>
      </c>
      <c r="F290" s="2" t="inlineStr">
        <is>
          <t>Gold Coast</t>
        </is>
      </c>
      <c r="G290" s="2" t="inlineStr">
        <is>
          <t>Facebook</t>
        </is>
      </c>
      <c r="H290" s="2" t="inlineStr"/>
      <c r="I290" s="4" t="inlineStr">
        <is>
          <t>https://www.facebook.com/pages/Guys-Bodyworks-Southport/190128311365007</t>
        </is>
      </c>
      <c r="J290" s="2" t="inlineStr">
        <is>
          <t>+61 7 5532 1392</t>
        </is>
      </c>
      <c r="K290" s="2" t="inlineStr"/>
      <c r="L290" s="2" t="inlineStr">
        <is>
          <t>no website listed, only social media (verify on Google Maps)</t>
        </is>
      </c>
      <c r="M290" s="2" t="inlineStr">
        <is>
          <t>Hi Guys Bodyworks team! [one real detail from their page]. We're AceAds, a web design studio. We couldn't find a website for Guys Bodyworks, only your Facebook. We'd be happy to make you a free preview of what a website could look like. Want one? No cost, no obligation.</t>
        </is>
      </c>
      <c r="N290" s="4" t="inlineStr">
        <is>
          <t>Open map</t>
        </is>
      </c>
      <c r="O290" s="2" t="inlineStr">
        <is>
          <t>Not contacted</t>
        </is>
      </c>
      <c r="P290" s="2" t="inlineStr"/>
      <c r="Q290" s="2" t="inlineStr"/>
      <c r="R290" s="2" t="inlineStr"/>
      <c r="S290" s="2" t="inlineStr"/>
    </row>
    <row r="291">
      <c r="A291" s="2" t="n">
        <v>290</v>
      </c>
      <c r="B291" s="5" t="inlineStr">
        <is>
          <t>VERIFY FIRST</t>
        </is>
      </c>
      <c r="C291" s="2" t="inlineStr">
        <is>
          <t>No website found</t>
        </is>
      </c>
      <c r="D291" s="2" t="inlineStr">
        <is>
          <t>ToyoTechniks</t>
        </is>
      </c>
      <c r="E291" s="2" t="inlineStr">
        <is>
          <t>mechanic</t>
        </is>
      </c>
      <c r="F291" s="2" t="inlineStr">
        <is>
          <t>Gold Coast</t>
        </is>
      </c>
      <c r="G291" s="2" t="inlineStr">
        <is>
          <t>Facebook</t>
        </is>
      </c>
      <c r="H291" s="2" t="inlineStr"/>
      <c r="I291" s="4" t="inlineStr">
        <is>
          <t>https://www.facebook.com/p/Toyotechniks-100063546062838/</t>
        </is>
      </c>
      <c r="J291" s="2" t="inlineStr">
        <is>
          <t>+61 7 5591 1449</t>
        </is>
      </c>
      <c r="K291" s="2" t="inlineStr"/>
      <c r="L291" s="2" t="inlineStr">
        <is>
          <t>no website listed, only social media (verify on Google Maps)</t>
        </is>
      </c>
      <c r="M291" s="2" t="inlineStr">
        <is>
          <t>Hi ToyoTechniks team! [one real detail from their page]. We're AceAds, a web design studio. We couldn't find a website for ToyoTechniks, only your Facebook. We'd be happy to make you a free preview of what a website could look like. Want one? No cost, no obligation.</t>
        </is>
      </c>
      <c r="N291" s="4" t="inlineStr">
        <is>
          <t>Open map</t>
        </is>
      </c>
      <c r="O291" s="2" t="inlineStr">
        <is>
          <t>Not contacted</t>
        </is>
      </c>
      <c r="P291" s="2" t="inlineStr"/>
      <c r="Q291" s="2" t="inlineStr"/>
      <c r="R291" s="2" t="inlineStr"/>
      <c r="S291" s="2" t="inlineStr"/>
    </row>
    <row r="292">
      <c r="A292" s="2" t="n">
        <v>291</v>
      </c>
      <c r="B292" s="5" t="inlineStr">
        <is>
          <t>VERIFY FIRST</t>
        </is>
      </c>
      <c r="C292" s="2" t="inlineStr">
        <is>
          <t>No website found</t>
        </is>
      </c>
      <c r="D292" s="2" t="inlineStr">
        <is>
          <t>Woodys Auto Electrics</t>
        </is>
      </c>
      <c r="E292" s="2" t="inlineStr">
        <is>
          <t>mechanic</t>
        </is>
      </c>
      <c r="F292" s="2" t="inlineStr">
        <is>
          <t>Gold Coast</t>
        </is>
      </c>
      <c r="G292" s="2" t="inlineStr">
        <is>
          <t>Facebook</t>
        </is>
      </c>
      <c r="H292" s="2" t="inlineStr"/>
      <c r="I292" s="4" t="inlineStr">
        <is>
          <t>https://www.facebook.com/p/Woodys-Auto-Electrics-100054551465189/</t>
        </is>
      </c>
      <c r="J292" s="2" t="inlineStr">
        <is>
          <t>+61 7 5575 2312</t>
        </is>
      </c>
      <c r="K292" s="2" t="inlineStr"/>
      <c r="L292" s="2" t="inlineStr">
        <is>
          <t>no website listed, only social media (verify on Google Maps)</t>
        </is>
      </c>
      <c r="M292" s="2" t="inlineStr">
        <is>
          <t>Hi Woodys Auto Electrics team! [one real detail from their page]. We're AceAds, a web design studio. We couldn't find a website for Woodys Auto Electrics, only your Facebook. We'd be happy to make you a free preview of what a website could look like. Want one? No cost, no obligation.</t>
        </is>
      </c>
      <c r="N292" s="4" t="inlineStr">
        <is>
          <t>Open map</t>
        </is>
      </c>
      <c r="O292" s="2" t="inlineStr">
        <is>
          <t>Not contacted</t>
        </is>
      </c>
      <c r="P292" s="2" t="inlineStr"/>
      <c r="Q292" s="2" t="inlineStr"/>
      <c r="R292" s="2" t="inlineStr"/>
      <c r="S292" s="2" t="inlineStr"/>
    </row>
    <row r="293">
      <c r="A293" s="2" t="n">
        <v>292</v>
      </c>
      <c r="B293" s="5" t="inlineStr">
        <is>
          <t>VERIFY FIRST</t>
        </is>
      </c>
      <c r="C293" s="2" t="inlineStr">
        <is>
          <t>No website found</t>
        </is>
      </c>
      <c r="D293" s="2" t="inlineStr">
        <is>
          <t>Burleigh Pet &amp; Stockfeed Supplies</t>
        </is>
      </c>
      <c r="E293" s="2" t="inlineStr">
        <is>
          <t>pet business</t>
        </is>
      </c>
      <c r="F293" s="2" t="inlineStr">
        <is>
          <t>Gold Coast</t>
        </is>
      </c>
      <c r="G293" s="2" t="inlineStr">
        <is>
          <t>Facebook</t>
        </is>
      </c>
      <c r="H293" s="2" t="inlineStr"/>
      <c r="I293" s="4" t="inlineStr">
        <is>
          <t>https://www.facebook.com/pg/Burleigh-Pet-Stockfeed-Supplies-893075937451992/about/</t>
        </is>
      </c>
      <c r="J293" s="2" t="inlineStr">
        <is>
          <t>+61 7 5520 6662</t>
        </is>
      </c>
      <c r="K293" s="2" t="inlineStr"/>
      <c r="L293" s="2" t="inlineStr">
        <is>
          <t>no website listed, only social media (verify on Google Maps)</t>
        </is>
      </c>
      <c r="M293" s="2" t="inlineStr">
        <is>
          <t>Hi Burleigh Pet &amp; Stockfeed Supplies team! [one real detail from their page]. We're AceAds, a web design studio. We couldn't find a website for Burleigh Pet &amp; Stockfeed Supplies, only your Facebook. We'd be happy to make you a free preview of what a website could look like. Want one? No cost, no obligation.</t>
        </is>
      </c>
      <c r="N293" s="4" t="inlineStr">
        <is>
          <t>Open map</t>
        </is>
      </c>
      <c r="O293" s="2" t="inlineStr">
        <is>
          <t>Not contacted</t>
        </is>
      </c>
      <c r="P293" s="2" t="inlineStr"/>
      <c r="Q293" s="2" t="inlineStr"/>
      <c r="R293" s="2" t="inlineStr"/>
      <c r="S293" s="2" t="inlineStr"/>
    </row>
    <row r="294">
      <c r="A294" s="2" t="n">
        <v>293</v>
      </c>
      <c r="B294" s="5" t="inlineStr">
        <is>
          <t>VERIFY FIRST</t>
        </is>
      </c>
      <c r="C294" s="2" t="inlineStr">
        <is>
          <t>No website found</t>
        </is>
      </c>
      <c r="D294" s="2" t="inlineStr">
        <is>
          <t>Fat Chicken</t>
        </is>
      </c>
      <c r="E294" s="2" t="inlineStr">
        <is>
          <t>takeaway</t>
        </is>
      </c>
      <c r="F294" s="2" t="inlineStr">
        <is>
          <t>Gold Coast</t>
        </is>
      </c>
      <c r="G294" s="2" t="inlineStr">
        <is>
          <t>Facebook</t>
        </is>
      </c>
      <c r="H294" s="2" t="inlineStr"/>
      <c r="I294" s="4" t="inlineStr">
        <is>
          <t>https://www.facebook.com/people/Fat-Chicken-West-Burleigh/100063635289144/</t>
        </is>
      </c>
      <c r="J294" s="2" t="inlineStr"/>
      <c r="K294" s="2" t="inlineStr"/>
      <c r="L294" s="2" t="inlineStr">
        <is>
          <t>no website listed, only social media (verify on Google Maps)</t>
        </is>
      </c>
      <c r="M294" s="2" t="inlineStr">
        <is>
          <t>Hi Fat Chicken team! [one real detail from their page]. We're AceAds, a web design studio. We couldn't find a website for Fat Chicken, only your Facebook. We'd be happy to make you a free preview of what a website could look like. Want one? No cost, no obligation.</t>
        </is>
      </c>
      <c r="N294" s="4" t="inlineStr">
        <is>
          <t>Open map</t>
        </is>
      </c>
      <c r="O294" s="2" t="inlineStr">
        <is>
          <t>Not contacted</t>
        </is>
      </c>
      <c r="P294" s="2" t="inlineStr"/>
      <c r="Q294" s="2" t="inlineStr"/>
      <c r="R294" s="2" t="inlineStr"/>
      <c r="S294" s="2" t="inlineStr"/>
    </row>
    <row r="295">
      <c r="A295" s="2" t="n">
        <v>294</v>
      </c>
      <c r="B295" s="5" t="inlineStr">
        <is>
          <t>VERIFY FIRST</t>
        </is>
      </c>
      <c r="C295" s="2" t="inlineStr">
        <is>
          <t>No website found</t>
        </is>
      </c>
      <c r="D295" s="2" t="inlineStr">
        <is>
          <t>MOFOS Tweed Heads</t>
        </is>
      </c>
      <c r="E295" s="2" t="inlineStr">
        <is>
          <t>takeaway</t>
        </is>
      </c>
      <c r="F295" s="2" t="inlineStr">
        <is>
          <t>Gold Coast</t>
        </is>
      </c>
      <c r="G295" s="2" t="inlineStr">
        <is>
          <t>Facebook</t>
        </is>
      </c>
      <c r="H295" s="2" t="inlineStr"/>
      <c r="I295" s="4" t="inlineStr">
        <is>
          <t>https://www.facebook.com/MOFOSTWEEDHEADS/</t>
        </is>
      </c>
      <c r="J295" s="2" t="inlineStr">
        <is>
          <t>+61 434 099 876</t>
        </is>
      </c>
      <c r="K295" s="2" t="inlineStr"/>
      <c r="L295" s="2" t="inlineStr">
        <is>
          <t>no website listed, only social media (verify on Google Maps)</t>
        </is>
      </c>
      <c r="M295" s="2" t="inlineStr">
        <is>
          <t>Hi MOFOS Tweed Heads team! [one real detail from their page]. We're AceAds, a web design studio. We couldn't find a website for MOFOS Tweed Heads, only your Facebook. We'd be happy to make you a free preview of what a website could look like. Want one? No cost, no obligation.</t>
        </is>
      </c>
      <c r="N295" s="4" t="inlineStr">
        <is>
          <t>Open map</t>
        </is>
      </c>
      <c r="O295" s="2" t="inlineStr">
        <is>
          <t>Not contacted</t>
        </is>
      </c>
      <c r="P295" s="2" t="inlineStr"/>
      <c r="Q295" s="2" t="inlineStr"/>
      <c r="R295" s="2" t="inlineStr"/>
      <c r="S295" s="2" t="inlineStr"/>
    </row>
    <row r="296">
      <c r="A296" s="2" t="n">
        <v>295</v>
      </c>
      <c r="B296" s="5" t="inlineStr">
        <is>
          <t>VERIFY FIRST</t>
        </is>
      </c>
      <c r="C296" s="2" t="inlineStr">
        <is>
          <t>No website found</t>
        </is>
      </c>
      <c r="D296" s="2" t="inlineStr">
        <is>
          <t>Notorious E.A.T Food Truck</t>
        </is>
      </c>
      <c r="E296" s="2" t="inlineStr">
        <is>
          <t>takeaway</t>
        </is>
      </c>
      <c r="F296" s="2" t="inlineStr">
        <is>
          <t>Gold Coast</t>
        </is>
      </c>
      <c r="G296" s="2" t="inlineStr">
        <is>
          <t>Facebook</t>
        </is>
      </c>
      <c r="H296" s="2" t="inlineStr"/>
      <c r="I296" s="4" t="inlineStr">
        <is>
          <t>https://www.facebook.com/notoriouseat/</t>
        </is>
      </c>
      <c r="J296" s="2" t="inlineStr">
        <is>
          <t>+61 419 472 407</t>
        </is>
      </c>
      <c r="K296" s="2" t="inlineStr"/>
      <c r="L296" s="2" t="inlineStr">
        <is>
          <t>no website listed, only social media (verify on Google Maps)</t>
        </is>
      </c>
      <c r="M296" s="2" t="inlineStr">
        <is>
          <t>Hi Notorious E.A.T Food Truck team! [one real detail from their page]. We're AceAds, a web design studio. We couldn't find a website for Notorious E.A.T Food Truck, only your Facebook. We'd be happy to make you a free preview of what a website could look like. Want one? No cost, no obligation.</t>
        </is>
      </c>
      <c r="N296" s="4" t="inlineStr">
        <is>
          <t>Open map</t>
        </is>
      </c>
      <c r="O296" s="2" t="inlineStr">
        <is>
          <t>Not contacted</t>
        </is>
      </c>
      <c r="P296" s="2" t="inlineStr"/>
      <c r="Q296" s="2" t="inlineStr"/>
      <c r="R296" s="2" t="inlineStr"/>
      <c r="S296" s="2" t="inlineStr"/>
    </row>
    <row r="297">
      <c r="A297" s="2" t="n">
        <v>296</v>
      </c>
      <c r="B297" s="5" t="inlineStr">
        <is>
          <t>VERIFY FIRST</t>
        </is>
      </c>
      <c r="C297" s="2" t="inlineStr">
        <is>
          <t>No website found</t>
        </is>
      </c>
      <c r="D297" s="2" t="inlineStr">
        <is>
          <t>Haree Tattoo Studio</t>
        </is>
      </c>
      <c r="E297" s="2" t="inlineStr">
        <is>
          <t>tattoo studio</t>
        </is>
      </c>
      <c r="F297" s="2" t="inlineStr">
        <is>
          <t>Gold Coast</t>
        </is>
      </c>
      <c r="G297" s="2" t="inlineStr">
        <is>
          <t>Facebook</t>
        </is>
      </c>
      <c r="H297" s="2" t="inlineStr"/>
      <c r="I297" s="4" t="inlineStr">
        <is>
          <t>https://www.facebook.com/hareetattoostudio/</t>
        </is>
      </c>
      <c r="J297" s="2" t="inlineStr"/>
      <c r="K297" s="2" t="inlineStr"/>
      <c r="L297" s="2" t="inlineStr">
        <is>
          <t>no website listed, only social media (verify on Google Maps)</t>
        </is>
      </c>
      <c r="M297" s="2" t="inlineStr">
        <is>
          <t>Hi Haree Tattoo Studio team! [one real detail from their page]. We're AceAds, a web design studio. We couldn't find a website for Haree Tattoo Studio, only your Facebook. We'd be happy to make you a free preview of what a website could look like. Want one? No cost, no obligation.</t>
        </is>
      </c>
      <c r="N297" s="4" t="inlineStr">
        <is>
          <t>Open map</t>
        </is>
      </c>
      <c r="O297" s="2" t="inlineStr">
        <is>
          <t>Not contacted</t>
        </is>
      </c>
      <c r="P297" s="2" t="inlineStr"/>
      <c r="Q297" s="2" t="inlineStr"/>
      <c r="R297" s="2" t="inlineStr"/>
      <c r="S297" s="2" t="inlineStr"/>
    </row>
    <row r="298">
      <c r="A298" s="2" t="n">
        <v>297</v>
      </c>
      <c r="B298" s="5" t="inlineStr">
        <is>
          <t>VERIFY FIRST</t>
        </is>
      </c>
      <c r="C298" s="2" t="inlineStr">
        <is>
          <t>No website found</t>
        </is>
      </c>
      <c r="D298" s="2" t="inlineStr">
        <is>
          <t>Inkhanced Cosmetic Tattoo</t>
        </is>
      </c>
      <c r="E298" s="2" t="inlineStr">
        <is>
          <t>tattoo studio</t>
        </is>
      </c>
      <c r="F298" s="2" t="inlineStr">
        <is>
          <t>Gold Coast</t>
        </is>
      </c>
      <c r="G298" s="2" t="inlineStr">
        <is>
          <t>Instagram</t>
        </is>
      </c>
      <c r="H298" s="4" t="inlineStr">
        <is>
          <t>https://instagram.com/inkhanced</t>
        </is>
      </c>
      <c r="I298" s="4" t="inlineStr">
        <is>
          <t>https://facebook.com/Inkhanced</t>
        </is>
      </c>
      <c r="J298" s="2" t="inlineStr">
        <is>
          <t>+61 406 917 329</t>
        </is>
      </c>
      <c r="K298" s="2" t="inlineStr"/>
      <c r="L298" s="2" t="inlineStr">
        <is>
          <t>no website listed, only social media (verify on Google Maps)</t>
        </is>
      </c>
      <c r="M298" s="2" t="inlineStr">
        <is>
          <t>Hi Inkhanced Cosmetic Tattoo team! [one real detail from their page]. We're AceAds, a web design studio. We couldn't find a website for Inkhanced Cosmetic Tattoo, only your Instagram. We'd be happy to make you a free preview of what a website could look like. Want one? No cost, no obligation.</t>
        </is>
      </c>
      <c r="N298" s="4" t="inlineStr">
        <is>
          <t>Open map</t>
        </is>
      </c>
      <c r="O298" s="2" t="inlineStr">
        <is>
          <t>Not contacted</t>
        </is>
      </c>
      <c r="P298" s="2" t="inlineStr"/>
      <c r="Q298" s="2" t="inlineStr"/>
      <c r="R298" s="2" t="inlineStr"/>
      <c r="S298" s="2" t="inlineStr"/>
    </row>
    <row r="299">
      <c r="A299" s="2" t="n">
        <v>298</v>
      </c>
      <c r="B299" s="5" t="inlineStr">
        <is>
          <t>VERIFY FIRST</t>
        </is>
      </c>
      <c r="C299" s="2" t="inlineStr">
        <is>
          <t>No website found</t>
        </is>
      </c>
      <c r="D299" s="2" t="inlineStr">
        <is>
          <t>La Femme Tattoo House</t>
        </is>
      </c>
      <c r="E299" s="2" t="inlineStr">
        <is>
          <t>tattoo studio</t>
        </is>
      </c>
      <c r="F299" s="2" t="inlineStr">
        <is>
          <t>Gold Coast</t>
        </is>
      </c>
      <c r="G299" s="2" t="inlineStr">
        <is>
          <t>Instagram</t>
        </is>
      </c>
      <c r="H299" s="4" t="inlineStr">
        <is>
          <t>https://www.instagram.com/lafemmetattoohouse/</t>
        </is>
      </c>
      <c r="I299" s="2" t="inlineStr"/>
      <c r="J299" s="2" t="inlineStr"/>
      <c r="K299" s="2" t="inlineStr"/>
      <c r="L299" s="2" t="inlineStr">
        <is>
          <t>no website listed, only social media (verify on Google Maps)</t>
        </is>
      </c>
      <c r="M299" s="2" t="inlineStr">
        <is>
          <t>Hi La Femme Tattoo House team! [one real detail from their page]. We're AceAds, a web design studio. We couldn't find a website for La Femme Tattoo House, only your Instagram. We'd be happy to make you a free preview of what a website could look like. Want one? No cost, no obligation.</t>
        </is>
      </c>
      <c r="N299" s="4" t="inlineStr">
        <is>
          <t>Open map</t>
        </is>
      </c>
      <c r="O299" s="2" t="inlineStr">
        <is>
          <t>Not contacted</t>
        </is>
      </c>
      <c r="P299" s="2" t="inlineStr"/>
      <c r="Q299" s="2" t="inlineStr"/>
      <c r="R299" s="2" t="inlineStr"/>
      <c r="S299" s="2" t="inlineStr"/>
    </row>
    <row r="300">
      <c r="A300" s="2" t="n">
        <v>299</v>
      </c>
      <c r="B300" s="5" t="inlineStr">
        <is>
          <t>VERIFY FIRST</t>
        </is>
      </c>
      <c r="C300" s="2" t="inlineStr">
        <is>
          <t>No website found</t>
        </is>
      </c>
      <c r="D300" s="2" t="inlineStr">
        <is>
          <t>Vision Tattoo Studio</t>
        </is>
      </c>
      <c r="E300" s="2" t="inlineStr">
        <is>
          <t>tattoo studio</t>
        </is>
      </c>
      <c r="F300" s="2" t="inlineStr">
        <is>
          <t>Gold Coast</t>
        </is>
      </c>
      <c r="G300" s="2" t="inlineStr">
        <is>
          <t>Instagram</t>
        </is>
      </c>
      <c r="H300" s="4" t="inlineStr">
        <is>
          <t>https://instagram.com/visiontattoomiami</t>
        </is>
      </c>
      <c r="I300" s="4" t="inlineStr">
        <is>
          <t>https://facebook.com/visiontattoomiami</t>
        </is>
      </c>
      <c r="J300" s="2" t="inlineStr">
        <is>
          <t>+61 7 5648 1664</t>
        </is>
      </c>
      <c r="K300" s="2" t="inlineStr"/>
      <c r="L300" s="2" t="inlineStr">
        <is>
          <t>no website listed, only social media (verify on Google Maps)</t>
        </is>
      </c>
      <c r="M300" s="2" t="inlineStr">
        <is>
          <t>Hi Vision Tattoo Studio team! [one real detail from their page]. We're AceAds, a web design studio. We couldn't find a website for Vision Tattoo Studio, only your Instagram. We'd be happy to make you a free preview of what a website could look like. Want one? No cost, no obligation.</t>
        </is>
      </c>
      <c r="N300" s="4" t="inlineStr">
        <is>
          <t>Open map</t>
        </is>
      </c>
      <c r="O300" s="2" t="inlineStr">
        <is>
          <t>Not contacted</t>
        </is>
      </c>
      <c r="P300" s="2" t="inlineStr"/>
      <c r="Q300" s="2" t="inlineStr"/>
      <c r="R300" s="2" t="inlineStr"/>
      <c r="S300" s="2" t="inlineStr"/>
    </row>
    <row r="301">
      <c r="A301" s="2" t="n">
        <v>300</v>
      </c>
      <c r="B301" s="5" t="inlineStr">
        <is>
          <t>VERIFY FIRST</t>
        </is>
      </c>
      <c r="C301" s="2" t="inlineStr">
        <is>
          <t>No website found</t>
        </is>
      </c>
      <c r="D301" s="2" t="inlineStr">
        <is>
          <t>Mt Pleasant Hotel</t>
        </is>
      </c>
      <c r="E301" s="2" t="inlineStr">
        <is>
          <t>restaurant</t>
        </is>
      </c>
      <c r="F301" s="2" t="inlineStr">
        <is>
          <t>Gympie</t>
        </is>
      </c>
      <c r="G301" s="2" t="inlineStr">
        <is>
          <t>Facebook</t>
        </is>
      </c>
      <c r="H301" s="2" t="inlineStr"/>
      <c r="I301" s="4" t="inlineStr">
        <is>
          <t>https://www.facebook.com/Mt-Pleasant-Hotel-Gympie-Qld-102265668185990/</t>
        </is>
      </c>
      <c r="J301" s="2" t="inlineStr"/>
      <c r="K301" s="2" t="inlineStr"/>
      <c r="L301" s="2" t="inlineStr">
        <is>
          <t>no website listed, only social media (verify on Google Maps)</t>
        </is>
      </c>
      <c r="M301" s="2" t="inlineStr">
        <is>
          <t>Hi Mt Pleasant Hotel team! [one real detail from their page]. We're AceAds, a web design studio. We couldn't find a website for Mt Pleasant Hotel, only your Facebook. We'd be happy to make you a free preview of what a website could look like. Want one? No cost, no obligation.</t>
        </is>
      </c>
      <c r="N301" s="4" t="inlineStr">
        <is>
          <t>Open map</t>
        </is>
      </c>
      <c r="O301" s="2" t="inlineStr">
        <is>
          <t>Not contacted</t>
        </is>
      </c>
      <c r="P301" s="2" t="inlineStr"/>
      <c r="Q301" s="2" t="inlineStr"/>
      <c r="R301" s="2" t="inlineStr"/>
      <c r="S301" s="2" t="inlineStr"/>
    </row>
    <row r="302">
      <c r="A302" s="2" t="n">
        <v>301</v>
      </c>
      <c r="B302" s="5" t="inlineStr">
        <is>
          <t>VERIFY FIRST</t>
        </is>
      </c>
      <c r="C302" s="2" t="inlineStr">
        <is>
          <t>No website found</t>
        </is>
      </c>
      <c r="D302" s="2" t="inlineStr">
        <is>
          <t>Southside Takeaways</t>
        </is>
      </c>
      <c r="E302" s="2" t="inlineStr">
        <is>
          <t>takeaway</t>
        </is>
      </c>
      <c r="F302" s="2" t="inlineStr">
        <is>
          <t>Gympie</t>
        </is>
      </c>
      <c r="G302" s="2" t="inlineStr">
        <is>
          <t>Instagram</t>
        </is>
      </c>
      <c r="H302" s="4" t="inlineStr">
        <is>
          <t>https://www.instagram.com/southside_takeaways</t>
        </is>
      </c>
      <c r="I302" s="2" t="inlineStr"/>
      <c r="J302" s="2" t="inlineStr">
        <is>
          <t>+61 7 5482 4660</t>
        </is>
      </c>
      <c r="K302" s="2" t="inlineStr"/>
      <c r="L302" s="2" t="inlineStr">
        <is>
          <t>no website listed, only social media (verify on Google Maps)</t>
        </is>
      </c>
      <c r="M302" s="2" t="inlineStr">
        <is>
          <t>Hi Southside Takeaways team! [one real detail from their page]. We're AceAds, a web design studio. We couldn't find a website for Southside Takeaways, only your Instagram. We'd be happy to make you a free preview of what a website could look like. Want one? No cost, no obligation.</t>
        </is>
      </c>
      <c r="N302" s="4" t="inlineStr">
        <is>
          <t>Open map</t>
        </is>
      </c>
      <c r="O302" s="2" t="inlineStr">
        <is>
          <t>Not contacted</t>
        </is>
      </c>
      <c r="P302" s="2" t="inlineStr"/>
      <c r="Q302" s="2" t="inlineStr"/>
      <c r="R302" s="2" t="inlineStr"/>
      <c r="S302" s="2" t="inlineStr"/>
    </row>
    <row r="303">
      <c r="A303" s="2" t="n">
        <v>302</v>
      </c>
      <c r="B303" s="5" t="inlineStr">
        <is>
          <t>VERIFY FIRST</t>
        </is>
      </c>
      <c r="C303" s="2" t="inlineStr">
        <is>
          <t>No website found</t>
        </is>
      </c>
      <c r="D303" s="2" t="inlineStr">
        <is>
          <t>Federal Hotel</t>
        </is>
      </c>
      <c r="E303" s="2" t="inlineStr">
        <is>
          <t>bar or pub</t>
        </is>
      </c>
      <c r="F303" s="2" t="inlineStr">
        <is>
          <t>Ipswich</t>
        </is>
      </c>
      <c r="G303" s="2" t="inlineStr">
        <is>
          <t>Facebook</t>
        </is>
      </c>
      <c r="H303" s="2" t="inlineStr"/>
      <c r="I303" s="4" t="inlineStr">
        <is>
          <t>https://www.facebook.com/FederalHotelIpswich/</t>
        </is>
      </c>
      <c r="J303" s="2" t="inlineStr">
        <is>
          <t>+61 7 3281 4855</t>
        </is>
      </c>
      <c r="K303" s="2" t="inlineStr"/>
      <c r="L303" s="2" t="inlineStr">
        <is>
          <t>no website listed, only social media (verify on Google Maps)</t>
        </is>
      </c>
      <c r="M303" s="2" t="inlineStr">
        <is>
          <t>Hi Federal Hotel team! [one real detail from their page]. We're AceAds, a web design studio. We couldn't find a website for Federal Hotel, only your Facebook. We'd be happy to make you a free preview of what a website could look like. Want one? No cost, no obligation.</t>
        </is>
      </c>
      <c r="N303" s="4" t="inlineStr">
        <is>
          <t>Open map</t>
        </is>
      </c>
      <c r="O303" s="2" t="inlineStr">
        <is>
          <t>Not contacted</t>
        </is>
      </c>
      <c r="P303" s="2" t="inlineStr"/>
      <c r="Q303" s="2" t="inlineStr"/>
      <c r="R303" s="2" t="inlineStr"/>
      <c r="S303" s="2" t="inlineStr"/>
    </row>
    <row r="304">
      <c r="A304" s="2" t="n">
        <v>303</v>
      </c>
      <c r="B304" s="5" t="inlineStr">
        <is>
          <t>VERIFY FIRST</t>
        </is>
      </c>
      <c r="C304" s="2" t="inlineStr">
        <is>
          <t>No website found</t>
        </is>
      </c>
      <c r="D304" s="2" t="inlineStr">
        <is>
          <t>HeavyW8 Barbers</t>
        </is>
      </c>
      <c r="E304" s="2" t="inlineStr">
        <is>
          <t>barber or hairdresser</t>
        </is>
      </c>
      <c r="F304" s="2" t="inlineStr">
        <is>
          <t>Ipswich</t>
        </is>
      </c>
      <c r="G304" s="2" t="inlineStr">
        <is>
          <t>Facebook</t>
        </is>
      </c>
      <c r="H304" s="2" t="inlineStr"/>
      <c r="I304" s="4" t="inlineStr">
        <is>
          <t>https://www.facebook.com/HeavyW8Barbers/</t>
        </is>
      </c>
      <c r="J304" s="2" t="inlineStr">
        <is>
          <t>+61 411 428 917</t>
        </is>
      </c>
      <c r="K304" s="2" t="inlineStr"/>
      <c r="L304" s="2" t="inlineStr">
        <is>
          <t>no website listed, only social media (verify on Google Maps)</t>
        </is>
      </c>
      <c r="M304" s="2" t="inlineStr">
        <is>
          <t>Hi HeavyW8 Barbers team! [one real detail from their page]. We're AceAds, a web design studio. We couldn't find a website for HeavyW8 Barbers, only your Facebook. We'd be happy to make you a free preview of what a website could look like. Want one? No cost, no obligation.</t>
        </is>
      </c>
      <c r="N304" s="4" t="inlineStr">
        <is>
          <t>Open map</t>
        </is>
      </c>
      <c r="O304" s="2" t="inlineStr">
        <is>
          <t>Not contacted</t>
        </is>
      </c>
      <c r="P304" s="2" t="inlineStr"/>
      <c r="Q304" s="2" t="inlineStr"/>
      <c r="R304" s="2" t="inlineStr"/>
      <c r="S304" s="2" t="inlineStr"/>
    </row>
    <row r="305">
      <c r="A305" s="2" t="n">
        <v>304</v>
      </c>
      <c r="B305" s="5" t="inlineStr">
        <is>
          <t>VERIFY FIRST</t>
        </is>
      </c>
      <c r="C305" s="2" t="inlineStr">
        <is>
          <t>No website found</t>
        </is>
      </c>
      <c r="D305" s="2" t="inlineStr">
        <is>
          <t>Ellen &amp; Rod Cafe</t>
        </is>
      </c>
      <c r="E305" s="2" t="inlineStr">
        <is>
          <t>cafe</t>
        </is>
      </c>
      <c r="F305" s="2" t="inlineStr">
        <is>
          <t>Ipswich</t>
        </is>
      </c>
      <c r="G305" s="2" t="inlineStr">
        <is>
          <t>Facebook</t>
        </is>
      </c>
      <c r="H305" s="2" t="inlineStr"/>
      <c r="I305" s="4" t="inlineStr">
        <is>
          <t>https://www.facebook.com/Ellenandrod/</t>
        </is>
      </c>
      <c r="J305" s="2" t="inlineStr">
        <is>
          <t>+61 488 598 290</t>
        </is>
      </c>
      <c r="K305" s="2" t="inlineStr"/>
      <c r="L305" s="2" t="inlineStr">
        <is>
          <t>no website listed, only social media (verify on Google Maps)</t>
        </is>
      </c>
      <c r="M305" s="2" t="inlineStr">
        <is>
          <t>Hi Ellen &amp; Rod Cafe team! [one real detail from their page]. We're AceAds, a web design studio. We couldn't find a website for Ellen &amp; Rod Cafe, only your Facebook. We'd be happy to make you a free preview of what a website could look like. Want one? No cost, no obligation.</t>
        </is>
      </c>
      <c r="N305" s="4" t="inlineStr">
        <is>
          <t>Open map</t>
        </is>
      </c>
      <c r="O305" s="2" t="inlineStr">
        <is>
          <t>Not contacted</t>
        </is>
      </c>
      <c r="P305" s="2" t="inlineStr"/>
      <c r="Q305" s="2" t="inlineStr"/>
      <c r="R305" s="2" t="inlineStr"/>
      <c r="S305" s="2" t="inlineStr"/>
    </row>
    <row r="306">
      <c r="A306" s="2" t="n">
        <v>305</v>
      </c>
      <c r="B306" s="5" t="inlineStr">
        <is>
          <t>VERIFY FIRST</t>
        </is>
      </c>
      <c r="C306" s="2" t="inlineStr">
        <is>
          <t>No website found</t>
        </is>
      </c>
      <c r="D306" s="2" t="inlineStr">
        <is>
          <t>The Chambers Cafe</t>
        </is>
      </c>
      <c r="E306" s="2" t="inlineStr">
        <is>
          <t>cafe</t>
        </is>
      </c>
      <c r="F306" s="2" t="inlineStr">
        <is>
          <t>Ipswich</t>
        </is>
      </c>
      <c r="G306" s="2" t="inlineStr">
        <is>
          <t>Facebook</t>
        </is>
      </c>
      <c r="H306" s="2" t="inlineStr"/>
      <c r="I306" s="4" t="inlineStr">
        <is>
          <t>https://www.facebook.com/thechamberscafe</t>
        </is>
      </c>
      <c r="J306" s="2" t="inlineStr">
        <is>
          <t>+61 491 875 347</t>
        </is>
      </c>
      <c r="K306" s="2" t="inlineStr"/>
      <c r="L306" s="2" t="inlineStr">
        <is>
          <t>no website listed, only social media (verify on Google Maps)</t>
        </is>
      </c>
      <c r="M306" s="2" t="inlineStr">
        <is>
          <t>Hi The Chambers Cafe team! [one real detail from their page]. We're AceAds, a web design studio. We couldn't find a website for The Chambers Cafe, only your Facebook. We'd be happy to make you a free preview of what a website could look like. Want one? No cost, no obligation.</t>
        </is>
      </c>
      <c r="N306" s="4" t="inlineStr">
        <is>
          <t>Open map</t>
        </is>
      </c>
      <c r="O306" s="2" t="inlineStr">
        <is>
          <t>Not contacted</t>
        </is>
      </c>
      <c r="P306" s="2" t="inlineStr"/>
      <c r="Q306" s="2" t="inlineStr"/>
      <c r="R306" s="2" t="inlineStr"/>
      <c r="S306" s="2" t="inlineStr"/>
    </row>
    <row r="307">
      <c r="A307" s="2" t="n">
        <v>306</v>
      </c>
      <c r="B307" s="5" t="inlineStr">
        <is>
          <t>VERIFY FIRST</t>
        </is>
      </c>
      <c r="C307" s="2" t="inlineStr">
        <is>
          <t>No website found</t>
        </is>
      </c>
      <c r="D307" s="2" t="inlineStr">
        <is>
          <t>Tower Central Cafe</t>
        </is>
      </c>
      <c r="E307" s="2" t="inlineStr">
        <is>
          <t>cafe</t>
        </is>
      </c>
      <c r="F307" s="2" t="inlineStr">
        <is>
          <t>Ipswich</t>
        </is>
      </c>
      <c r="G307" s="2" t="inlineStr">
        <is>
          <t>Facebook</t>
        </is>
      </c>
      <c r="H307" s="2" t="inlineStr"/>
      <c r="I307" s="4" t="inlineStr">
        <is>
          <t>https://www.facebook.com/towercentralcafeipswich/</t>
        </is>
      </c>
      <c r="J307" s="2" t="inlineStr">
        <is>
          <t>+61 7 3812 3157</t>
        </is>
      </c>
      <c r="K307" s="2" t="inlineStr"/>
      <c r="L307" s="2" t="inlineStr">
        <is>
          <t>no website listed, only social media (verify on Google Maps)</t>
        </is>
      </c>
      <c r="M307" s="2" t="inlineStr">
        <is>
          <t>Hi Tower Central Cafe team! [one real detail from their page]. We're AceAds, a web design studio. We couldn't find a website for Tower Central Cafe, only your Facebook. We'd be happy to make you a free preview of what a website could look like. Want one? No cost, no obligation.</t>
        </is>
      </c>
      <c r="N307" s="4" t="inlineStr">
        <is>
          <t>Open map</t>
        </is>
      </c>
      <c r="O307" s="2" t="inlineStr">
        <is>
          <t>Not contacted</t>
        </is>
      </c>
      <c r="P307" s="2" t="inlineStr"/>
      <c r="Q307" s="2" t="inlineStr"/>
      <c r="R307" s="2" t="inlineStr"/>
      <c r="S307" s="2" t="inlineStr"/>
    </row>
    <row r="308">
      <c r="A308" s="2" t="n">
        <v>307</v>
      </c>
      <c r="B308" s="5" t="inlineStr">
        <is>
          <t>VERIFY FIRST</t>
        </is>
      </c>
      <c r="C308" s="2" t="inlineStr">
        <is>
          <t>No website found</t>
        </is>
      </c>
      <c r="D308" s="2" t="inlineStr">
        <is>
          <t>Brett Smith &amp; Co. Solicitors</t>
        </is>
      </c>
      <c r="E308" s="2" t="inlineStr">
        <is>
          <t>professional services</t>
        </is>
      </c>
      <c r="F308" s="2" t="inlineStr">
        <is>
          <t>Ipswich</t>
        </is>
      </c>
      <c r="G308" s="2" t="inlineStr">
        <is>
          <t>Facebook</t>
        </is>
      </c>
      <c r="H308" s="2" t="inlineStr"/>
      <c r="I308" s="4" t="inlineStr">
        <is>
          <t>https://www.facebook.com/brettsmithandco/</t>
        </is>
      </c>
      <c r="J308" s="2" t="inlineStr">
        <is>
          <t>+61 7 3281 9999</t>
        </is>
      </c>
      <c r="K308" s="2" t="inlineStr"/>
      <c r="L308" s="2" t="inlineStr">
        <is>
          <t>no website listed, only social media (verify on Google Maps)</t>
        </is>
      </c>
      <c r="M308" s="2" t="inlineStr">
        <is>
          <t>Hi Brett Smith &amp; Co. Solicitors team! [one real detail from their page]. We're AceAds, a web design studio. We couldn't find a website for Brett Smith &amp; Co. Solicitors, only your Facebook. We'd be happy to make you a free preview of what a website could look like. Want one? No cost, no obligation.</t>
        </is>
      </c>
      <c r="N308" s="4" t="inlineStr">
        <is>
          <t>Open map</t>
        </is>
      </c>
      <c r="O308" s="2" t="inlineStr">
        <is>
          <t>Not contacted</t>
        </is>
      </c>
      <c r="P308" s="2" t="inlineStr"/>
      <c r="Q308" s="2" t="inlineStr"/>
      <c r="R308" s="2" t="inlineStr"/>
      <c r="S308" s="2" t="inlineStr"/>
    </row>
    <row r="309">
      <c r="A309" s="2" t="n">
        <v>308</v>
      </c>
      <c r="B309" s="5" t="inlineStr">
        <is>
          <t>VERIFY FIRST</t>
        </is>
      </c>
      <c r="C309" s="2" t="inlineStr">
        <is>
          <t>No website found</t>
        </is>
      </c>
      <c r="D309" s="2" t="inlineStr">
        <is>
          <t>Hoe Inn Food Bar</t>
        </is>
      </c>
      <c r="E309" s="2" t="inlineStr">
        <is>
          <t>takeaway</t>
        </is>
      </c>
      <c r="F309" s="2" t="inlineStr">
        <is>
          <t>Ipswich</t>
        </is>
      </c>
      <c r="G309" s="2" t="inlineStr">
        <is>
          <t>Facebook</t>
        </is>
      </c>
      <c r="H309" s="2" t="inlineStr"/>
      <c r="I309" s="4" t="inlineStr">
        <is>
          <t>https://www.facebook.com/HoeInnFoodBar/</t>
        </is>
      </c>
      <c r="J309" s="2" t="inlineStr">
        <is>
          <t>+61 7 3281 3822</t>
        </is>
      </c>
      <c r="K309" s="2" t="inlineStr"/>
      <c r="L309" s="2" t="inlineStr">
        <is>
          <t>no website listed, only social media (verify on Google Maps)</t>
        </is>
      </c>
      <c r="M309" s="2" t="inlineStr">
        <is>
          <t>Hi Hoe Inn Food Bar team! [one real detail from their page]. We're AceAds, a web design studio. We couldn't find a website for Hoe Inn Food Bar, only your Facebook. We'd be happy to make you a free preview of what a website could look like. Want one? No cost, no obligation.</t>
        </is>
      </c>
      <c r="N309" s="4" t="inlineStr">
        <is>
          <t>Open map</t>
        </is>
      </c>
      <c r="O309" s="2" t="inlineStr">
        <is>
          <t>Not contacted</t>
        </is>
      </c>
      <c r="P309" s="2" t="inlineStr"/>
      <c r="Q309" s="2" t="inlineStr"/>
      <c r="R309" s="2" t="inlineStr"/>
      <c r="S309" s="2" t="inlineStr"/>
    </row>
    <row r="310">
      <c r="A310" s="2" t="n">
        <v>309</v>
      </c>
      <c r="B310" s="5" t="inlineStr">
        <is>
          <t>VERIFY FIRST</t>
        </is>
      </c>
      <c r="C310" s="2" t="inlineStr">
        <is>
          <t>No website found</t>
        </is>
      </c>
      <c r="D310" s="2" t="inlineStr">
        <is>
          <t>Hot Property Realty</t>
        </is>
      </c>
      <c r="E310" s="2" t="inlineStr">
        <is>
          <t>real estate agent</t>
        </is>
      </c>
      <c r="F310" s="2" t="inlineStr">
        <is>
          <t>Mackay</t>
        </is>
      </c>
      <c r="G310" s="2" t="inlineStr">
        <is>
          <t>Facebook</t>
        </is>
      </c>
      <c r="H310" s="2" t="inlineStr"/>
      <c r="I310" s="4" t="inlineStr">
        <is>
          <t>https://facebook.com/hotpropertymackay</t>
        </is>
      </c>
      <c r="J310" s="2" t="inlineStr">
        <is>
          <t>+61 7 4942 8855</t>
        </is>
      </c>
      <c r="K310" s="2" t="inlineStr"/>
      <c r="L310" s="2" t="inlineStr">
        <is>
          <t>no website listed, only social media (verify on Google Maps)</t>
        </is>
      </c>
      <c r="M310" s="2" t="inlineStr">
        <is>
          <t>Hi Hot Property Realty team! [one real detail from their page]. We're AceAds, a web design studio. We couldn't find a website for Hot Property Realty, only your Facebook. We'd be happy to make you a free preview of what a website could look like. Want one? No cost, no obligation.</t>
        </is>
      </c>
      <c r="N310" s="4" t="inlineStr">
        <is>
          <t>Open map</t>
        </is>
      </c>
      <c r="O310" s="2" t="inlineStr">
        <is>
          <t>Not contacted</t>
        </is>
      </c>
      <c r="P310" s="2" t="inlineStr"/>
      <c r="Q310" s="2" t="inlineStr"/>
      <c r="R310" s="2" t="inlineStr"/>
      <c r="S310" s="2" t="inlineStr"/>
    </row>
    <row r="311">
      <c r="A311" s="2" t="n">
        <v>310</v>
      </c>
      <c r="B311" s="5" t="inlineStr">
        <is>
          <t>VERIFY FIRST</t>
        </is>
      </c>
      <c r="C311" s="2" t="inlineStr">
        <is>
          <t>No website found</t>
        </is>
      </c>
      <c r="D311" s="2" t="inlineStr">
        <is>
          <t>Happy Days Diner</t>
        </is>
      </c>
      <c r="E311" s="2" t="inlineStr">
        <is>
          <t>restaurant</t>
        </is>
      </c>
      <c r="F311" s="2" t="inlineStr">
        <is>
          <t>Maryborough</t>
        </is>
      </c>
      <c r="G311" s="2" t="inlineStr">
        <is>
          <t>Facebook</t>
        </is>
      </c>
      <c r="H311" s="2" t="inlineStr"/>
      <c r="I311" s="4" t="inlineStr">
        <is>
          <t>https://www.facebook.com/happydaysdinermaryborough/</t>
        </is>
      </c>
      <c r="J311" s="2" t="inlineStr">
        <is>
          <t>+61 7 4194 6086</t>
        </is>
      </c>
      <c r="K311" s="2" t="inlineStr"/>
      <c r="L311" s="2" t="inlineStr">
        <is>
          <t>no website listed, only social media (verify on Google Maps)</t>
        </is>
      </c>
      <c r="M311" s="2" t="inlineStr">
        <is>
          <t>Hi Happy Days Diner team! [one real detail from their page]. We're AceAds, a web design studio. We couldn't find a website for Happy Days Diner, only your Facebook. We'd be happy to make you a free preview of what a website could look like. Want one? No cost, no obligation.</t>
        </is>
      </c>
      <c r="N311" s="4" t="inlineStr">
        <is>
          <t>Open map</t>
        </is>
      </c>
      <c r="O311" s="2" t="inlineStr">
        <is>
          <t>Not contacted</t>
        </is>
      </c>
      <c r="P311" s="2" t="inlineStr"/>
      <c r="Q311" s="2" t="inlineStr"/>
      <c r="R311" s="2" t="inlineStr"/>
      <c r="S311" s="2" t="inlineStr"/>
    </row>
    <row r="312">
      <c r="A312" s="2" t="n">
        <v>311</v>
      </c>
      <c r="B312" s="5" t="inlineStr">
        <is>
          <t>VERIFY FIRST</t>
        </is>
      </c>
      <c r="C312" s="2" t="inlineStr">
        <is>
          <t>No website found</t>
        </is>
      </c>
      <c r="D312" s="2" t="inlineStr">
        <is>
          <t>Naturally Noodle</t>
        </is>
      </c>
      <c r="E312" s="2" t="inlineStr">
        <is>
          <t>takeaway</t>
        </is>
      </c>
      <c r="F312" s="2" t="inlineStr">
        <is>
          <t>Maryborough</t>
        </is>
      </c>
      <c r="G312" s="2" t="inlineStr">
        <is>
          <t>Facebook</t>
        </is>
      </c>
      <c r="H312" s="2" t="inlineStr"/>
      <c r="I312" s="4" t="inlineStr">
        <is>
          <t>https://www.facebook.com/p/Naturally-Noodle-Maryborough-100063178812068/</t>
        </is>
      </c>
      <c r="J312" s="2" t="inlineStr">
        <is>
          <t>+61 7 4123 6628</t>
        </is>
      </c>
      <c r="K312" s="2" t="inlineStr"/>
      <c r="L312" s="2" t="inlineStr">
        <is>
          <t>no website listed, only social media (verify on Google Maps)</t>
        </is>
      </c>
      <c r="M312" s="2" t="inlineStr">
        <is>
          <t>Hi Naturally Noodle team! [one real detail from their page]. We're AceAds, a web design studio. We couldn't find a website for Naturally Noodle, only your Facebook. We'd be happy to make you a free preview of what a website could look like. Want one? No cost, no obligation.</t>
        </is>
      </c>
      <c r="N312" s="4" t="inlineStr">
        <is>
          <t>Open map</t>
        </is>
      </c>
      <c r="O312" s="2" t="inlineStr">
        <is>
          <t>Not contacted</t>
        </is>
      </c>
      <c r="P312" s="2" t="inlineStr"/>
      <c r="Q312" s="2" t="inlineStr"/>
      <c r="R312" s="2" t="inlineStr"/>
      <c r="S312" s="2" t="inlineStr"/>
    </row>
    <row r="313">
      <c r="A313" s="2" t="n">
        <v>312</v>
      </c>
      <c r="B313" s="5" t="inlineStr">
        <is>
          <t>VERIFY FIRST</t>
        </is>
      </c>
      <c r="C313" s="2" t="inlineStr">
        <is>
          <t>No website found</t>
        </is>
      </c>
      <c r="D313" s="2" t="inlineStr">
        <is>
          <t>SG Cafe</t>
        </is>
      </c>
      <c r="E313" s="2" t="inlineStr">
        <is>
          <t>bakery</t>
        </is>
      </c>
      <c r="F313" s="2" t="inlineStr">
        <is>
          <t>Moreton Bay</t>
        </is>
      </c>
      <c r="G313" s="2" t="inlineStr">
        <is>
          <t>Facebook</t>
        </is>
      </c>
      <c r="H313" s="2" t="inlineStr"/>
      <c r="I313" s="4" t="inlineStr">
        <is>
          <t>https://www.facebook.com/sgcafe.com.au/</t>
        </is>
      </c>
      <c r="J313" s="2" t="inlineStr">
        <is>
          <t>+61 7 5432 3071</t>
        </is>
      </c>
      <c r="K313" s="2" t="inlineStr"/>
      <c r="L313" s="2" t="inlineStr">
        <is>
          <t>no website listed, only social media (verify on Google Maps)</t>
        </is>
      </c>
      <c r="M313" s="2" t="inlineStr">
        <is>
          <t>Hi SG Cafe team! [one real detail from their page]. We're AceAds, a web design studio. We couldn't find a website for SG Cafe, only your Facebook. We'd be happy to make you a free preview of what a website could look like. Want one? No cost, no obligation.</t>
        </is>
      </c>
      <c r="N313" s="4" t="inlineStr">
        <is>
          <t>Open map</t>
        </is>
      </c>
      <c r="O313" s="2" t="inlineStr">
        <is>
          <t>Not contacted</t>
        </is>
      </c>
      <c r="P313" s="2" t="inlineStr"/>
      <c r="Q313" s="2" t="inlineStr"/>
      <c r="R313" s="2" t="inlineStr"/>
      <c r="S313" s="2" t="inlineStr"/>
    </row>
    <row r="314">
      <c r="A314" s="2" t="n">
        <v>313</v>
      </c>
      <c r="B314" s="5" t="inlineStr">
        <is>
          <t>VERIFY FIRST</t>
        </is>
      </c>
      <c r="C314" s="2" t="inlineStr">
        <is>
          <t>No website found</t>
        </is>
      </c>
      <c r="D314" s="2" t="inlineStr">
        <is>
          <t>Cuts on Cresthaven</t>
        </is>
      </c>
      <c r="E314" s="2" t="inlineStr">
        <is>
          <t>barber or hairdresser</t>
        </is>
      </c>
      <c r="F314" s="2" t="inlineStr">
        <is>
          <t>Moreton Bay</t>
        </is>
      </c>
      <c r="G314" s="2" t="inlineStr">
        <is>
          <t>Facebook</t>
        </is>
      </c>
      <c r="H314" s="2" t="inlineStr"/>
      <c r="I314" s="4" t="inlineStr">
        <is>
          <t>https://www.facebook.com/profile.php/?id=100054399854687</t>
        </is>
      </c>
      <c r="J314" s="2" t="inlineStr">
        <is>
          <t>+61 7 5499 0042</t>
        </is>
      </c>
      <c r="K314" s="2" t="inlineStr"/>
      <c r="L314" s="2" t="inlineStr">
        <is>
          <t>no website listed, only social media (verify on Google Maps)</t>
        </is>
      </c>
      <c r="M314" s="2" t="inlineStr">
        <is>
          <t>Hi Cuts on Cresthaven team! [one real detail from their page]. We're AceAds, a web design studio. We couldn't find a website for Cuts on Cresthaven, only your Facebook. We'd be happy to make you a free preview of what a website could look like. Want one? No cost, no obligation.</t>
        </is>
      </c>
      <c r="N314" s="4" t="inlineStr">
        <is>
          <t>Open map</t>
        </is>
      </c>
      <c r="O314" s="2" t="inlineStr">
        <is>
          <t>Not contacted</t>
        </is>
      </c>
      <c r="P314" s="2" t="inlineStr"/>
      <c r="Q314" s="2" t="inlineStr"/>
      <c r="R314" s="2" t="inlineStr"/>
      <c r="S314" s="2" t="inlineStr"/>
    </row>
    <row r="315">
      <c r="A315" s="2" t="n">
        <v>314</v>
      </c>
      <c r="B315" s="5" t="inlineStr">
        <is>
          <t>VERIFY FIRST</t>
        </is>
      </c>
      <c r="C315" s="2" t="inlineStr">
        <is>
          <t>No website found</t>
        </is>
      </c>
      <c r="D315" s="2" t="inlineStr">
        <is>
          <t>Hair on Archer</t>
        </is>
      </c>
      <c r="E315" s="2" t="inlineStr">
        <is>
          <t>barber or hairdresser</t>
        </is>
      </c>
      <c r="F315" s="2" t="inlineStr">
        <is>
          <t>Moreton Bay</t>
        </is>
      </c>
      <c r="G315" s="2" t="inlineStr">
        <is>
          <t>Facebook</t>
        </is>
      </c>
      <c r="H315" s="2" t="inlineStr"/>
      <c r="I315" s="4" t="inlineStr">
        <is>
          <t>https://www.facebook.com/haironarcher/</t>
        </is>
      </c>
      <c r="J315" s="2" t="inlineStr">
        <is>
          <t>+61 410 882 702</t>
        </is>
      </c>
      <c r="K315" s="2" t="inlineStr"/>
      <c r="L315" s="2" t="inlineStr">
        <is>
          <t>no website listed, only social media (verify on Google Maps)</t>
        </is>
      </c>
      <c r="M315" s="2" t="inlineStr">
        <is>
          <t>Hi Hair on Archer team! [one real detail from their page]. We're AceAds, a web design studio. We couldn't find a website for Hair on Archer, only your Facebook. We'd be happy to make you a free preview of what a website could look like. Want one? No cost, no obligation.</t>
        </is>
      </c>
      <c r="N315" s="4" t="inlineStr">
        <is>
          <t>Open map</t>
        </is>
      </c>
      <c r="O315" s="2" t="inlineStr">
        <is>
          <t>Not contacted</t>
        </is>
      </c>
      <c r="P315" s="2" t="inlineStr"/>
      <c r="Q315" s="2" t="inlineStr"/>
      <c r="R315" s="2" t="inlineStr"/>
      <c r="S315" s="2" t="inlineStr"/>
    </row>
    <row r="316">
      <c r="A316" s="2" t="n">
        <v>315</v>
      </c>
      <c r="B316" s="5" t="inlineStr">
        <is>
          <t>VERIFY FIRST</t>
        </is>
      </c>
      <c r="C316" s="2" t="inlineStr">
        <is>
          <t>No website found</t>
        </is>
      </c>
      <c r="D316" s="2" t="inlineStr">
        <is>
          <t>Sway on Bribie</t>
        </is>
      </c>
      <c r="E316" s="2" t="inlineStr">
        <is>
          <t>boutique</t>
        </is>
      </c>
      <c r="F316" s="2" t="inlineStr">
        <is>
          <t>Moreton Bay</t>
        </is>
      </c>
      <c r="G316" s="2" t="inlineStr">
        <is>
          <t>Facebook</t>
        </is>
      </c>
      <c r="H316" s="2" t="inlineStr"/>
      <c r="I316" s="4" t="inlineStr">
        <is>
          <t>https://www.facebook.com/SwayonBribie</t>
        </is>
      </c>
      <c r="J316" s="2" t="inlineStr">
        <is>
          <t>+61 439 757 772</t>
        </is>
      </c>
      <c r="K316" s="2" t="inlineStr"/>
      <c r="L316" s="2" t="inlineStr">
        <is>
          <t>no website listed, only social media (verify on Google Maps)</t>
        </is>
      </c>
      <c r="M316" s="2" t="inlineStr">
        <is>
          <t>Hi Sway on Bribie team! [one real detail from their page]. We're AceAds, a web design studio. We couldn't find a website for Sway on Bribie, only your Facebook. We'd be happy to make you a free preview of what a website could look like. Want one? No cost, no obligation.</t>
        </is>
      </c>
      <c r="N316" s="4" t="inlineStr">
        <is>
          <t>Open map</t>
        </is>
      </c>
      <c r="O316" s="2" t="inlineStr">
        <is>
          <t>Not contacted</t>
        </is>
      </c>
      <c r="P316" s="2" t="inlineStr"/>
      <c r="Q316" s="2" t="inlineStr"/>
      <c r="R316" s="2" t="inlineStr"/>
      <c r="S316" s="2" t="inlineStr"/>
    </row>
    <row r="317">
      <c r="A317" s="2" t="n">
        <v>316</v>
      </c>
      <c r="B317" s="5" t="inlineStr">
        <is>
          <t>VERIFY FIRST</t>
        </is>
      </c>
      <c r="C317" s="2" t="inlineStr">
        <is>
          <t>No website found</t>
        </is>
      </c>
      <c r="D317" s="2" t="inlineStr">
        <is>
          <t>JEZ Automotive</t>
        </is>
      </c>
      <c r="E317" s="2" t="inlineStr">
        <is>
          <t>mechanic</t>
        </is>
      </c>
      <c r="F317" s="2" t="inlineStr">
        <is>
          <t>Moreton Bay</t>
        </is>
      </c>
      <c r="G317" s="2" t="inlineStr">
        <is>
          <t>Facebook</t>
        </is>
      </c>
      <c r="H317" s="2" t="inlineStr"/>
      <c r="I317" s="4" t="inlineStr">
        <is>
          <t>https://www.facebook.com/JezAutomotive/</t>
        </is>
      </c>
      <c r="J317" s="2" t="inlineStr"/>
      <c r="K317" s="2" t="inlineStr"/>
      <c r="L317" s="2" t="inlineStr">
        <is>
          <t>no website listed, only social media (verify on Google Maps)</t>
        </is>
      </c>
      <c r="M317" s="2" t="inlineStr">
        <is>
          <t>Hi JEZ Automotive team! [one real detail from their page]. We're AceAds, a web design studio. We couldn't find a website for JEZ Automotive, only your Facebook. We'd be happy to make you a free preview of what a website could look like. Want one? No cost, no obligation.</t>
        </is>
      </c>
      <c r="N317" s="4" t="inlineStr">
        <is>
          <t>Open map</t>
        </is>
      </c>
      <c r="O317" s="2" t="inlineStr">
        <is>
          <t>Not contacted</t>
        </is>
      </c>
      <c r="P317" s="2" t="inlineStr"/>
      <c r="Q317" s="2" t="inlineStr"/>
      <c r="R317" s="2" t="inlineStr"/>
      <c r="S317" s="2" t="inlineStr"/>
    </row>
    <row r="318">
      <c r="A318" s="2" t="n">
        <v>317</v>
      </c>
      <c r="B318" s="5" t="inlineStr">
        <is>
          <t>VERIFY FIRST</t>
        </is>
      </c>
      <c r="C318" s="2" t="inlineStr">
        <is>
          <t>No website found</t>
        </is>
      </c>
      <c r="D318" s="2" t="inlineStr">
        <is>
          <t>Bongaree Pet Food</t>
        </is>
      </c>
      <c r="E318" s="2" t="inlineStr">
        <is>
          <t>pet business</t>
        </is>
      </c>
      <c r="F318" s="2" t="inlineStr">
        <is>
          <t>Moreton Bay</t>
        </is>
      </c>
      <c r="G318" s="2" t="inlineStr">
        <is>
          <t>Facebook</t>
        </is>
      </c>
      <c r="H318" s="2" t="inlineStr"/>
      <c r="I318" s="4" t="inlineStr">
        <is>
          <t>https://www.facebook.com/profile.php/?id=100057076285153</t>
        </is>
      </c>
      <c r="J318" s="2" t="inlineStr">
        <is>
          <t>+61 455 372 014</t>
        </is>
      </c>
      <c r="K318" s="2" t="inlineStr"/>
      <c r="L318" s="2" t="inlineStr">
        <is>
          <t>no website listed, only social media (verify on Google Maps)</t>
        </is>
      </c>
      <c r="M318" s="2" t="inlineStr">
        <is>
          <t>Hi Bongaree Pet Food team! [one real detail from their page]. We're AceAds, a web design studio. We couldn't find a website for Bongaree Pet Food, only your Facebook. We'd be happy to make you a free preview of what a website could look like. Want one? No cost, no obligation.</t>
        </is>
      </c>
      <c r="N318" s="4" t="inlineStr">
        <is>
          <t>Open map</t>
        </is>
      </c>
      <c r="O318" s="2" t="inlineStr">
        <is>
          <t>Not contacted</t>
        </is>
      </c>
      <c r="P318" s="2" t="inlineStr"/>
      <c r="Q318" s="2" t="inlineStr"/>
      <c r="R318" s="2" t="inlineStr"/>
      <c r="S318" s="2" t="inlineStr"/>
    </row>
    <row r="319">
      <c r="A319" s="2" t="n">
        <v>318</v>
      </c>
      <c r="B319" s="5" t="inlineStr">
        <is>
          <t>VERIFY FIRST</t>
        </is>
      </c>
      <c r="C319" s="2" t="inlineStr">
        <is>
          <t>No website found</t>
        </is>
      </c>
      <c r="D319" s="2" t="inlineStr">
        <is>
          <t>Council Corner Cafe</t>
        </is>
      </c>
      <c r="E319" s="2" t="inlineStr">
        <is>
          <t>takeaway</t>
        </is>
      </c>
      <c r="F319" s="2" t="inlineStr">
        <is>
          <t>Moreton Bay</t>
        </is>
      </c>
      <c r="G319" s="2" t="inlineStr">
        <is>
          <t>Facebook</t>
        </is>
      </c>
      <c r="H319" s="2" t="inlineStr"/>
      <c r="I319" s="4" t="inlineStr">
        <is>
          <t>https://www.facebook.com/p/Council-Corner-Cafe-61560625214132/</t>
        </is>
      </c>
      <c r="J319" s="2" t="inlineStr"/>
      <c r="K319" s="2" t="inlineStr"/>
      <c r="L319" s="2" t="inlineStr">
        <is>
          <t>no website listed, only social media (verify on Google Maps)</t>
        </is>
      </c>
      <c r="M319" s="2" t="inlineStr">
        <is>
          <t>Hi Council Corner Cafe team! [one real detail from their page]. We're AceAds, a web design studio. We couldn't find a website for Council Corner Cafe, only your Facebook. We'd be happy to make you a free preview of what a website could look like. Want one? No cost, no obligation.</t>
        </is>
      </c>
      <c r="N319" s="4" t="inlineStr">
        <is>
          <t>Open map</t>
        </is>
      </c>
      <c r="O319" s="2" t="inlineStr">
        <is>
          <t>Not contacted</t>
        </is>
      </c>
      <c r="P319" s="2" t="inlineStr"/>
      <c r="Q319" s="2" t="inlineStr"/>
      <c r="R319" s="2" t="inlineStr"/>
      <c r="S319" s="2" t="inlineStr"/>
    </row>
    <row r="320">
      <c r="A320" s="2" t="n">
        <v>319</v>
      </c>
      <c r="B320" s="5" t="inlineStr">
        <is>
          <t>VERIFY FIRST</t>
        </is>
      </c>
      <c r="C320" s="2" t="inlineStr">
        <is>
          <t>No website found</t>
        </is>
      </c>
      <c r="D320" s="2" t="inlineStr">
        <is>
          <t>Fishermans Daughter</t>
        </is>
      </c>
      <c r="E320" s="2" t="inlineStr">
        <is>
          <t>takeaway</t>
        </is>
      </c>
      <c r="F320" s="2" t="inlineStr">
        <is>
          <t>Moreton Bay</t>
        </is>
      </c>
      <c r="G320" s="2" t="inlineStr">
        <is>
          <t>Facebook</t>
        </is>
      </c>
      <c r="H320" s="2" t="inlineStr"/>
      <c r="I320" s="4" t="inlineStr">
        <is>
          <t>https://www.facebook.com/fishermansdaughterdeceptionbay/</t>
        </is>
      </c>
      <c r="J320" s="2" t="inlineStr">
        <is>
          <t>+61 7 3204 8144</t>
        </is>
      </c>
      <c r="K320" s="2" t="inlineStr"/>
      <c r="L320" s="2" t="inlineStr">
        <is>
          <t>no website listed, only social media (verify on Google Maps)</t>
        </is>
      </c>
      <c r="M320" s="2" t="inlineStr">
        <is>
          <t>Hi Fishermans Daughter team! [one real detail from their page]. We're AceAds, a web design studio. We couldn't find a website for Fishermans Daughter, only your Facebook. We'd be happy to make you a free preview of what a website could look like. Want one? No cost, no obligation.</t>
        </is>
      </c>
      <c r="N320" s="4" t="inlineStr">
        <is>
          <t>Open map</t>
        </is>
      </c>
      <c r="O320" s="2" t="inlineStr">
        <is>
          <t>Not contacted</t>
        </is>
      </c>
      <c r="P320" s="2" t="inlineStr"/>
      <c r="Q320" s="2" t="inlineStr"/>
      <c r="R320" s="2" t="inlineStr"/>
      <c r="S320" s="2" t="inlineStr"/>
    </row>
    <row r="321">
      <c r="A321" s="2" t="n">
        <v>320</v>
      </c>
      <c r="B321" s="5" t="inlineStr">
        <is>
          <t>VERIFY FIRST</t>
        </is>
      </c>
      <c r="C321" s="2" t="inlineStr">
        <is>
          <t>No website found</t>
        </is>
      </c>
      <c r="D321" s="2" t="inlineStr">
        <is>
          <t>Johnny's Pizza Place</t>
        </is>
      </c>
      <c r="E321" s="2" t="inlineStr">
        <is>
          <t>takeaway</t>
        </is>
      </c>
      <c r="F321" s="2" t="inlineStr">
        <is>
          <t>Moreton Bay</t>
        </is>
      </c>
      <c r="G321" s="2" t="inlineStr">
        <is>
          <t>Facebook</t>
        </is>
      </c>
      <c r="H321" s="2" t="inlineStr"/>
      <c r="I321" s="4" t="inlineStr">
        <is>
          <t>https://www.facebook.com/johnnyspizzaplace</t>
        </is>
      </c>
      <c r="J321" s="2" t="inlineStr">
        <is>
          <t>+61 7 3425 2208</t>
        </is>
      </c>
      <c r="K321" s="2" t="inlineStr"/>
      <c r="L321" s="2" t="inlineStr">
        <is>
          <t>no website listed, only social media (verify on Google Maps)</t>
        </is>
      </c>
      <c r="M321" s="2" t="inlineStr">
        <is>
          <t>Hi Johnny's Pizza Place team! [one real detail from their page]. We're AceAds, a web design studio. We couldn't find a website for Johnny's Pizza Place, only your Facebook. We'd be happy to make you a free preview of what a website could look like. Want one? No cost, no obligation.</t>
        </is>
      </c>
      <c r="N321" s="4" t="inlineStr">
        <is>
          <t>Open map</t>
        </is>
      </c>
      <c r="O321" s="2" t="inlineStr">
        <is>
          <t>Not contacted</t>
        </is>
      </c>
      <c r="P321" s="2" t="inlineStr"/>
      <c r="Q321" s="2" t="inlineStr"/>
      <c r="R321" s="2" t="inlineStr"/>
      <c r="S321" s="2" t="inlineStr"/>
    </row>
    <row r="322">
      <c r="A322" s="2" t="n">
        <v>321</v>
      </c>
      <c r="B322" s="5" t="inlineStr">
        <is>
          <t>VERIFY FIRST</t>
        </is>
      </c>
      <c r="C322" s="2" t="inlineStr">
        <is>
          <t>No website found</t>
        </is>
      </c>
      <c r="D322" s="2" t="inlineStr">
        <is>
          <t>Emjay Spa &amp; Beauty</t>
        </is>
      </c>
      <c r="E322" s="2" t="inlineStr">
        <is>
          <t>beauty salon</t>
        </is>
      </c>
      <c r="F322" s="2" t="inlineStr">
        <is>
          <t>Redlands</t>
        </is>
      </c>
      <c r="G322" s="2" t="inlineStr">
        <is>
          <t>Facebook</t>
        </is>
      </c>
      <c r="H322" s="2" t="inlineStr"/>
      <c r="I322" s="4" t="inlineStr">
        <is>
          <t>https://www.facebook.com/emjaybeautyspa/</t>
        </is>
      </c>
      <c r="J322" s="2" t="inlineStr"/>
      <c r="K322" s="2" t="inlineStr"/>
      <c r="L322" s="2" t="inlineStr">
        <is>
          <t>no website listed, only social media (verify on Google Maps)</t>
        </is>
      </c>
      <c r="M322" s="2" t="inlineStr">
        <is>
          <t>Hi Emjay Spa &amp; Beauty team! [one real detail from their page]. We're AceAds, a web design studio. We couldn't find a website for Emjay Spa &amp; Beauty, only your Facebook. We'd be happy to make you a free preview of what a website could look like. Want one? No cost, no obligation.</t>
        </is>
      </c>
      <c r="N322" s="4" t="inlineStr">
        <is>
          <t>Open map</t>
        </is>
      </c>
      <c r="O322" s="2" t="inlineStr">
        <is>
          <t>Not contacted</t>
        </is>
      </c>
      <c r="P322" s="2" t="inlineStr"/>
      <c r="Q322" s="2" t="inlineStr"/>
      <c r="R322" s="2" t="inlineStr"/>
      <c r="S322" s="2" t="inlineStr"/>
    </row>
    <row r="323">
      <c r="A323" s="2" t="n">
        <v>322</v>
      </c>
      <c r="B323" s="5" t="inlineStr">
        <is>
          <t>VERIFY FIRST</t>
        </is>
      </c>
      <c r="C323" s="2" t="inlineStr">
        <is>
          <t>No website found</t>
        </is>
      </c>
      <c r="D323" s="2" t="inlineStr">
        <is>
          <t>Curlew Cafe</t>
        </is>
      </c>
      <c r="E323" s="2" t="inlineStr">
        <is>
          <t>cafe</t>
        </is>
      </c>
      <c r="F323" s="2" t="inlineStr">
        <is>
          <t>Redlands</t>
        </is>
      </c>
      <c r="G323" s="2" t="inlineStr">
        <is>
          <t>Facebook</t>
        </is>
      </c>
      <c r="H323" s="2" t="inlineStr"/>
      <c r="I323" s="4" t="inlineStr">
        <is>
          <t>https://www.facebook.com/curlewcoochie</t>
        </is>
      </c>
      <c r="J323" s="2" t="inlineStr"/>
      <c r="K323" s="2" t="inlineStr"/>
      <c r="L323" s="2" t="inlineStr">
        <is>
          <t>no website listed, only social media (verify on Google Maps)</t>
        </is>
      </c>
      <c r="M323" s="2" t="inlineStr">
        <is>
          <t>Hi Curlew Cafe team! [one real detail from their page]. We're AceAds, a web design studio. We couldn't find a website for Curlew Cafe, only your Facebook. We'd be happy to make you a free preview of what a website could look like. Want one? No cost, no obligation.</t>
        </is>
      </c>
      <c r="N323" s="4" t="inlineStr">
        <is>
          <t>Open map</t>
        </is>
      </c>
      <c r="O323" s="2" t="inlineStr">
        <is>
          <t>Not contacted</t>
        </is>
      </c>
      <c r="P323" s="2" t="inlineStr"/>
      <c r="Q323" s="2" t="inlineStr"/>
      <c r="R323" s="2" t="inlineStr"/>
      <c r="S323" s="2" t="inlineStr"/>
    </row>
    <row r="324">
      <c r="A324" s="2" t="n">
        <v>323</v>
      </c>
      <c r="B324" s="5" t="inlineStr">
        <is>
          <t>VERIFY FIRST</t>
        </is>
      </c>
      <c r="C324" s="2" t="inlineStr">
        <is>
          <t>No website found</t>
        </is>
      </c>
      <c r="D324" s="2" t="inlineStr">
        <is>
          <t>Pelican Cafe</t>
        </is>
      </c>
      <c r="E324" s="2" t="inlineStr">
        <is>
          <t>cafe</t>
        </is>
      </c>
      <c r="F324" s="2" t="inlineStr">
        <is>
          <t>Redlands</t>
        </is>
      </c>
      <c r="G324" s="2" t="inlineStr">
        <is>
          <t>Facebook</t>
        </is>
      </c>
      <c r="H324" s="2" t="inlineStr"/>
      <c r="I324" s="4" t="inlineStr">
        <is>
          <t>https://www.facebook.com/PelicanCafe293/</t>
        </is>
      </c>
      <c r="J324" s="2" t="inlineStr"/>
      <c r="K324" s="2" t="inlineStr"/>
      <c r="L324" s="2" t="inlineStr">
        <is>
          <t>no website listed, only social media (verify on Google Maps)</t>
        </is>
      </c>
      <c r="M324" s="2" t="inlineStr">
        <is>
          <t>Hi Pelican Cafe team! [one real detail from their page]. We're AceAds, a web design studio. We couldn't find a website for Pelican Cafe, only your Facebook. We'd be happy to make you a free preview of what a website could look like. Want one? No cost, no obligation.</t>
        </is>
      </c>
      <c r="N324" s="4" t="inlineStr">
        <is>
          <t>Open map</t>
        </is>
      </c>
      <c r="O324" s="2" t="inlineStr">
        <is>
          <t>Not contacted</t>
        </is>
      </c>
      <c r="P324" s="2" t="inlineStr"/>
      <c r="Q324" s="2" t="inlineStr"/>
      <c r="R324" s="2" t="inlineStr"/>
      <c r="S324" s="2" t="inlineStr"/>
    </row>
    <row r="325">
      <c r="A325" s="2" t="n">
        <v>324</v>
      </c>
      <c r="B325" s="5" t="inlineStr">
        <is>
          <t>VERIFY FIRST</t>
        </is>
      </c>
      <c r="C325" s="2" t="inlineStr">
        <is>
          <t>No website found</t>
        </is>
      </c>
      <c r="D325" s="2" t="inlineStr">
        <is>
          <t>The Big Mushroom Fruit Barn</t>
        </is>
      </c>
      <c r="E325" s="2" t="inlineStr">
        <is>
          <t>deli or specialty food</t>
        </is>
      </c>
      <c r="F325" s="2" t="inlineStr">
        <is>
          <t>Redlands</t>
        </is>
      </c>
      <c r="G325" s="2" t="inlineStr">
        <is>
          <t>Facebook</t>
        </is>
      </c>
      <c r="H325" s="2" t="inlineStr"/>
      <c r="I325" s="4" t="inlineStr">
        <is>
          <t>https://www.facebook.com/103601592445707</t>
        </is>
      </c>
      <c r="J325" s="2" t="inlineStr">
        <is>
          <t>+61 490 871 225</t>
        </is>
      </c>
      <c r="K325" s="2" t="inlineStr"/>
      <c r="L325" s="2" t="inlineStr">
        <is>
          <t>no website listed, only social media (verify on Google Maps)</t>
        </is>
      </c>
      <c r="M325" s="2" t="inlineStr">
        <is>
          <t>Hi The Big Mushroom Fruit Barn team! [one real detail from their page]. We're AceAds, a web design studio. We couldn't find a website for The Big Mushroom Fruit Barn, only your Facebook. We'd be happy to make you a free preview of what a website could look like. Want one? No cost, no obligation.</t>
        </is>
      </c>
      <c r="N325" s="4" t="inlineStr">
        <is>
          <t>Open map</t>
        </is>
      </c>
      <c r="O325" s="2" t="inlineStr">
        <is>
          <t>Not contacted</t>
        </is>
      </c>
      <c r="P325" s="2" t="inlineStr"/>
      <c r="Q325" s="2" t="inlineStr"/>
      <c r="R325" s="2" t="inlineStr"/>
      <c r="S325" s="2" t="inlineStr"/>
    </row>
    <row r="326">
      <c r="A326" s="2" t="n">
        <v>325</v>
      </c>
      <c r="B326" s="5" t="inlineStr">
        <is>
          <t>VERIFY FIRST</t>
        </is>
      </c>
      <c r="C326" s="2" t="inlineStr">
        <is>
          <t>No website found</t>
        </is>
      </c>
      <c r="D326" s="2" t="inlineStr">
        <is>
          <t>Top Gun Restorations</t>
        </is>
      </c>
      <c r="E326" s="2" t="inlineStr">
        <is>
          <t>mechanic</t>
        </is>
      </c>
      <c r="F326" s="2" t="inlineStr">
        <is>
          <t>Redlands</t>
        </is>
      </c>
      <c r="G326" s="2" t="inlineStr">
        <is>
          <t>Facebook</t>
        </is>
      </c>
      <c r="H326" s="2" t="inlineStr"/>
      <c r="I326" s="4" t="inlineStr">
        <is>
          <t>https://www.facebook.com/p/Top-Gun-Restoration-100063707569188</t>
        </is>
      </c>
      <c r="J326" s="2" t="inlineStr"/>
      <c r="K326" s="2" t="inlineStr"/>
      <c r="L326" s="2" t="inlineStr">
        <is>
          <t>no website listed, only social media (verify on Google Maps)</t>
        </is>
      </c>
      <c r="M326" s="2" t="inlineStr">
        <is>
          <t>Hi Top Gun Restorations team! [one real detail from their page]. We're AceAds, a web design studio. We couldn't find a website for Top Gun Restorations, only your Facebook. We'd be happy to make you a free preview of what a website could look like. Want one? No cost, no obligation.</t>
        </is>
      </c>
      <c r="N326" s="4" t="inlineStr">
        <is>
          <t>Open map</t>
        </is>
      </c>
      <c r="O326" s="2" t="inlineStr">
        <is>
          <t>Not contacted</t>
        </is>
      </c>
      <c r="P326" s="2" t="inlineStr"/>
      <c r="Q326" s="2" t="inlineStr"/>
      <c r="R326" s="2" t="inlineStr"/>
      <c r="S326" s="2" t="inlineStr"/>
    </row>
    <row r="327">
      <c r="A327" s="2" t="n">
        <v>326</v>
      </c>
      <c r="B327" s="5" t="inlineStr">
        <is>
          <t>VERIFY FIRST</t>
        </is>
      </c>
      <c r="C327" s="2" t="inlineStr">
        <is>
          <t>No website found</t>
        </is>
      </c>
      <c r="D327" s="2" t="inlineStr">
        <is>
          <t>Koala Park Veterinary Surgery</t>
        </is>
      </c>
      <c r="E327" s="2" t="inlineStr">
        <is>
          <t>pet business</t>
        </is>
      </c>
      <c r="F327" s="2" t="inlineStr">
        <is>
          <t>Redlands</t>
        </is>
      </c>
      <c r="G327" s="2" t="inlineStr">
        <is>
          <t>Facebook</t>
        </is>
      </c>
      <c r="H327" s="2" t="inlineStr"/>
      <c r="I327" s="4" t="inlineStr">
        <is>
          <t>https://www.facebook.com/KoalaParkVeterinarySurgery?mibextid=ZbWKwL</t>
        </is>
      </c>
      <c r="J327" s="2" t="inlineStr">
        <is>
          <t>+61 7 3207 6041</t>
        </is>
      </c>
      <c r="K327" s="2" t="inlineStr"/>
      <c r="L327" s="2" t="inlineStr">
        <is>
          <t>no website listed, only social media (verify on Google Maps)</t>
        </is>
      </c>
      <c r="M327" s="2" t="inlineStr">
        <is>
          <t>Hi Koala Park Veterinary Surgery team! [one real detail from their page]. We're AceAds, a web design studio. We couldn't find a website for Koala Park Veterinary Surgery, only your Facebook. We'd be happy to make you a free preview of what a website could look like. Want one? No cost, no obligation.</t>
        </is>
      </c>
      <c r="N327" s="4" t="inlineStr">
        <is>
          <t>Open map</t>
        </is>
      </c>
      <c r="O327" s="2" t="inlineStr">
        <is>
          <t>Not contacted</t>
        </is>
      </c>
      <c r="P327" s="2" t="inlineStr"/>
      <c r="Q327" s="2" t="inlineStr"/>
      <c r="R327" s="2" t="inlineStr"/>
      <c r="S327" s="2" t="inlineStr"/>
    </row>
    <row r="328">
      <c r="A328" s="2" t="n">
        <v>327</v>
      </c>
      <c r="B328" s="5" t="inlineStr">
        <is>
          <t>VERIFY FIRST</t>
        </is>
      </c>
      <c r="C328" s="2" t="inlineStr">
        <is>
          <t>No website found</t>
        </is>
      </c>
      <c r="D328" s="2" t="inlineStr">
        <is>
          <t>Coochiemudlo Island Beach Bar and Grill</t>
        </is>
      </c>
      <c r="E328" s="2" t="inlineStr">
        <is>
          <t>restaurant</t>
        </is>
      </c>
      <c r="F328" s="2" t="inlineStr">
        <is>
          <t>Redlands</t>
        </is>
      </c>
      <c r="G328" s="2" t="inlineStr">
        <is>
          <t>Facebook</t>
        </is>
      </c>
      <c r="H328" s="2" t="inlineStr"/>
      <c r="I328" s="4" t="inlineStr">
        <is>
          <t>https://www.facebook.com/coochiemudloislandbeachbar</t>
        </is>
      </c>
      <c r="J328" s="2" t="inlineStr">
        <is>
          <t>+61 484 064 014</t>
        </is>
      </c>
      <c r="K328" s="2" t="inlineStr"/>
      <c r="L328" s="2" t="inlineStr">
        <is>
          <t>no website listed, only social media (verify on Google Maps)</t>
        </is>
      </c>
      <c r="M328" s="2" t="inlineStr">
        <is>
          <t>Hi Coochiemudlo Island Beach Bar and Grill team! [one real detail from their page]. We're AceAds, a web design studio. We couldn't find a website for Coochiemudlo Island Beach Bar and Grill, only your Facebook. We'd be happy to make you a free preview of what a website could look like. Want one? No cost, no obligation.</t>
        </is>
      </c>
      <c r="N328" s="4" t="inlineStr">
        <is>
          <t>Open map</t>
        </is>
      </c>
      <c r="O328" s="2" t="inlineStr">
        <is>
          <t>Not contacted</t>
        </is>
      </c>
      <c r="P328" s="2" t="inlineStr"/>
      <c r="Q328" s="2" t="inlineStr"/>
      <c r="R328" s="2" t="inlineStr"/>
      <c r="S328" s="2" t="inlineStr"/>
    </row>
    <row r="329">
      <c r="A329" s="2" t="n">
        <v>328</v>
      </c>
      <c r="B329" s="5" t="inlineStr">
        <is>
          <t>VERIFY FIRST</t>
        </is>
      </c>
      <c r="C329" s="2" t="inlineStr">
        <is>
          <t>No website found</t>
        </is>
      </c>
      <c r="D329" s="2" t="inlineStr">
        <is>
          <t>Jetty Store II</t>
        </is>
      </c>
      <c r="E329" s="2" t="inlineStr">
        <is>
          <t>takeaway</t>
        </is>
      </c>
      <c r="F329" s="2" t="inlineStr">
        <is>
          <t>Redlands</t>
        </is>
      </c>
      <c r="G329" s="2" t="inlineStr">
        <is>
          <t>Facebook</t>
        </is>
      </c>
      <c r="H329" s="2" t="inlineStr"/>
      <c r="I329" s="4" t="inlineStr">
        <is>
          <t>https://www.facebook.com/TheJettyStore/</t>
        </is>
      </c>
      <c r="J329" s="2" t="inlineStr">
        <is>
          <t>+61 7 3206 7674</t>
        </is>
      </c>
      <c r="K329" s="2" t="inlineStr"/>
      <c r="L329" s="2" t="inlineStr">
        <is>
          <t>no website listed, only social media (verify on Google Maps)</t>
        </is>
      </c>
      <c r="M329" s="2" t="inlineStr">
        <is>
          <t>Hi Jetty Store II team! [one real detail from their page]. We're AceAds, a web design studio. We couldn't find a website for Jetty Store II, only your Facebook. We'd be happy to make you a free preview of what a website could look like. Want one? No cost, no obligation.</t>
        </is>
      </c>
      <c r="N329" s="4" t="inlineStr">
        <is>
          <t>Open map</t>
        </is>
      </c>
      <c r="O329" s="2" t="inlineStr">
        <is>
          <t>Not contacted</t>
        </is>
      </c>
      <c r="P329" s="2" t="inlineStr"/>
      <c r="Q329" s="2" t="inlineStr"/>
      <c r="R329" s="2" t="inlineStr"/>
      <c r="S329" s="2" t="inlineStr"/>
    </row>
    <row r="330">
      <c r="A330" s="2" t="n">
        <v>329</v>
      </c>
      <c r="B330" s="5" t="inlineStr">
        <is>
          <t>VERIFY FIRST</t>
        </is>
      </c>
      <c r="C330" s="2" t="inlineStr">
        <is>
          <t>No website found</t>
        </is>
      </c>
      <c r="D330" s="2" t="inlineStr">
        <is>
          <t>Ninja Sushi Burito Allenstown</t>
        </is>
      </c>
      <c r="E330" s="2" t="inlineStr">
        <is>
          <t>restaurant</t>
        </is>
      </c>
      <c r="F330" s="2" t="inlineStr">
        <is>
          <t>Rockhampton</t>
        </is>
      </c>
      <c r="G330" s="2" t="inlineStr">
        <is>
          <t>Facebook</t>
        </is>
      </c>
      <c r="H330" s="2" t="inlineStr"/>
      <c r="I330" s="4" t="inlineStr">
        <is>
          <t>https://www.facebook.com/ninjasushiallenstown</t>
        </is>
      </c>
      <c r="J330" s="2" t="inlineStr">
        <is>
          <t>+61 447 307 032</t>
        </is>
      </c>
      <c r="K330" s="2" t="inlineStr"/>
      <c r="L330" s="2" t="inlineStr">
        <is>
          <t>no website listed, only social media (verify on Google Maps)</t>
        </is>
      </c>
      <c r="M330" s="2" t="inlineStr">
        <is>
          <t>Hi Ninja Sushi Burito Allenstown team! [one real detail from their page]. We're AceAds, a web design studio. We couldn't find a website for Ninja Sushi Burito Allenstown, only your Facebook. We'd be happy to make you a free preview of what a website could look like. Want one? No cost, no obligation.</t>
        </is>
      </c>
      <c r="N330" s="4" t="inlineStr">
        <is>
          <t>Open map</t>
        </is>
      </c>
      <c r="O330" s="2" t="inlineStr">
        <is>
          <t>Not contacted</t>
        </is>
      </c>
      <c r="P330" s="2" t="inlineStr"/>
      <c r="Q330" s="2" t="inlineStr"/>
      <c r="R330" s="2" t="inlineStr"/>
      <c r="S330" s="2" t="inlineStr"/>
    </row>
    <row r="331">
      <c r="A331" s="2" t="n">
        <v>330</v>
      </c>
      <c r="B331" s="5" t="inlineStr">
        <is>
          <t>VERIFY FIRST</t>
        </is>
      </c>
      <c r="C331" s="2" t="inlineStr">
        <is>
          <t>No website found</t>
        </is>
      </c>
      <c r="D331" s="2" t="inlineStr">
        <is>
          <t>The Bakers Pantry</t>
        </is>
      </c>
      <c r="E331" s="2" t="inlineStr">
        <is>
          <t>bakery</t>
        </is>
      </c>
      <c r="F331" s="2" t="inlineStr">
        <is>
          <t>Sunshine Coast</t>
        </is>
      </c>
      <c r="G331" s="2" t="inlineStr">
        <is>
          <t>Instagram</t>
        </is>
      </c>
      <c r="H331" s="4" t="inlineStr">
        <is>
          <t>https://www.instagram.com/thebakerspantrynoosa</t>
        </is>
      </c>
      <c r="I331" s="4" t="inlineStr">
        <is>
          <t>https://www.facebook.com/thebakerspantrynoosa</t>
        </is>
      </c>
      <c r="J331" s="2" t="inlineStr">
        <is>
          <t>+61 7 5448 0780</t>
        </is>
      </c>
      <c r="K331" s="2" t="inlineStr"/>
      <c r="L331" s="2" t="inlineStr">
        <is>
          <t>no website listed, only social media (verify on Google Maps)</t>
        </is>
      </c>
      <c r="M331" s="2" t="inlineStr">
        <is>
          <t>Hi The Bakers Pantry team! [one real detail from their page]. We're AceAds, a web design studio. We couldn't find a website for The Bakers Pantry, only your Instagram. We'd be happy to make you a free preview of what a website could look like. Want one? No cost, no obligation.</t>
        </is>
      </c>
      <c r="N331" s="4" t="inlineStr">
        <is>
          <t>Open map</t>
        </is>
      </c>
      <c r="O331" s="2" t="inlineStr">
        <is>
          <t>Not contacted</t>
        </is>
      </c>
      <c r="P331" s="2" t="inlineStr"/>
      <c r="Q331" s="2" t="inlineStr"/>
      <c r="R331" s="2" t="inlineStr"/>
      <c r="S331" s="2" t="inlineStr"/>
    </row>
    <row r="332">
      <c r="A332" s="2" t="n">
        <v>331</v>
      </c>
      <c r="B332" s="5" t="inlineStr">
        <is>
          <t>VERIFY FIRST</t>
        </is>
      </c>
      <c r="C332" s="2" t="inlineStr">
        <is>
          <t>No website found</t>
        </is>
      </c>
      <c r="D332" s="2" t="inlineStr">
        <is>
          <t>Homegrown Cafe</t>
        </is>
      </c>
      <c r="E332" s="2" t="inlineStr">
        <is>
          <t>cafe</t>
        </is>
      </c>
      <c r="F332" s="2" t="inlineStr">
        <is>
          <t>Sunshine Coast</t>
        </is>
      </c>
      <c r="G332" s="2" t="inlineStr">
        <is>
          <t>Facebook</t>
        </is>
      </c>
      <c r="H332" s="2" t="inlineStr"/>
      <c r="I332" s="4" t="inlineStr">
        <is>
          <t>https://www.facebook.com/homegrownpalmwoods/</t>
        </is>
      </c>
      <c r="J332" s="2" t="inlineStr">
        <is>
          <t>+61 458 270 368</t>
        </is>
      </c>
      <c r="K332" s="2" t="inlineStr"/>
      <c r="L332" s="2" t="inlineStr">
        <is>
          <t>no website listed, only social media (verify on Google Maps)</t>
        </is>
      </c>
      <c r="M332" s="2" t="inlineStr">
        <is>
          <t>Hi Homegrown Cafe team! [one real detail from their page]. We're AceAds, a web design studio. We couldn't find a website for Homegrown Cafe, only your Facebook. We'd be happy to make you a free preview of what a website could look like. Want one? No cost, no obligation.</t>
        </is>
      </c>
      <c r="N332" s="4" t="inlineStr">
        <is>
          <t>Open map</t>
        </is>
      </c>
      <c r="O332" s="2" t="inlineStr">
        <is>
          <t>Not contacted</t>
        </is>
      </c>
      <c r="P332" s="2" t="inlineStr"/>
      <c r="Q332" s="2" t="inlineStr"/>
      <c r="R332" s="2" t="inlineStr"/>
      <c r="S332" s="2" t="inlineStr"/>
    </row>
    <row r="333">
      <c r="A333" s="2" t="n">
        <v>332</v>
      </c>
      <c r="B333" s="5" t="inlineStr">
        <is>
          <t>VERIFY FIRST</t>
        </is>
      </c>
      <c r="C333" s="2" t="inlineStr">
        <is>
          <t>No website found</t>
        </is>
      </c>
      <c r="D333" s="2" t="inlineStr">
        <is>
          <t>Nambour Social</t>
        </is>
      </c>
      <c r="E333" s="2" t="inlineStr">
        <is>
          <t>cafe</t>
        </is>
      </c>
      <c r="F333" s="2" t="inlineStr">
        <is>
          <t>Sunshine Coast</t>
        </is>
      </c>
      <c r="G333" s="2" t="inlineStr">
        <is>
          <t>Facebook</t>
        </is>
      </c>
      <c r="H333" s="2" t="inlineStr"/>
      <c r="I333" s="4" t="inlineStr">
        <is>
          <t>https://www.facebook.com/namboursocial</t>
        </is>
      </c>
      <c r="J333" s="2" t="inlineStr"/>
      <c r="K333" s="2" t="inlineStr"/>
      <c r="L333" s="2" t="inlineStr">
        <is>
          <t>no website listed, only social media (verify on Google Maps)</t>
        </is>
      </c>
      <c r="M333" s="2" t="inlineStr">
        <is>
          <t>Hi Nambour Social team! [one real detail from their page]. We're AceAds, a web design studio. We couldn't find a website for Nambour Social, only your Facebook. We'd be happy to make you a free preview of what a website could look like. Want one? No cost, no obligation.</t>
        </is>
      </c>
      <c r="N333" s="4" t="inlineStr">
        <is>
          <t>Open map</t>
        </is>
      </c>
      <c r="O333" s="2" t="inlineStr">
        <is>
          <t>Not contacted</t>
        </is>
      </c>
      <c r="P333" s="2" t="inlineStr"/>
      <c r="Q333" s="2" t="inlineStr"/>
      <c r="R333" s="2" t="inlineStr"/>
      <c r="S333" s="2" t="inlineStr"/>
    </row>
    <row r="334">
      <c r="A334" s="2" t="n">
        <v>333</v>
      </c>
      <c r="B334" s="5" t="inlineStr">
        <is>
          <t>VERIFY FIRST</t>
        </is>
      </c>
      <c r="C334" s="2" t="inlineStr">
        <is>
          <t>No website found</t>
        </is>
      </c>
      <c r="D334" s="2" t="inlineStr">
        <is>
          <t>Press at Noosa</t>
        </is>
      </c>
      <c r="E334" s="2" t="inlineStr">
        <is>
          <t>cafe</t>
        </is>
      </c>
      <c r="F334" s="2" t="inlineStr">
        <is>
          <t>Sunshine Coast</t>
        </is>
      </c>
      <c r="G334" s="2" t="inlineStr">
        <is>
          <t>Facebook</t>
        </is>
      </c>
      <c r="H334" s="2" t="inlineStr"/>
      <c r="I334" s="4" t="inlineStr">
        <is>
          <t>https://www.facebook.com/profile.php?id=100054504337824</t>
        </is>
      </c>
      <c r="J334" s="2" t="inlineStr"/>
      <c r="K334" s="2" t="inlineStr"/>
      <c r="L334" s="2" t="inlineStr">
        <is>
          <t>no website listed, only social media (verify on Google Maps)</t>
        </is>
      </c>
      <c r="M334" s="2" t="inlineStr">
        <is>
          <t>Hi Press at Noosa team! [one real detail from their page]. We're AceAds, a web design studio. We couldn't find a website for Press at Noosa, only your Facebook. We'd be happy to make you a free preview of what a website could look like. Want one? No cost, no obligation.</t>
        </is>
      </c>
      <c r="N334" s="4" t="inlineStr">
        <is>
          <t>Open map</t>
        </is>
      </c>
      <c r="O334" s="2" t="inlineStr">
        <is>
          <t>Not contacted</t>
        </is>
      </c>
      <c r="P334" s="2" t="inlineStr"/>
      <c r="Q334" s="2" t="inlineStr"/>
      <c r="R334" s="2" t="inlineStr"/>
      <c r="S334" s="2" t="inlineStr"/>
    </row>
    <row r="335">
      <c r="A335" s="2" t="n">
        <v>334</v>
      </c>
      <c r="B335" s="5" t="inlineStr">
        <is>
          <t>VERIFY FIRST</t>
        </is>
      </c>
      <c r="C335" s="2" t="inlineStr">
        <is>
          <t>No website found</t>
        </is>
      </c>
      <c r="D335" s="2" t="inlineStr">
        <is>
          <t>Brown Sugar Espresso</t>
        </is>
      </c>
      <c r="E335" s="2" t="inlineStr">
        <is>
          <t>deli or specialty food</t>
        </is>
      </c>
      <c r="F335" s="2" t="inlineStr">
        <is>
          <t>Sunshine Coast</t>
        </is>
      </c>
      <c r="G335" s="2" t="inlineStr">
        <is>
          <t>Facebook</t>
        </is>
      </c>
      <c r="H335" s="2" t="inlineStr"/>
      <c r="I335" s="4" t="inlineStr">
        <is>
          <t>https://www.facebook.com/brownsugarespressonambour/</t>
        </is>
      </c>
      <c r="J335" s="2" t="inlineStr"/>
      <c r="K335" s="2" t="inlineStr"/>
      <c r="L335" s="2" t="inlineStr">
        <is>
          <t>no website listed, only social media (verify on Google Maps)</t>
        </is>
      </c>
      <c r="M335" s="2" t="inlineStr">
        <is>
          <t>Hi Brown Sugar Espresso team! [one real detail from their page]. We're AceAds, a web design studio. We couldn't find a website for Brown Sugar Espresso, only your Facebook. We'd be happy to make you a free preview of what a website could look like. Want one? No cost, no obligation.</t>
        </is>
      </c>
      <c r="N335" s="4" t="inlineStr">
        <is>
          <t>Open map</t>
        </is>
      </c>
      <c r="O335" s="2" t="inlineStr">
        <is>
          <t>Not contacted</t>
        </is>
      </c>
      <c r="P335" s="2" t="inlineStr"/>
      <c r="Q335" s="2" t="inlineStr"/>
      <c r="R335" s="2" t="inlineStr"/>
      <c r="S335" s="2" t="inlineStr"/>
    </row>
    <row r="336">
      <c r="A336" s="2" t="n">
        <v>335</v>
      </c>
      <c r="B336" s="5" t="inlineStr">
        <is>
          <t>VERIFY FIRST</t>
        </is>
      </c>
      <c r="C336" s="2" t="inlineStr">
        <is>
          <t>No website found</t>
        </is>
      </c>
      <c r="D336" s="2" t="inlineStr">
        <is>
          <t>Small Change Expresso</t>
        </is>
      </c>
      <c r="E336" s="2" t="inlineStr">
        <is>
          <t>deli or specialty food</t>
        </is>
      </c>
      <c r="F336" s="2" t="inlineStr">
        <is>
          <t>Sunshine Coast</t>
        </is>
      </c>
      <c r="G336" s="2" t="inlineStr">
        <is>
          <t>Facebook</t>
        </is>
      </c>
      <c r="H336" s="2" t="inlineStr"/>
      <c r="I336" s="4" t="inlineStr">
        <is>
          <t>https://www.facebook.com/smallchangeespresso/</t>
        </is>
      </c>
      <c r="J336" s="2" t="inlineStr"/>
      <c r="K336" s="2" t="inlineStr"/>
      <c r="L336" s="2" t="inlineStr">
        <is>
          <t>no website listed, only social media (verify on Google Maps)</t>
        </is>
      </c>
      <c r="M336" s="2" t="inlineStr">
        <is>
          <t>Hi Small Change Expresso team! [one real detail from their page]. We're AceAds, a web design studio. We couldn't find a website for Small Change Expresso, only your Facebook. We'd be happy to make you a free preview of what a website could look like. Want one? No cost, no obligation.</t>
        </is>
      </c>
      <c r="N336" s="4" t="inlineStr">
        <is>
          <t>Open map</t>
        </is>
      </c>
      <c r="O336" s="2" t="inlineStr">
        <is>
          <t>Not contacted</t>
        </is>
      </c>
      <c r="P336" s="2" t="inlineStr"/>
      <c r="Q336" s="2" t="inlineStr"/>
      <c r="R336" s="2" t="inlineStr"/>
      <c r="S336" s="2" t="inlineStr"/>
    </row>
    <row r="337">
      <c r="A337" s="2" t="n">
        <v>336</v>
      </c>
      <c r="B337" s="5" t="inlineStr">
        <is>
          <t>VERIFY FIRST</t>
        </is>
      </c>
      <c r="C337" s="2" t="inlineStr">
        <is>
          <t>No website found</t>
        </is>
      </c>
      <c r="D337" s="2" t="inlineStr">
        <is>
          <t>Yandina Market Garden</t>
        </is>
      </c>
      <c r="E337" s="2" t="inlineStr">
        <is>
          <t>deli or specialty food</t>
        </is>
      </c>
      <c r="F337" s="2" t="inlineStr">
        <is>
          <t>Sunshine Coast</t>
        </is>
      </c>
      <c r="G337" s="2" t="inlineStr">
        <is>
          <t>Facebook</t>
        </is>
      </c>
      <c r="H337" s="2" t="inlineStr"/>
      <c r="I337" s="4" t="inlineStr">
        <is>
          <t>https://www.facebook.com/yandinamarketgarden/</t>
        </is>
      </c>
      <c r="J337" s="2" t="inlineStr">
        <is>
          <t>+61 7 5446 8944</t>
        </is>
      </c>
      <c r="K337" s="2" t="inlineStr"/>
      <c r="L337" s="2" t="inlineStr">
        <is>
          <t>no website listed, only social media (verify on Google Maps)</t>
        </is>
      </c>
      <c r="M337" s="2" t="inlineStr">
        <is>
          <t>Hi Yandina Market Garden team! [one real detail from their page]. We're AceAds, a web design studio. We couldn't find a website for Yandina Market Garden, only your Facebook. We'd be happy to make you a free preview of what a website could look like. Want one? No cost, no obligation.</t>
        </is>
      </c>
      <c r="N337" s="4" t="inlineStr">
        <is>
          <t>Open map</t>
        </is>
      </c>
      <c r="O337" s="2" t="inlineStr">
        <is>
          <t>Not contacted</t>
        </is>
      </c>
      <c r="P337" s="2" t="inlineStr"/>
      <c r="Q337" s="2" t="inlineStr"/>
      <c r="R337" s="2" t="inlineStr"/>
      <c r="S337" s="2" t="inlineStr"/>
    </row>
    <row r="338">
      <c r="A338" s="2" t="n">
        <v>337</v>
      </c>
      <c r="B338" s="5" t="inlineStr">
        <is>
          <t>VERIFY FIRST</t>
        </is>
      </c>
      <c r="C338" s="2" t="inlineStr">
        <is>
          <t>No website found</t>
        </is>
      </c>
      <c r="D338" s="2" t="inlineStr">
        <is>
          <t>Suncoast Mechanical</t>
        </is>
      </c>
      <c r="E338" s="2" t="inlineStr">
        <is>
          <t>mechanic</t>
        </is>
      </c>
      <c r="F338" s="2" t="inlineStr">
        <is>
          <t>Sunshine Coast</t>
        </is>
      </c>
      <c r="G338" s="2" t="inlineStr">
        <is>
          <t>Facebook</t>
        </is>
      </c>
      <c r="H338" s="2" t="inlineStr"/>
      <c r="I338" s="4" t="inlineStr">
        <is>
          <t>https://www.facebook.com/SuncoastMechanical/</t>
        </is>
      </c>
      <c r="J338" s="2" t="inlineStr"/>
      <c r="K338" s="2" t="inlineStr"/>
      <c r="L338" s="2" t="inlineStr">
        <is>
          <t>no website listed, only social media (verify on Google Maps)</t>
        </is>
      </c>
      <c r="M338" s="2" t="inlineStr">
        <is>
          <t>Hi Suncoast Mechanical team! [one real detail from their page]. We're AceAds, a web design studio. We couldn't find a website for Suncoast Mechanical, only your Facebook. We'd be happy to make you a free preview of what a website could look like. Want one? No cost, no obligation.</t>
        </is>
      </c>
      <c r="N338" s="4" t="inlineStr">
        <is>
          <t>Open map</t>
        </is>
      </c>
      <c r="O338" s="2" t="inlineStr">
        <is>
          <t>Not contacted</t>
        </is>
      </c>
      <c r="P338" s="2" t="inlineStr"/>
      <c r="Q338" s="2" t="inlineStr"/>
      <c r="R338" s="2" t="inlineStr"/>
      <c r="S338" s="2" t="inlineStr"/>
    </row>
    <row r="339">
      <c r="A339" s="2" t="n">
        <v>338</v>
      </c>
      <c r="B339" s="5" t="inlineStr">
        <is>
          <t>VERIFY FIRST</t>
        </is>
      </c>
      <c r="C339" s="2" t="inlineStr">
        <is>
          <t>No website found</t>
        </is>
      </c>
      <c r="D339" s="2" t="inlineStr">
        <is>
          <t>J J Sushi</t>
        </is>
      </c>
      <c r="E339" s="2" t="inlineStr">
        <is>
          <t>restaurant</t>
        </is>
      </c>
      <c r="F339" s="2" t="inlineStr">
        <is>
          <t>Sunshine Coast</t>
        </is>
      </c>
      <c r="G339" s="2" t="inlineStr">
        <is>
          <t>Facebook</t>
        </is>
      </c>
      <c r="H339" s="2" t="inlineStr"/>
      <c r="I339" s="4" t="inlineStr">
        <is>
          <t>https://www.facebook.com/jjsushichicken/</t>
        </is>
      </c>
      <c r="J339" s="2" t="inlineStr">
        <is>
          <t>+61 480 253 468</t>
        </is>
      </c>
      <c r="K339" s="2" t="inlineStr"/>
      <c r="L339" s="2" t="inlineStr">
        <is>
          <t>no website listed, only social media (verify on Google Maps)</t>
        </is>
      </c>
      <c r="M339" s="2" t="inlineStr">
        <is>
          <t>Hi J J Sushi team! [one real detail from their page]. We're AceAds, a web design studio. We couldn't find a website for J J Sushi, only your Facebook. We'd be happy to make you a free preview of what a website could look like. Want one? No cost, no obligation.</t>
        </is>
      </c>
      <c r="N339" s="4" t="inlineStr">
        <is>
          <t>Open map</t>
        </is>
      </c>
      <c r="O339" s="2" t="inlineStr">
        <is>
          <t>Not contacted</t>
        </is>
      </c>
      <c r="P339" s="2" t="inlineStr"/>
      <c r="Q339" s="2" t="inlineStr"/>
      <c r="R339" s="2" t="inlineStr"/>
      <c r="S339" s="2" t="inlineStr"/>
    </row>
    <row r="340">
      <c r="A340" s="2" t="n">
        <v>339</v>
      </c>
      <c r="B340" s="5" t="inlineStr">
        <is>
          <t>VERIFY FIRST</t>
        </is>
      </c>
      <c r="C340" s="2" t="inlineStr">
        <is>
          <t>No website found</t>
        </is>
      </c>
      <c r="D340" s="2" t="inlineStr">
        <is>
          <t>MM&amp;</t>
        </is>
      </c>
      <c r="E340" s="2" t="inlineStr">
        <is>
          <t>bakery</t>
        </is>
      </c>
      <c r="F340" s="2" t="inlineStr">
        <is>
          <t>Townsville</t>
        </is>
      </c>
      <c r="G340" s="2" t="inlineStr">
        <is>
          <t>Instagram</t>
        </is>
      </c>
      <c r="H340" s="4" t="inlineStr">
        <is>
          <t>https://www.instagram.com/mmandcoffeebaking</t>
        </is>
      </c>
      <c r="I340" s="4" t="inlineStr">
        <is>
          <t>https://www.facebook.com/mmandcoffeebaking/</t>
        </is>
      </c>
      <c r="J340" s="2" t="inlineStr"/>
      <c r="K340" s="2" t="inlineStr"/>
      <c r="L340" s="2" t="inlineStr">
        <is>
          <t>no website listed, only social media (verify on Google Maps)</t>
        </is>
      </c>
      <c r="M340" s="2" t="inlineStr">
        <is>
          <t>Hi MM&amp; team! [one real detail from their page]. We're AceAds, a web design studio. We couldn't find a website for MM&amp;, only your Instagram. We'd be happy to make you a free preview of what a website could look like. Want one? No cost, no obligation.</t>
        </is>
      </c>
      <c r="N340" s="4" t="inlineStr">
        <is>
          <t>Open map</t>
        </is>
      </c>
      <c r="O340" s="2" t="inlineStr">
        <is>
          <t>Not contacted</t>
        </is>
      </c>
      <c r="P340" s="2" t="inlineStr"/>
      <c r="Q340" s="2" t="inlineStr"/>
      <c r="R340" s="2" t="inlineStr"/>
      <c r="S340" s="2" t="inlineStr"/>
    </row>
    <row r="341">
      <c r="A341" s="2" t="n">
        <v>340</v>
      </c>
      <c r="B341" s="5" t="inlineStr">
        <is>
          <t>VERIFY FIRST</t>
        </is>
      </c>
      <c r="C341" s="2" t="inlineStr">
        <is>
          <t>No website found</t>
        </is>
      </c>
      <c r="D341" s="2" t="inlineStr">
        <is>
          <t>Hotel Allen</t>
        </is>
      </c>
      <c r="E341" s="2" t="inlineStr">
        <is>
          <t>bar or pub</t>
        </is>
      </c>
      <c r="F341" s="2" t="inlineStr">
        <is>
          <t>Townsville</t>
        </is>
      </c>
      <c r="G341" s="2" t="inlineStr">
        <is>
          <t>Facebook</t>
        </is>
      </c>
      <c r="H341" s="2" t="inlineStr"/>
      <c r="I341" s="4" t="inlineStr">
        <is>
          <t>https://www.facebook.com/hotelallentownsville</t>
        </is>
      </c>
      <c r="J341" s="2" t="inlineStr">
        <is>
          <t>+61 7 3051 7692</t>
        </is>
      </c>
      <c r="K341" s="2" t="inlineStr"/>
      <c r="L341" s="2" t="inlineStr">
        <is>
          <t>no website listed, only social media (verify on Google Maps)</t>
        </is>
      </c>
      <c r="M341" s="2" t="inlineStr">
        <is>
          <t>Hi Hotel Allen team! [one real detail from their page]. We're AceAds, a web design studio. We couldn't find a website for Hotel Allen, only your Facebook. We'd be happy to make you a free preview of what a website could look like. Want one? No cost, no obligation.</t>
        </is>
      </c>
      <c r="N341" s="4" t="inlineStr">
        <is>
          <t>Open map</t>
        </is>
      </c>
      <c r="O341" s="2" t="inlineStr">
        <is>
          <t>Not contacted</t>
        </is>
      </c>
      <c r="P341" s="2" t="inlineStr"/>
      <c r="Q341" s="2" t="inlineStr"/>
      <c r="R341" s="2" t="inlineStr"/>
      <c r="S341" s="2" t="inlineStr"/>
    </row>
    <row r="342">
      <c r="A342" s="2" t="n">
        <v>341</v>
      </c>
      <c r="B342" s="5" t="inlineStr">
        <is>
          <t>VERIFY FIRST</t>
        </is>
      </c>
      <c r="C342" s="2" t="inlineStr">
        <is>
          <t>No website found</t>
        </is>
      </c>
      <c r="D342" s="2" t="inlineStr">
        <is>
          <t>Lads 'n' Ladies Barber Shop</t>
        </is>
      </c>
      <c r="E342" s="2" t="inlineStr">
        <is>
          <t>barber or hairdresser</t>
        </is>
      </c>
      <c r="F342" s="2" t="inlineStr">
        <is>
          <t>Townsville</t>
        </is>
      </c>
      <c r="G342" s="2" t="inlineStr">
        <is>
          <t>Facebook</t>
        </is>
      </c>
      <c r="H342" s="2" t="inlineStr"/>
      <c r="I342" s="4" t="inlineStr">
        <is>
          <t>https://www.facebook.com/p/Lads-n-Ladies-Barber-Shop-100069962165987/</t>
        </is>
      </c>
      <c r="J342" s="2" t="inlineStr">
        <is>
          <t>+61 7 4723 6234</t>
        </is>
      </c>
      <c r="K342" s="2" t="inlineStr"/>
      <c r="L342" s="2" t="inlineStr">
        <is>
          <t>no website listed, only social media (verify on Google Maps)</t>
        </is>
      </c>
      <c r="M342" s="2" t="inlineStr">
        <is>
          <t>Hi Lads 'n' Ladies Barber Shop team! [one real detail from their page]. We're AceAds, a web design studio. We couldn't find a website for Lads 'n' Ladies Barber Shop, only your Facebook. We'd be happy to make you a free preview of what a website could look like. Want one? No cost, no obligation.</t>
        </is>
      </c>
      <c r="N342" s="4" t="inlineStr">
        <is>
          <t>Open map</t>
        </is>
      </c>
      <c r="O342" s="2" t="inlineStr">
        <is>
          <t>Not contacted</t>
        </is>
      </c>
      <c r="P342" s="2" t="inlineStr"/>
      <c r="Q342" s="2" t="inlineStr"/>
      <c r="R342" s="2" t="inlineStr"/>
      <c r="S342" s="2" t="inlineStr"/>
    </row>
    <row r="343">
      <c r="A343" s="2" t="n">
        <v>342</v>
      </c>
      <c r="B343" s="5" t="inlineStr">
        <is>
          <t>VERIFY FIRST</t>
        </is>
      </c>
      <c r="C343" s="2" t="inlineStr">
        <is>
          <t>No website found</t>
        </is>
      </c>
      <c r="D343" s="2" t="inlineStr">
        <is>
          <t>Artside</t>
        </is>
      </c>
      <c r="E343" s="2" t="inlineStr">
        <is>
          <t>beauty salon</t>
        </is>
      </c>
      <c r="F343" s="2" t="inlineStr">
        <is>
          <t>Townsville</t>
        </is>
      </c>
      <c r="G343" s="2" t="inlineStr">
        <is>
          <t>Instagram</t>
        </is>
      </c>
      <c r="H343" s="4" t="inlineStr">
        <is>
          <t>https://www.instagram.com/artside.studio</t>
        </is>
      </c>
      <c r="I343" s="2" t="inlineStr"/>
      <c r="J343" s="2" t="inlineStr"/>
      <c r="K343" s="2" t="inlineStr"/>
      <c r="L343" s="2" t="inlineStr">
        <is>
          <t>no website listed, only social media (verify on Google Maps)</t>
        </is>
      </c>
      <c r="M343" s="2" t="inlineStr">
        <is>
          <t>Hi Artside team! [one real detail from their page]. We're AceAds, a web design studio. We couldn't find a website for Artside, only your Instagram. We'd be happy to make you a free preview of what a website could look like. Want one? No cost, no obligation.</t>
        </is>
      </c>
      <c r="N343" s="4" t="inlineStr">
        <is>
          <t>Open map</t>
        </is>
      </c>
      <c r="O343" s="2" t="inlineStr">
        <is>
          <t>Not contacted</t>
        </is>
      </c>
      <c r="P343" s="2" t="inlineStr"/>
      <c r="Q343" s="2" t="inlineStr"/>
      <c r="R343" s="2" t="inlineStr"/>
      <c r="S343" s="2" t="inlineStr"/>
    </row>
    <row r="344">
      <c r="A344" s="2" t="n">
        <v>343</v>
      </c>
      <c r="B344" s="5" t="inlineStr">
        <is>
          <t>VERIFY FIRST</t>
        </is>
      </c>
      <c r="C344" s="2" t="inlineStr">
        <is>
          <t>No website found</t>
        </is>
      </c>
      <c r="D344" s="2" t="inlineStr">
        <is>
          <t>Leena's Nail and Beauty</t>
        </is>
      </c>
      <c r="E344" s="2" t="inlineStr">
        <is>
          <t>beauty salon</t>
        </is>
      </c>
      <c r="F344" s="2" t="inlineStr">
        <is>
          <t>Townsville</t>
        </is>
      </c>
      <c r="G344" s="2" t="inlineStr">
        <is>
          <t>Facebook</t>
        </is>
      </c>
      <c r="H344" s="2" t="inlineStr"/>
      <c r="I344" s="4" t="inlineStr">
        <is>
          <t>https://www.facebook.com/QueensNailsNBeauty</t>
        </is>
      </c>
      <c r="J344" s="2" t="inlineStr">
        <is>
          <t>+61 401 774 252</t>
        </is>
      </c>
      <c r="K344" s="2" t="inlineStr"/>
      <c r="L344" s="2" t="inlineStr">
        <is>
          <t>no website listed, only social media (verify on Google Maps)</t>
        </is>
      </c>
      <c r="M344" s="2" t="inlineStr">
        <is>
          <t>Hi Leena's Nail and Beauty team! [one real detail from their page]. We're AceAds, a web design studio. We couldn't find a website for Leena's Nail and Beauty, only your Facebook. We'd be happy to make you a free preview of what a website could look like. Want one? No cost, no obligation.</t>
        </is>
      </c>
      <c r="N344" s="4" t="inlineStr">
        <is>
          <t>Open map</t>
        </is>
      </c>
      <c r="O344" s="2" t="inlineStr">
        <is>
          <t>Not contacted</t>
        </is>
      </c>
      <c r="P344" s="2" t="inlineStr"/>
      <c r="Q344" s="2" t="inlineStr"/>
      <c r="R344" s="2" t="inlineStr"/>
      <c r="S344" s="2" t="inlineStr"/>
    </row>
    <row r="345">
      <c r="A345" s="2" t="n">
        <v>344</v>
      </c>
      <c r="B345" s="5" t="inlineStr">
        <is>
          <t>VERIFY FIRST</t>
        </is>
      </c>
      <c r="C345" s="2" t="inlineStr">
        <is>
          <t>No website found</t>
        </is>
      </c>
      <c r="D345" s="2" t="inlineStr">
        <is>
          <t>Axell Rose</t>
        </is>
      </c>
      <c r="E345" s="2" t="inlineStr">
        <is>
          <t>boutique</t>
        </is>
      </c>
      <c r="F345" s="2" t="inlineStr">
        <is>
          <t>Townsville</t>
        </is>
      </c>
      <c r="G345" s="2" t="inlineStr">
        <is>
          <t>Instagram</t>
        </is>
      </c>
      <c r="H345" s="4" t="inlineStr">
        <is>
          <t>https://www.instagram.com/axellroseboutique</t>
        </is>
      </c>
      <c r="I345" s="4" t="inlineStr">
        <is>
          <t>https://www.facebook.com/Axell-Rose-Boutique-102241341219356/</t>
        </is>
      </c>
      <c r="J345" s="2" t="inlineStr">
        <is>
          <t>+61 417 079 165</t>
        </is>
      </c>
      <c r="K345" s="2" t="inlineStr"/>
      <c r="L345" s="2" t="inlineStr">
        <is>
          <t>no website listed, only social media (verify on Google Maps)</t>
        </is>
      </c>
      <c r="M345" s="2" t="inlineStr">
        <is>
          <t>Hi Axell Rose team! [one real detail from their page]. We're AceAds, a web design studio. We couldn't find a website for Axell Rose, only your Instagram. We'd be happy to make you a free preview of what a website could look like. Want one? No cost, no obligation.</t>
        </is>
      </c>
      <c r="N345" s="4" t="inlineStr">
        <is>
          <t>Open map</t>
        </is>
      </c>
      <c r="O345" s="2" t="inlineStr">
        <is>
          <t>Not contacted</t>
        </is>
      </c>
      <c r="P345" s="2" t="inlineStr"/>
      <c r="Q345" s="2" t="inlineStr"/>
      <c r="R345" s="2" t="inlineStr"/>
      <c r="S345" s="2" t="inlineStr"/>
    </row>
    <row r="346">
      <c r="A346" s="2" t="n">
        <v>345</v>
      </c>
      <c r="B346" s="5" t="inlineStr">
        <is>
          <t>VERIFY FIRST</t>
        </is>
      </c>
      <c r="C346" s="2" t="inlineStr">
        <is>
          <t>No website found</t>
        </is>
      </c>
      <c r="D346" s="2" t="inlineStr">
        <is>
          <t>Summer Land</t>
        </is>
      </c>
      <c r="E346" s="2" t="inlineStr">
        <is>
          <t>boutique</t>
        </is>
      </c>
      <c r="F346" s="2" t="inlineStr">
        <is>
          <t>Townsville</t>
        </is>
      </c>
      <c r="G346" s="2" t="inlineStr">
        <is>
          <t>Instagram</t>
        </is>
      </c>
      <c r="H346" s="4" t="inlineStr">
        <is>
          <t>https://www.instagram.com/summerland_aus</t>
        </is>
      </c>
      <c r="I346" s="2" t="inlineStr"/>
      <c r="J346" s="2" t="inlineStr">
        <is>
          <t>+61 7 4724 2346</t>
        </is>
      </c>
      <c r="K346" s="2" t="inlineStr"/>
      <c r="L346" s="2" t="inlineStr">
        <is>
          <t>no website listed, only social media (verify on Google Maps)</t>
        </is>
      </c>
      <c r="M346" s="2" t="inlineStr">
        <is>
          <t>Hi Summer Land team! [one real detail from their page]. We're AceAds, a web design studio. We couldn't find a website for Summer Land, only your Instagram. We'd be happy to make you a free preview of what a website could look like. Want one? No cost, no obligation.</t>
        </is>
      </c>
      <c r="N346" s="4" t="inlineStr">
        <is>
          <t>Open map</t>
        </is>
      </c>
      <c r="O346" s="2" t="inlineStr">
        <is>
          <t>Not contacted</t>
        </is>
      </c>
      <c r="P346" s="2" t="inlineStr"/>
      <c r="Q346" s="2" t="inlineStr"/>
      <c r="R346" s="2" t="inlineStr"/>
      <c r="S346" s="2" t="inlineStr"/>
    </row>
    <row r="347">
      <c r="A347" s="2" t="n">
        <v>346</v>
      </c>
      <c r="B347" s="5" t="inlineStr">
        <is>
          <t>VERIFY FIRST</t>
        </is>
      </c>
      <c r="C347" s="2" t="inlineStr">
        <is>
          <t>No website found</t>
        </is>
      </c>
      <c r="D347" s="2" t="inlineStr">
        <is>
          <t>Urban Loft Lifestyle</t>
        </is>
      </c>
      <c r="E347" s="2" t="inlineStr">
        <is>
          <t>boutique</t>
        </is>
      </c>
      <c r="F347" s="2" t="inlineStr">
        <is>
          <t>Townsville</t>
        </is>
      </c>
      <c r="G347" s="2" t="inlineStr">
        <is>
          <t>Facebook</t>
        </is>
      </c>
      <c r="H347" s="2" t="inlineStr"/>
      <c r="I347" s="4" t="inlineStr">
        <is>
          <t>https://www.facebook.com/northwardtownsville</t>
        </is>
      </c>
      <c r="J347" s="2" t="inlineStr">
        <is>
          <t>+61 7 4724 5665</t>
        </is>
      </c>
      <c r="K347" s="2" t="inlineStr"/>
      <c r="L347" s="2" t="inlineStr">
        <is>
          <t>no website listed, only social media (verify on Google Maps)</t>
        </is>
      </c>
      <c r="M347" s="2" t="inlineStr">
        <is>
          <t>Hi Urban Loft Lifestyle team! [one real detail from their page]. We're AceAds, a web design studio. We couldn't find a website for Urban Loft Lifestyle, only your Facebook. We'd be happy to make you a free preview of what a website could look like. Want one? No cost, no obligation.</t>
        </is>
      </c>
      <c r="N347" s="4" t="inlineStr">
        <is>
          <t>Open map</t>
        </is>
      </c>
      <c r="O347" s="2" t="inlineStr">
        <is>
          <t>Not contacted</t>
        </is>
      </c>
      <c r="P347" s="2" t="inlineStr"/>
      <c r="Q347" s="2" t="inlineStr"/>
      <c r="R347" s="2" t="inlineStr"/>
      <c r="S347" s="2" t="inlineStr"/>
    </row>
    <row r="348">
      <c r="A348" s="2" t="n">
        <v>347</v>
      </c>
      <c r="B348" s="5" t="inlineStr">
        <is>
          <t>VERIFY FIRST</t>
        </is>
      </c>
      <c r="C348" s="2" t="inlineStr">
        <is>
          <t>No website found</t>
        </is>
      </c>
      <c r="D348" s="2" t="inlineStr">
        <is>
          <t>Balabite</t>
        </is>
      </c>
      <c r="E348" s="2" t="inlineStr">
        <is>
          <t>cafe</t>
        </is>
      </c>
      <c r="F348" s="2" t="inlineStr">
        <is>
          <t>Townsville</t>
        </is>
      </c>
      <c r="G348" s="2" t="inlineStr">
        <is>
          <t>Instagram</t>
        </is>
      </c>
      <c r="H348" s="4" t="inlineStr">
        <is>
          <t>https://www.instagram.com/balabite</t>
        </is>
      </c>
      <c r="I348" s="4" t="inlineStr">
        <is>
          <t>https://www.facebook.com/balabite/</t>
        </is>
      </c>
      <c r="J348" s="2" t="inlineStr"/>
      <c r="K348" s="2" t="inlineStr"/>
      <c r="L348" s="2" t="inlineStr">
        <is>
          <t>no website listed, only social media (verify on Google Maps)</t>
        </is>
      </c>
      <c r="M348" s="2" t="inlineStr">
        <is>
          <t>Hi Balabite team! [one real detail from their page]. We're AceAds, a web design studio. We couldn't find a website for Balabite, only your Instagram. We'd be happy to make you a free preview of what a website could look like. Want one? No cost, no obligation.</t>
        </is>
      </c>
      <c r="N348" s="4" t="inlineStr">
        <is>
          <t>Open map</t>
        </is>
      </c>
      <c r="O348" s="2" t="inlineStr">
        <is>
          <t>Not contacted</t>
        </is>
      </c>
      <c r="P348" s="2" t="inlineStr"/>
      <c r="Q348" s="2" t="inlineStr"/>
      <c r="R348" s="2" t="inlineStr"/>
      <c r="S348" s="2" t="inlineStr"/>
    </row>
    <row r="349">
      <c r="A349" s="2" t="n">
        <v>348</v>
      </c>
      <c r="B349" s="5" t="inlineStr">
        <is>
          <t>VERIFY FIRST</t>
        </is>
      </c>
      <c r="C349" s="2" t="inlineStr">
        <is>
          <t>No website found</t>
        </is>
      </c>
      <c r="D349" s="2" t="inlineStr">
        <is>
          <t>Bubble Shack</t>
        </is>
      </c>
      <c r="E349" s="2" t="inlineStr">
        <is>
          <t>cafe</t>
        </is>
      </c>
      <c r="F349" s="2" t="inlineStr">
        <is>
          <t>Townsville</t>
        </is>
      </c>
      <c r="G349" s="2" t="inlineStr">
        <is>
          <t>Facebook</t>
        </is>
      </c>
      <c r="H349" s="2" t="inlineStr"/>
      <c r="I349" s="4" t="inlineStr">
        <is>
          <t>https://www.facebook.com/thebubbleshackbubbletea</t>
        </is>
      </c>
      <c r="J349" s="2" t="inlineStr">
        <is>
          <t>+61 7 4772 0103</t>
        </is>
      </c>
      <c r="K349" s="2" t="inlineStr"/>
      <c r="L349" s="2" t="inlineStr">
        <is>
          <t>no website listed, only social media (verify on Google Maps)</t>
        </is>
      </c>
      <c r="M349" s="2" t="inlineStr">
        <is>
          <t>Hi Bubble Shack team! [one real detail from their page]. We're AceAds, a web design studio. We couldn't find a website for Bubble Shack, only your Facebook. We'd be happy to make you a free preview of what a website could look like. Want one? No cost, no obligation.</t>
        </is>
      </c>
      <c r="N349" s="4" t="inlineStr">
        <is>
          <t>Open map</t>
        </is>
      </c>
      <c r="O349" s="2" t="inlineStr">
        <is>
          <t>Not contacted</t>
        </is>
      </c>
      <c r="P349" s="2" t="inlineStr"/>
      <c r="Q349" s="2" t="inlineStr"/>
      <c r="R349" s="2" t="inlineStr"/>
      <c r="S349" s="2" t="inlineStr"/>
    </row>
    <row r="350">
      <c r="A350" s="2" t="n">
        <v>349</v>
      </c>
      <c r="B350" s="5" t="inlineStr">
        <is>
          <t>VERIFY FIRST</t>
        </is>
      </c>
      <c r="C350" s="2" t="inlineStr">
        <is>
          <t>No website found</t>
        </is>
      </c>
      <c r="D350" s="2" t="inlineStr">
        <is>
          <t>Sunvale Meats</t>
        </is>
      </c>
      <c r="E350" s="2" t="inlineStr">
        <is>
          <t>deli or specialty food</t>
        </is>
      </c>
      <c r="F350" s="2" t="inlineStr">
        <is>
          <t>Townsville</t>
        </is>
      </c>
      <c r="G350" s="2" t="inlineStr">
        <is>
          <t>Facebook</t>
        </is>
      </c>
      <c r="H350" s="2" t="inlineStr"/>
      <c r="I350" s="4" t="inlineStr">
        <is>
          <t>https://m.facebook.com/people/Sunvale-Meats/100063491471034/</t>
        </is>
      </c>
      <c r="J350" s="2" t="inlineStr">
        <is>
          <t>+61 7 4775 3750</t>
        </is>
      </c>
      <c r="K350" s="2" t="inlineStr"/>
      <c r="L350" s="2" t="inlineStr">
        <is>
          <t>no website listed, only social media (verify on Google Maps)</t>
        </is>
      </c>
      <c r="M350" s="2" t="inlineStr">
        <is>
          <t>Hi Sunvale Meats team! [one real detail from their page]. We're AceAds, a web design studio. We couldn't find a website for Sunvale Meats, only your Facebook. We'd be happy to make you a free preview of what a website could look like. Want one? No cost, no obligation.</t>
        </is>
      </c>
      <c r="N350" s="4" t="inlineStr">
        <is>
          <t>Open map</t>
        </is>
      </c>
      <c r="O350" s="2" t="inlineStr">
        <is>
          <t>Not contacted</t>
        </is>
      </c>
      <c r="P350" s="2" t="inlineStr"/>
      <c r="Q350" s="2" t="inlineStr"/>
      <c r="R350" s="2" t="inlineStr"/>
      <c r="S350" s="2" t="inlineStr"/>
    </row>
    <row r="351">
      <c r="A351" s="2" t="n">
        <v>350</v>
      </c>
      <c r="B351" s="5" t="inlineStr">
        <is>
          <t>VERIFY FIRST</t>
        </is>
      </c>
      <c r="C351" s="2" t="inlineStr">
        <is>
          <t>No website found</t>
        </is>
      </c>
      <c r="D351" s="2" t="inlineStr">
        <is>
          <t>Aussie Thai Fusion</t>
        </is>
      </c>
      <c r="E351" s="2" t="inlineStr">
        <is>
          <t>restaurant</t>
        </is>
      </c>
      <c r="F351" s="2" t="inlineStr">
        <is>
          <t>Townsville</t>
        </is>
      </c>
      <c r="G351" s="2" t="inlineStr">
        <is>
          <t>Facebook</t>
        </is>
      </c>
      <c r="H351" s="2" t="inlineStr"/>
      <c r="I351" s="4" t="inlineStr">
        <is>
          <t>https://www.facebook.com/Aussie-Thai-Fusion-413149449023841</t>
        </is>
      </c>
      <c r="J351" s="2" t="inlineStr">
        <is>
          <t>+61 7 4721 2524</t>
        </is>
      </c>
      <c r="K351" s="2" t="inlineStr"/>
      <c r="L351" s="2" t="inlineStr">
        <is>
          <t>no website listed, only social media (verify on Google Maps)</t>
        </is>
      </c>
      <c r="M351" s="2" t="inlineStr">
        <is>
          <t>Hi Aussie Thai Fusion team! [one real detail from their page]. We're AceAds, a web design studio. We couldn't find a website for Aussie Thai Fusion, only your Facebook. We'd be happy to make you a free preview of what a website could look like. Want one? No cost, no obligation.</t>
        </is>
      </c>
      <c r="N351" s="4" t="inlineStr">
        <is>
          <t>Open map</t>
        </is>
      </c>
      <c r="O351" s="2" t="inlineStr">
        <is>
          <t>Not contacted</t>
        </is>
      </c>
      <c r="P351" s="2" t="inlineStr"/>
      <c r="Q351" s="2" t="inlineStr"/>
      <c r="R351" s="2" t="inlineStr"/>
      <c r="S351" s="2" t="inlineStr"/>
    </row>
    <row r="352">
      <c r="A352" s="2" t="n">
        <v>351</v>
      </c>
      <c r="B352" s="5" t="inlineStr">
        <is>
          <t>VERIFY FIRST</t>
        </is>
      </c>
      <c r="C352" s="2" t="inlineStr">
        <is>
          <t>No website found</t>
        </is>
      </c>
      <c r="D352" s="2" t="inlineStr">
        <is>
          <t>Bountiful Thai</t>
        </is>
      </c>
      <c r="E352" s="2" t="inlineStr">
        <is>
          <t>restaurant</t>
        </is>
      </c>
      <c r="F352" s="2" t="inlineStr">
        <is>
          <t>Townsville</t>
        </is>
      </c>
      <c r="G352" s="2" t="inlineStr">
        <is>
          <t>Facebook</t>
        </is>
      </c>
      <c r="H352" s="2" t="inlineStr"/>
      <c r="I352" s="4" t="inlineStr">
        <is>
          <t>https://www.facebook.com/bountifulthai</t>
        </is>
      </c>
      <c r="J352" s="2" t="inlineStr">
        <is>
          <t>+61 7 4771 5578</t>
        </is>
      </c>
      <c r="K352" s="2" t="inlineStr"/>
      <c r="L352" s="2" t="inlineStr">
        <is>
          <t>no website listed, only social media (verify on Google Maps)</t>
        </is>
      </c>
      <c r="M352" s="2" t="inlineStr">
        <is>
          <t>Hi Bountiful Thai team! [one real detail from their page]. We're AceAds, a web design studio. We couldn't find a website for Bountiful Thai, only your Facebook. We'd be happy to make you a free preview of what a website could look like. Want one? No cost, no obligation.</t>
        </is>
      </c>
      <c r="N352" s="4" t="inlineStr">
        <is>
          <t>Open map</t>
        </is>
      </c>
      <c r="O352" s="2" t="inlineStr">
        <is>
          <t>Not contacted</t>
        </is>
      </c>
      <c r="P352" s="2" t="inlineStr"/>
      <c r="Q352" s="2" t="inlineStr"/>
      <c r="R352" s="2" t="inlineStr"/>
      <c r="S352" s="2" t="inlineStr"/>
    </row>
    <row r="353">
      <c r="A353" s="2" t="n">
        <v>352</v>
      </c>
      <c r="B353" s="5" t="inlineStr">
        <is>
          <t>VERIFY FIRST</t>
        </is>
      </c>
      <c r="C353" s="2" t="inlineStr">
        <is>
          <t>No website found</t>
        </is>
      </c>
      <c r="D353" s="2" t="inlineStr">
        <is>
          <t>Chico Rio</t>
        </is>
      </c>
      <c r="E353" s="2" t="inlineStr">
        <is>
          <t>restaurant</t>
        </is>
      </c>
      <c r="F353" s="2" t="inlineStr">
        <is>
          <t>Townsville</t>
        </is>
      </c>
      <c r="G353" s="2" t="inlineStr">
        <is>
          <t>Facebook</t>
        </is>
      </c>
      <c r="H353" s="2" t="inlineStr"/>
      <c r="I353" s="4" t="inlineStr">
        <is>
          <t>https://www.facebook.com/chicoriotsv</t>
        </is>
      </c>
      <c r="J353" s="2" t="inlineStr">
        <is>
          <t>+61 7 4772 1073</t>
        </is>
      </c>
      <c r="K353" s="2" t="inlineStr"/>
      <c r="L353" s="2" t="inlineStr">
        <is>
          <t>no website listed, only social media (verify on Google Maps)</t>
        </is>
      </c>
      <c r="M353" s="2" t="inlineStr">
        <is>
          <t>Hi Chico Rio team! [one real detail from their page]. We're AceAds, a web design studio. We couldn't find a website for Chico Rio, only your Facebook. We'd be happy to make you a free preview of what a website could look like. Want one? No cost, no obligation.</t>
        </is>
      </c>
      <c r="N353" s="4" t="inlineStr">
        <is>
          <t>Open map</t>
        </is>
      </c>
      <c r="O353" s="2" t="inlineStr">
        <is>
          <t>Not contacted</t>
        </is>
      </c>
      <c r="P353" s="2" t="inlineStr"/>
      <c r="Q353" s="2" t="inlineStr"/>
      <c r="R353" s="2" t="inlineStr"/>
      <c r="S353" s="2" t="inlineStr"/>
    </row>
    <row r="354">
      <c r="A354" s="2" t="n">
        <v>353</v>
      </c>
      <c r="B354" s="5" t="inlineStr">
        <is>
          <t>VERIFY FIRST</t>
        </is>
      </c>
      <c r="C354" s="2" t="inlineStr">
        <is>
          <t>No website found</t>
        </is>
      </c>
      <c r="D354" s="2" t="inlineStr">
        <is>
          <t>Wild Rice</t>
        </is>
      </c>
      <c r="E354" s="2" t="inlineStr">
        <is>
          <t>restaurant</t>
        </is>
      </c>
      <c r="F354" s="2" t="inlineStr">
        <is>
          <t>Townsville</t>
        </is>
      </c>
      <c r="G354" s="2" t="inlineStr">
        <is>
          <t>Facebook</t>
        </is>
      </c>
      <c r="H354" s="2" t="inlineStr"/>
      <c r="I354" s="4" t="inlineStr">
        <is>
          <t>https://www.facebook.com/WildRiceLaoThai</t>
        </is>
      </c>
      <c r="J354" s="2" t="inlineStr">
        <is>
          <t>+61 7 4771 6242</t>
        </is>
      </c>
      <c r="K354" s="2" t="inlineStr"/>
      <c r="L354" s="2" t="inlineStr">
        <is>
          <t>no website listed, only social media (verify on Google Maps)</t>
        </is>
      </c>
      <c r="M354" s="2" t="inlineStr">
        <is>
          <t>Hi Wild Rice team! [one real detail from their page]. We're AceAds, a web design studio. We couldn't find a website for Wild Rice, only your Facebook. We'd be happy to make you a free preview of what a website could look like. Want one? No cost, no obligation.</t>
        </is>
      </c>
      <c r="N354" s="4" t="inlineStr">
        <is>
          <t>Open map</t>
        </is>
      </c>
      <c r="O354" s="2" t="inlineStr">
        <is>
          <t>Not contacted</t>
        </is>
      </c>
      <c r="P354" s="2" t="inlineStr"/>
      <c r="Q354" s="2" t="inlineStr"/>
      <c r="R354" s="2" t="inlineStr"/>
      <c r="S354" s="2" t="inlineStr"/>
    </row>
    <row r="355">
      <c r="A355" s="2" t="n">
        <v>354</v>
      </c>
      <c r="B355" s="5" t="inlineStr">
        <is>
          <t>VERIFY FIRST</t>
        </is>
      </c>
      <c r="C355" s="2" t="inlineStr">
        <is>
          <t>No website found</t>
        </is>
      </c>
      <c r="D355" s="2" t="inlineStr">
        <is>
          <t>Fish N Chip Delights</t>
        </is>
      </c>
      <c r="E355" s="2" t="inlineStr">
        <is>
          <t>takeaway</t>
        </is>
      </c>
      <c r="F355" s="2" t="inlineStr">
        <is>
          <t>Townsville</t>
        </is>
      </c>
      <c r="G355" s="2" t="inlineStr">
        <is>
          <t>Facebook</t>
        </is>
      </c>
      <c r="H355" s="2" t="inlineStr"/>
      <c r="I355" s="4" t="inlineStr">
        <is>
          <t>https://facebook.com/FISHnCHIPDelights</t>
        </is>
      </c>
      <c r="J355" s="2" t="inlineStr">
        <is>
          <t>+61 7 4740 4949</t>
        </is>
      </c>
      <c r="K355" s="2" t="inlineStr"/>
      <c r="L355" s="2" t="inlineStr">
        <is>
          <t>no website listed, only social media (verify on Google Maps)</t>
        </is>
      </c>
      <c r="M355" s="2" t="inlineStr">
        <is>
          <t>Hi Fish N Chip Delights team! [one real detail from their page]. We're AceAds, a web design studio. We couldn't find a website for Fish N Chip Delights, only your Facebook. We'd be happy to make you a free preview of what a website could look like. Want one? No cost, no obligation.</t>
        </is>
      </c>
      <c r="N355" s="4" t="inlineStr">
        <is>
          <t>Open map</t>
        </is>
      </c>
      <c r="O355" s="2" t="inlineStr">
        <is>
          <t>Not contacted</t>
        </is>
      </c>
      <c r="P355" s="2" t="inlineStr"/>
      <c r="Q355" s="2" t="inlineStr"/>
      <c r="R355" s="2" t="inlineStr"/>
      <c r="S355" s="2" t="inlineStr"/>
    </row>
    <row r="356">
      <c r="A356" s="2" t="n">
        <v>355</v>
      </c>
      <c r="B356" s="5" t="inlineStr">
        <is>
          <t>VERIFY FIRST</t>
        </is>
      </c>
      <c r="C356" s="2" t="inlineStr">
        <is>
          <t>Site shows an error</t>
        </is>
      </c>
      <c r="D356" s="2" t="inlineStr">
        <is>
          <t>Squeeze Me</t>
        </is>
      </c>
      <c r="E356" s="2" t="inlineStr">
        <is>
          <t>takeaway</t>
        </is>
      </c>
      <c r="F356" s="2" t="inlineStr">
        <is>
          <t>Townsville</t>
        </is>
      </c>
      <c r="G356" s="2" t="inlineStr">
        <is>
          <t>Facebook</t>
        </is>
      </c>
      <c r="H356" s="2" t="inlineStr"/>
      <c r="I356" s="4" t="inlineStr">
        <is>
          <t>https://www.facebook.com/Squeezemetownsville</t>
        </is>
      </c>
      <c r="J356" s="2" t="inlineStr">
        <is>
          <t>+61 7 4721 0322</t>
        </is>
      </c>
      <c r="K356" s="4" t="inlineStr">
        <is>
          <t>https://www.squeezeme.com.au/</t>
        </is>
      </c>
      <c r="L356" s="2" t="inlineStr">
        <is>
          <t>homepage shows an error page (HTTP 404)</t>
        </is>
      </c>
      <c r="M356" s="2" t="inlineStr">
        <is>
          <t>Hi Squeeze Me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356" s="4" t="inlineStr">
        <is>
          <t>Open map</t>
        </is>
      </c>
      <c r="O356" s="2" t="inlineStr">
        <is>
          <t>Not contacted</t>
        </is>
      </c>
      <c r="P356" s="2" t="inlineStr"/>
      <c r="Q356" s="2" t="inlineStr"/>
      <c r="R356" s="2" t="inlineStr"/>
      <c r="S356" s="2" t="inlineStr"/>
    </row>
    <row r="357">
      <c r="A357" s="2" t="n">
        <v>356</v>
      </c>
      <c r="B357" s="5" t="inlineStr">
        <is>
          <t>VERIFY FIRST</t>
        </is>
      </c>
      <c r="C357" s="2" t="inlineStr">
        <is>
          <t>No website found</t>
        </is>
      </c>
      <c r="D357" s="2" t="inlineStr">
        <is>
          <t>Dark Arts Tattoo</t>
        </is>
      </c>
      <c r="E357" s="2" t="inlineStr">
        <is>
          <t>tattoo studio</t>
        </is>
      </c>
      <c r="F357" s="2" t="inlineStr">
        <is>
          <t>Townsville</t>
        </is>
      </c>
      <c r="G357" s="2" t="inlineStr">
        <is>
          <t>Facebook</t>
        </is>
      </c>
      <c r="H357" s="2" t="inlineStr"/>
      <c r="I357" s="4" t="inlineStr">
        <is>
          <t>https://www.facebook.com/DarkArtsTattooTsv/</t>
        </is>
      </c>
      <c r="J357" s="2" t="inlineStr"/>
      <c r="K357" s="2" t="inlineStr"/>
      <c r="L357" s="2" t="inlineStr">
        <is>
          <t>no website listed, only social media (verify on Google Maps)</t>
        </is>
      </c>
      <c r="M357" s="2" t="inlineStr">
        <is>
          <t>Hi Dark Arts Tattoo team! [one real detail from their page]. We're AceAds, a web design studio. We couldn't find a website for Dark Arts Tattoo, only your Facebook. We'd be happy to make you a free preview of what a website could look like. Want one? No cost, no obligation.</t>
        </is>
      </c>
      <c r="N357" s="4" t="inlineStr">
        <is>
          <t>Open map</t>
        </is>
      </c>
      <c r="O357" s="2" t="inlineStr">
        <is>
          <t>Not contacted</t>
        </is>
      </c>
      <c r="P357" s="2" t="inlineStr"/>
      <c r="Q357" s="2" t="inlineStr"/>
      <c r="R357" s="2" t="inlineStr"/>
      <c r="S357" s="2" t="inlineStr"/>
    </row>
    <row r="358">
      <c r="A358" s="2" t="n">
        <v>357</v>
      </c>
      <c r="B358" s="5" t="inlineStr">
        <is>
          <t>VERIFY FIRST</t>
        </is>
      </c>
      <c r="C358" s="2" t="inlineStr">
        <is>
          <t>No website found</t>
        </is>
      </c>
      <c r="D358" s="2" t="inlineStr">
        <is>
          <t>Brow &amp; Beaute Co</t>
        </is>
      </c>
      <c r="E358" s="2" t="inlineStr">
        <is>
          <t>beauty salon</t>
        </is>
      </c>
      <c r="F358" s="2" t="inlineStr">
        <is>
          <t>Warwick</t>
        </is>
      </c>
      <c r="G358" s="2" t="inlineStr">
        <is>
          <t>Facebook</t>
        </is>
      </c>
      <c r="H358" s="2" t="inlineStr"/>
      <c r="I358" s="4" t="inlineStr">
        <is>
          <t>https://www.facebook.com/browandbeauteco/</t>
        </is>
      </c>
      <c r="J358" s="2" t="inlineStr">
        <is>
          <t>+61 7 4661 9416</t>
        </is>
      </c>
      <c r="K358" s="2" t="inlineStr"/>
      <c r="L358" s="2" t="inlineStr">
        <is>
          <t>no website listed, only social media (verify on Google Maps)</t>
        </is>
      </c>
      <c r="M358" s="2" t="inlineStr">
        <is>
          <t>Hi Brow &amp; Beaute Co team! [one real detail from their page]. We're AceAds, a web design studio. We couldn't find a website for Brow &amp; Beaute Co, only your Facebook. We'd be happy to make you a free preview of what a website could look like. Want one? No cost, no obligation.</t>
        </is>
      </c>
      <c r="N358" s="4" t="inlineStr">
        <is>
          <t>Open map</t>
        </is>
      </c>
      <c r="O358" s="2" t="inlineStr">
        <is>
          <t>Not contacted</t>
        </is>
      </c>
      <c r="P358" s="2" t="inlineStr"/>
      <c r="Q358" s="2" t="inlineStr"/>
      <c r="R358" s="2" t="inlineStr"/>
      <c r="S358" s="2" t="inlineStr"/>
    </row>
    <row r="359">
      <c r="A359" s="2" t="n">
        <v>358</v>
      </c>
      <c r="B359" s="5" t="inlineStr">
        <is>
          <t>VERIFY FIRST</t>
        </is>
      </c>
      <c r="C359" s="2" t="inlineStr">
        <is>
          <t>No website found</t>
        </is>
      </c>
      <c r="D359" s="2" t="inlineStr">
        <is>
          <t>Cafe Jacqui's</t>
        </is>
      </c>
      <c r="E359" s="2" t="inlineStr">
        <is>
          <t>cafe</t>
        </is>
      </c>
      <c r="F359" s="2" t="inlineStr">
        <is>
          <t>Warwick</t>
        </is>
      </c>
      <c r="G359" s="2" t="inlineStr">
        <is>
          <t>Facebook</t>
        </is>
      </c>
      <c r="H359" s="2" t="inlineStr"/>
      <c r="I359" s="4" t="inlineStr">
        <is>
          <t>https://www.facebook.com/CafeJacquis</t>
        </is>
      </c>
      <c r="J359" s="2" t="inlineStr"/>
      <c r="K359" s="2" t="inlineStr"/>
      <c r="L359" s="2" t="inlineStr">
        <is>
          <t>no website listed, only social media (verify on Google Maps)</t>
        </is>
      </c>
      <c r="M359" s="2" t="inlineStr">
        <is>
          <t>Hi Cafe Jacqui's team! [one real detail from their page]. We're AceAds, a web design studio. We couldn't find a website for Cafe Jacqui's, only your Facebook. We'd be happy to make you a free preview of what a website could look like. Want one? No cost, no obligation.</t>
        </is>
      </c>
      <c r="N359" s="4" t="inlineStr">
        <is>
          <t>Open map</t>
        </is>
      </c>
      <c r="O359" s="2" t="inlineStr">
        <is>
          <t>Not contacted</t>
        </is>
      </c>
      <c r="P359" s="2" t="inlineStr"/>
      <c r="Q359" s="2" t="inlineStr"/>
      <c r="R359" s="2" t="inlineStr"/>
      <c r="S359" s="2" t="inlineStr"/>
    </row>
    <row r="360">
      <c r="A360" s="2" t="n">
        <v>359</v>
      </c>
      <c r="B360" s="5" t="inlineStr">
        <is>
          <t>VERIFY FIRST</t>
        </is>
      </c>
      <c r="C360" s="2" t="inlineStr">
        <is>
          <t>No website found</t>
        </is>
      </c>
      <c r="D360" s="2" t="inlineStr">
        <is>
          <t>SNJ Precision Automotive</t>
        </is>
      </c>
      <c r="E360" s="2" t="inlineStr">
        <is>
          <t>mechanic</t>
        </is>
      </c>
      <c r="F360" s="2" t="inlineStr">
        <is>
          <t>Warwick</t>
        </is>
      </c>
      <c r="G360" s="2" t="inlineStr">
        <is>
          <t>Facebook</t>
        </is>
      </c>
      <c r="H360" s="2" t="inlineStr"/>
      <c r="I360" s="4" t="inlineStr">
        <is>
          <t>https://www.facebook.com/SNJPrecisionAutomotive/</t>
        </is>
      </c>
      <c r="J360" s="2" t="inlineStr">
        <is>
          <t>+61 7 4661 5652</t>
        </is>
      </c>
      <c r="K360" s="2" t="inlineStr"/>
      <c r="L360" s="2" t="inlineStr">
        <is>
          <t>no website listed, only social media (verify on Google Maps)</t>
        </is>
      </c>
      <c r="M360" s="2" t="inlineStr">
        <is>
          <t>Hi SNJ Precision Automotive team! [one real detail from their page]. We're AceAds, a web design studio. We couldn't find a website for SNJ Precision Automotive, only your Facebook. We'd be happy to make you a free preview of what a website could look like. Want one? No cost, no obligation.</t>
        </is>
      </c>
      <c r="N360" s="4" t="inlineStr">
        <is>
          <t>Open map</t>
        </is>
      </c>
      <c r="O360" s="2" t="inlineStr">
        <is>
          <t>Not contacted</t>
        </is>
      </c>
      <c r="P360" s="2" t="inlineStr"/>
      <c r="Q360" s="2" t="inlineStr"/>
      <c r="R360" s="2" t="inlineStr"/>
      <c r="S360" s="2" t="inlineStr"/>
    </row>
    <row r="361">
      <c r="A361" s="2" t="n">
        <v>360</v>
      </c>
      <c r="B361" s="5" t="inlineStr">
        <is>
          <t>VERIFY FIRST</t>
        </is>
      </c>
      <c r="C361" s="2" t="inlineStr">
        <is>
          <t>No website found</t>
        </is>
      </c>
      <c r="D361" s="2" t="inlineStr">
        <is>
          <t>Warwick Fish Depot</t>
        </is>
      </c>
      <c r="E361" s="2" t="inlineStr">
        <is>
          <t>restaurant</t>
        </is>
      </c>
      <c r="F361" s="2" t="inlineStr">
        <is>
          <t>Warwick</t>
        </is>
      </c>
      <c r="G361" s="2" t="inlineStr">
        <is>
          <t>Facebook</t>
        </is>
      </c>
      <c r="H361" s="2" t="inlineStr"/>
      <c r="I361" s="4" t="inlineStr">
        <is>
          <t>https://www.facebook.com/p/Warwick-Fish-Depot-100087477517398/</t>
        </is>
      </c>
      <c r="J361" s="2" t="inlineStr">
        <is>
          <t>+61 7 4667 0029</t>
        </is>
      </c>
      <c r="K361" s="2" t="inlineStr"/>
      <c r="L361" s="2" t="inlineStr">
        <is>
          <t>no website listed, only social media (verify on Google Maps)</t>
        </is>
      </c>
      <c r="M361" s="2" t="inlineStr">
        <is>
          <t>Hi Warwick Fish Depot team! [one real detail from their page]. We're AceAds, a web design studio. We couldn't find a website for Warwick Fish Depot, only your Facebook. We'd be happy to make you a free preview of what a website could look like. Want one? No cost, no obligation.</t>
        </is>
      </c>
      <c r="N361" s="4" t="inlineStr">
        <is>
          <t>Open map</t>
        </is>
      </c>
      <c r="O361" s="2" t="inlineStr">
        <is>
          <t>Not contacted</t>
        </is>
      </c>
      <c r="P361" s="2" t="inlineStr"/>
      <c r="Q361" s="2" t="inlineStr"/>
      <c r="R361" s="2" t="inlineStr"/>
      <c r="S361" s="2" t="inlineStr"/>
    </row>
    <row r="362">
      <c r="A362" s="2" t="n">
        <v>361</v>
      </c>
      <c r="B362" s="6" t="inlineStr">
        <is>
          <t>MEDIUM</t>
        </is>
      </c>
      <c r="C362" s="2" t="inlineStr">
        <is>
          <t>Weak website</t>
        </is>
      </c>
      <c r="D362" s="2" t="inlineStr">
        <is>
          <t>Sunlit Waters</t>
        </is>
      </c>
      <c r="E362" s="2" t="inlineStr">
        <is>
          <t>accommodation</t>
        </is>
      </c>
      <c r="F362" s="2" t="inlineStr">
        <is>
          <t>Airlie Beach</t>
        </is>
      </c>
      <c r="G362" s="2" t="inlineStr">
        <is>
          <t>Instagram</t>
        </is>
      </c>
      <c r="H362" s="4" t="inlineStr">
        <is>
          <t>https://www.instagram.com/sunlitwaters_studio_apartments</t>
        </is>
      </c>
      <c r="I362" s="4" t="inlineStr">
        <is>
          <t>https://www.facebook.com/Sunlit-Waters-Studio-Apartments-136160739790365</t>
        </is>
      </c>
      <c r="J362" s="2" t="inlineStr"/>
      <c r="K362" s="4" t="inlineStr">
        <is>
          <t>https://www.sunlitwaters.com/</t>
        </is>
      </c>
      <c r="L362" s="2" t="inlineStr">
        <is>
          <t>slow to load (4.2s)</t>
        </is>
      </c>
      <c r="M362" s="2" t="inlineStr">
        <is>
          <t>Hi Sunlit Waters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62" s="4" t="inlineStr">
        <is>
          <t>Open map</t>
        </is>
      </c>
      <c r="O362" s="2" t="inlineStr">
        <is>
          <t>Not contacted</t>
        </is>
      </c>
      <c r="P362" s="2" t="inlineStr"/>
      <c r="Q362" s="2" t="inlineStr"/>
      <c r="R362" s="2" t="inlineStr"/>
      <c r="S362" s="2" t="inlineStr"/>
    </row>
    <row r="363">
      <c r="A363" s="2" t="n">
        <v>362</v>
      </c>
      <c r="B363" s="6" t="inlineStr">
        <is>
          <t>MEDIUM</t>
        </is>
      </c>
      <c r="C363" s="2" t="inlineStr">
        <is>
          <t>Weak website</t>
        </is>
      </c>
      <c r="D363" s="2" t="inlineStr">
        <is>
          <t>Wisdom Cafe</t>
        </is>
      </c>
      <c r="E363" s="2" t="inlineStr">
        <is>
          <t>cafe</t>
        </is>
      </c>
      <c r="F363" s="2" t="inlineStr">
        <is>
          <t>Airlie Beach</t>
        </is>
      </c>
      <c r="G363" s="2" t="inlineStr">
        <is>
          <t>Facebook</t>
        </is>
      </c>
      <c r="H363" s="2" t="inlineStr"/>
      <c r="I363" s="4" t="inlineStr">
        <is>
          <t>https://www.facebook.com/243051125875413</t>
        </is>
      </c>
      <c r="J363" s="2" t="inlineStr">
        <is>
          <t>+61 493 049 985</t>
        </is>
      </c>
      <c r="K363" s="4" t="inlineStr">
        <is>
          <t>https://wisdom-cafe.com.au/</t>
        </is>
      </c>
      <c r="L363" s="2" t="inlineStr">
        <is>
          <t>missing meta description</t>
        </is>
      </c>
      <c r="M363" s="2" t="inlineStr">
        <is>
          <t>Hi Wisdom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63" s="4" t="inlineStr">
        <is>
          <t>Open map</t>
        </is>
      </c>
      <c r="O363" s="2" t="inlineStr">
        <is>
          <t>Not contacted</t>
        </is>
      </c>
      <c r="P363" s="2" t="inlineStr"/>
      <c r="Q363" s="2" t="inlineStr"/>
      <c r="R363" s="2" t="inlineStr"/>
      <c r="S363" s="2" t="inlineStr"/>
    </row>
    <row r="364">
      <c r="A364" s="2" t="n">
        <v>363</v>
      </c>
      <c r="B364" s="6" t="inlineStr">
        <is>
          <t>MEDIUM</t>
        </is>
      </c>
      <c r="C364" s="2" t="inlineStr">
        <is>
          <t>Weak website</t>
        </is>
      </c>
      <c r="D364" s="2" t="inlineStr">
        <is>
          <t>Whitsunday Family Practice</t>
        </is>
      </c>
      <c r="E364" s="2" t="inlineStr">
        <is>
          <t>medical clinic</t>
        </is>
      </c>
      <c r="F364" s="2" t="inlineStr">
        <is>
          <t>Airlie Beach</t>
        </is>
      </c>
      <c r="G364" s="2" t="inlineStr">
        <is>
          <t>Facebook</t>
        </is>
      </c>
      <c r="H364" s="2" t="inlineStr"/>
      <c r="I364" s="4" t="inlineStr">
        <is>
          <t>https://www.facebook.com/whitsundayfamilypractice</t>
        </is>
      </c>
      <c r="J364" s="2" t="inlineStr"/>
      <c r="K364" s="4" t="inlineStr">
        <is>
          <t>https://www.whitsundayfamilypractice.com.au/</t>
        </is>
      </c>
      <c r="L364" s="2" t="inlineStr">
        <is>
          <t>slow to load (3.4s)</t>
        </is>
      </c>
      <c r="M364" s="2" t="inlineStr">
        <is>
          <t>Hi Whitsunday Family Practice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64" s="4" t="inlineStr">
        <is>
          <t>Open map</t>
        </is>
      </c>
      <c r="O364" s="2" t="inlineStr">
        <is>
          <t>Not contacted</t>
        </is>
      </c>
      <c r="P364" s="2" t="inlineStr"/>
      <c r="Q364" s="2" t="inlineStr"/>
      <c r="R364" s="2" t="inlineStr"/>
      <c r="S364" s="2" t="inlineStr"/>
    </row>
    <row r="365">
      <c r="A365" s="2" t="n">
        <v>364</v>
      </c>
      <c r="B365" s="6" t="inlineStr">
        <is>
          <t>MEDIUM</t>
        </is>
      </c>
      <c r="C365" s="2" t="inlineStr">
        <is>
          <t>Weak website</t>
        </is>
      </c>
      <c r="D365" s="2" t="inlineStr">
        <is>
          <t>Beagles Pizza</t>
        </is>
      </c>
      <c r="E365" s="2" t="inlineStr">
        <is>
          <t>restaurant</t>
        </is>
      </c>
      <c r="F365" s="2" t="inlineStr">
        <is>
          <t>Airlie Beach</t>
        </is>
      </c>
      <c r="G365" s="2" t="inlineStr">
        <is>
          <t>Facebook</t>
        </is>
      </c>
      <c r="H365" s="2" t="inlineStr"/>
      <c r="I365" s="4" t="inlineStr">
        <is>
          <t>https://www.facebook.com/pages/Beagles-Pizza/181013161936358</t>
        </is>
      </c>
      <c r="J365" s="2" t="inlineStr"/>
      <c r="K365" s="4" t="inlineStr">
        <is>
          <t>https://www.beaglespizza.com.au/</t>
        </is>
      </c>
      <c r="L365" s="2" t="inlineStr">
        <is>
          <t>looks outdated (copyright 2021)</t>
        </is>
      </c>
      <c r="M365" s="2" t="inlineStr">
        <is>
          <t>Hi Beagles Pizza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65" s="4" t="inlineStr">
        <is>
          <t>Open map</t>
        </is>
      </c>
      <c r="O365" s="2" t="inlineStr">
        <is>
          <t>Not contacted</t>
        </is>
      </c>
      <c r="P365" s="2" t="inlineStr"/>
      <c r="Q365" s="2" t="inlineStr"/>
      <c r="R365" s="2" t="inlineStr"/>
      <c r="S365" s="2" t="inlineStr"/>
    </row>
    <row r="366">
      <c r="A366" s="2" t="n">
        <v>365</v>
      </c>
      <c r="B366" s="6" t="inlineStr">
        <is>
          <t>MEDIUM</t>
        </is>
      </c>
      <c r="C366" s="2" t="inlineStr">
        <is>
          <t>Weak website</t>
        </is>
      </c>
      <c r="D366" s="2" t="inlineStr">
        <is>
          <t>Breeze Lodge</t>
        </is>
      </c>
      <c r="E366" s="2" t="inlineStr">
        <is>
          <t>accommodation</t>
        </is>
      </c>
      <c r="F366" s="2" t="inlineStr">
        <is>
          <t>Brisbane</t>
        </is>
      </c>
      <c r="G366" s="2" t="inlineStr">
        <is>
          <t>Instagram</t>
        </is>
      </c>
      <c r="H366" s="4" t="inlineStr">
        <is>
          <t>http://instagram.com/breezelodge</t>
        </is>
      </c>
      <c r="I366" s="4" t="inlineStr">
        <is>
          <t>http://www.facebook.com/breezelodge</t>
        </is>
      </c>
      <c r="J366" s="2" t="inlineStr">
        <is>
          <t>+61 7 3156 8434</t>
        </is>
      </c>
      <c r="K366" s="4" t="inlineStr">
        <is>
          <t>https://www.breezelodge.com.au/</t>
        </is>
      </c>
      <c r="L366" s="2" t="inlineStr">
        <is>
          <t>missing meta description</t>
        </is>
      </c>
      <c r="M366" s="2" t="inlineStr">
        <is>
          <t>Hi Breeze Lodge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66" s="4" t="inlineStr">
        <is>
          <t>Open map</t>
        </is>
      </c>
      <c r="O366" s="2" t="inlineStr">
        <is>
          <t>Not contacted</t>
        </is>
      </c>
      <c r="P366" s="2" t="inlineStr"/>
      <c r="Q366" s="2" t="inlineStr"/>
      <c r="R366" s="2" t="inlineStr"/>
      <c r="S366" s="2" t="inlineStr"/>
    </row>
    <row r="367">
      <c r="A367" s="2" t="n">
        <v>366</v>
      </c>
      <c r="B367" s="6" t="inlineStr">
        <is>
          <t>MEDIUM</t>
        </is>
      </c>
      <c r="C367" s="2" t="inlineStr">
        <is>
          <t>Weak website</t>
        </is>
      </c>
      <c r="D367" s="2" t="inlineStr">
        <is>
          <t>Hanworth House</t>
        </is>
      </c>
      <c r="E367" s="2" t="inlineStr">
        <is>
          <t>accommodation</t>
        </is>
      </c>
      <c r="F367" s="2" t="inlineStr">
        <is>
          <t>Brisbane</t>
        </is>
      </c>
      <c r="G367" s="2" t="inlineStr">
        <is>
          <t>Instagram</t>
        </is>
      </c>
      <c r="H367" s="4" t="inlineStr">
        <is>
          <t>https://www.instagram.com/hanworthhouse</t>
        </is>
      </c>
      <c r="I367" s="4" t="inlineStr">
        <is>
          <t>https://www.facebook.com/HeartHanworthHouse</t>
        </is>
      </c>
      <c r="J367" s="2" t="inlineStr">
        <is>
          <t>+61 7 3391 7311</t>
        </is>
      </c>
      <c r="K367" s="4" t="inlineStr">
        <is>
          <t>https://www.hanworthhouse.com.au/</t>
        </is>
      </c>
      <c r="L367" s="2" t="inlineStr">
        <is>
          <t>looks outdated (copyright 2019); missing meta description</t>
        </is>
      </c>
      <c r="M367" s="2" t="inlineStr">
        <is>
          <t>Hi Hanworth House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67" s="4" t="inlineStr">
        <is>
          <t>Open map</t>
        </is>
      </c>
      <c r="O367" s="2" t="inlineStr">
        <is>
          <t>Not contacted</t>
        </is>
      </c>
      <c r="P367" s="2" t="inlineStr"/>
      <c r="Q367" s="2" t="inlineStr"/>
      <c r="R367" s="2" t="inlineStr"/>
      <c r="S367" s="2" t="inlineStr"/>
    </row>
    <row r="368">
      <c r="A368" s="2" t="n">
        <v>367</v>
      </c>
      <c r="B368" s="6" t="inlineStr">
        <is>
          <t>MEDIUM</t>
        </is>
      </c>
      <c r="C368" s="2" t="inlineStr">
        <is>
          <t>Weak website</t>
        </is>
      </c>
      <c r="D368" s="2" t="inlineStr">
        <is>
          <t>La Vida on Anzac</t>
        </is>
      </c>
      <c r="E368" s="2" t="inlineStr">
        <is>
          <t>accommodation</t>
        </is>
      </c>
      <c r="F368" s="2" t="inlineStr">
        <is>
          <t>Brisbane</t>
        </is>
      </c>
      <c r="G368" s="2" t="inlineStr">
        <is>
          <t>Instagram</t>
        </is>
      </c>
      <c r="H368" s="4" t="inlineStr">
        <is>
          <t>https://www.instagram.com/lavidaonanzac</t>
        </is>
      </c>
      <c r="I368" s="4" t="inlineStr">
        <is>
          <t>https://www.facebook.com/LavidaOnAnzac</t>
        </is>
      </c>
      <c r="J368" s="2" t="inlineStr"/>
      <c r="K368" s="4" t="inlineStr">
        <is>
          <t>https://www.lavidaonanzac.com.au/</t>
        </is>
      </c>
      <c r="L368" s="2" t="inlineStr">
        <is>
          <t>slow to load (3.6s)</t>
        </is>
      </c>
      <c r="M368" s="2" t="inlineStr">
        <is>
          <t>Hi La Vida on Anzac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68" s="4" t="inlineStr">
        <is>
          <t>Open map</t>
        </is>
      </c>
      <c r="O368" s="2" t="inlineStr">
        <is>
          <t>Not contacted</t>
        </is>
      </c>
      <c r="P368" s="2" t="inlineStr"/>
      <c r="Q368" s="2" t="inlineStr"/>
      <c r="R368" s="2" t="inlineStr"/>
      <c r="S368" s="2" t="inlineStr"/>
    </row>
    <row r="369">
      <c r="A369" s="2" t="n">
        <v>368</v>
      </c>
      <c r="B369" s="6" t="inlineStr">
        <is>
          <t>MEDIUM</t>
        </is>
      </c>
      <c r="C369" s="2" t="inlineStr">
        <is>
          <t>Weak website</t>
        </is>
      </c>
      <c r="D369" s="2" t="inlineStr">
        <is>
          <t>McNevins Motel Logan Park</t>
        </is>
      </c>
      <c r="E369" s="2" t="inlineStr">
        <is>
          <t>accommodation</t>
        </is>
      </c>
      <c r="F369" s="2" t="inlineStr">
        <is>
          <t>Brisbane</t>
        </is>
      </c>
      <c r="G369" s="2" t="inlineStr">
        <is>
          <t>Facebook</t>
        </is>
      </c>
      <c r="H369" s="2" t="inlineStr"/>
      <c r="I369" s="4" t="inlineStr">
        <is>
          <t>https://www.facebook.com/mcnevins.motels</t>
        </is>
      </c>
      <c r="J369" s="2" t="inlineStr"/>
      <c r="K369" s="4" t="inlineStr">
        <is>
          <t>https://mcnevins.com.au/</t>
        </is>
      </c>
      <c r="L369" s="2" t="inlineStr">
        <is>
          <t>looks outdated (copyright 2019); missing meta description; slow to load (6.5s)</t>
        </is>
      </c>
      <c r="M369" s="2" t="inlineStr">
        <is>
          <t>Hi McNevins Motel Logan Park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69" s="4" t="inlineStr">
        <is>
          <t>Open map</t>
        </is>
      </c>
      <c r="O369" s="2" t="inlineStr">
        <is>
          <t>Not contacted</t>
        </is>
      </c>
      <c r="P369" s="2" t="inlineStr"/>
      <c r="Q369" s="2" t="inlineStr"/>
      <c r="R369" s="2" t="inlineStr"/>
      <c r="S369" s="2" t="inlineStr"/>
    </row>
    <row r="370">
      <c r="A370" s="2" t="n">
        <v>369</v>
      </c>
      <c r="B370" s="6" t="inlineStr">
        <is>
          <t>MEDIUM</t>
        </is>
      </c>
      <c r="C370" s="2" t="inlineStr">
        <is>
          <t>Weak website</t>
        </is>
      </c>
      <c r="D370" s="2" t="inlineStr">
        <is>
          <t>Toowong Villas</t>
        </is>
      </c>
      <c r="E370" s="2" t="inlineStr">
        <is>
          <t>accommodation</t>
        </is>
      </c>
      <c r="F370" s="2" t="inlineStr">
        <is>
          <t>Brisbane</t>
        </is>
      </c>
      <c r="G370" s="2" t="inlineStr">
        <is>
          <t>Facebook</t>
        </is>
      </c>
      <c r="H370" s="2" t="inlineStr"/>
      <c r="I370" s="4" t="inlineStr">
        <is>
          <t>https://www.facebook.com/ToowongVillas</t>
        </is>
      </c>
      <c r="J370" s="2" t="inlineStr"/>
      <c r="K370" s="4" t="inlineStr">
        <is>
          <t>https://toowongvillas.com.au/</t>
        </is>
      </c>
      <c r="L370" s="2" t="inlineStr">
        <is>
          <t>missing meta description</t>
        </is>
      </c>
      <c r="M370" s="2" t="inlineStr">
        <is>
          <t>Hi Toowong Villas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70" s="4" t="inlineStr">
        <is>
          <t>Open map</t>
        </is>
      </c>
      <c r="O370" s="2" t="inlineStr">
        <is>
          <t>Not contacted</t>
        </is>
      </c>
      <c r="P370" s="2" t="inlineStr"/>
      <c r="Q370" s="2" t="inlineStr"/>
      <c r="R370" s="2" t="inlineStr"/>
      <c r="S370" s="2" t="inlineStr"/>
    </row>
    <row r="371">
      <c r="A371" s="2" t="n">
        <v>370</v>
      </c>
      <c r="B371" s="6" t="inlineStr">
        <is>
          <t>MEDIUM</t>
        </is>
      </c>
      <c r="C371" s="2" t="inlineStr">
        <is>
          <t>Weak website</t>
        </is>
      </c>
      <c r="D371" s="2" t="inlineStr">
        <is>
          <t>West End Central Apartments</t>
        </is>
      </c>
      <c r="E371" s="2" t="inlineStr">
        <is>
          <t>accommodation</t>
        </is>
      </c>
      <c r="F371" s="2" t="inlineStr">
        <is>
          <t>Brisbane</t>
        </is>
      </c>
      <c r="G371" s="2" t="inlineStr">
        <is>
          <t>Instagram</t>
        </is>
      </c>
      <c r="H371" s="4" t="inlineStr">
        <is>
          <t>https://www.instagram.com/WestEndCentralApartments</t>
        </is>
      </c>
      <c r="I371" s="4" t="inlineStr">
        <is>
          <t>https://www.facebook.com/WestEndCentralApartments</t>
        </is>
      </c>
      <c r="J371" s="2" t="inlineStr">
        <is>
          <t>+61 7 3011 8333</t>
        </is>
      </c>
      <c r="K371" s="4" t="inlineStr">
        <is>
          <t>https://www.westendcentral.com.au/</t>
        </is>
      </c>
      <c r="L371" s="2" t="inlineStr">
        <is>
          <t>slow to load (3.9s)</t>
        </is>
      </c>
      <c r="M371" s="2" t="inlineStr">
        <is>
          <t>Hi West End Central Apartments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71" s="4" t="inlineStr">
        <is>
          <t>Open map</t>
        </is>
      </c>
      <c r="O371" s="2" t="inlineStr">
        <is>
          <t>Not contacted</t>
        </is>
      </c>
      <c r="P371" s="2" t="inlineStr"/>
      <c r="Q371" s="2" t="inlineStr"/>
      <c r="R371" s="2" t="inlineStr"/>
      <c r="S371" s="2" t="inlineStr"/>
    </row>
    <row r="372">
      <c r="A372" s="2" t="n">
        <v>371</v>
      </c>
      <c r="B372" s="6" t="inlineStr">
        <is>
          <t>MEDIUM</t>
        </is>
      </c>
      <c r="C372" s="2" t="inlineStr">
        <is>
          <t>Weak website</t>
        </is>
      </c>
      <c r="D372" s="2" t="inlineStr">
        <is>
          <t>Being You Mental Health &amp; Disability</t>
        </is>
      </c>
      <c r="E372" s="2" t="inlineStr">
        <is>
          <t>allied health</t>
        </is>
      </c>
      <c r="F372" s="2" t="inlineStr">
        <is>
          <t>Brisbane</t>
        </is>
      </c>
      <c r="G372" s="2" t="inlineStr">
        <is>
          <t>Facebook</t>
        </is>
      </c>
      <c r="H372" s="2" t="inlineStr"/>
      <c r="I372" s="4" t="inlineStr">
        <is>
          <t>https://m.facebook.com/Being-You-Mental-Health-and-Disability-104090928382356</t>
        </is>
      </c>
      <c r="J372" s="2" t="inlineStr">
        <is>
          <t>+61 7 2000 0080</t>
        </is>
      </c>
      <c r="K372" s="4" t="inlineStr">
        <is>
          <t>https://www.beingyoumh.com.au/</t>
        </is>
      </c>
      <c r="L372" s="2" t="inlineStr">
        <is>
          <t>looks outdated (copyright 2022)</t>
        </is>
      </c>
      <c r="M372" s="2" t="inlineStr">
        <is>
          <t>Hi Being You Mental Health &amp; Disability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72" s="4" t="inlineStr">
        <is>
          <t>Open map</t>
        </is>
      </c>
      <c r="O372" s="2" t="inlineStr">
        <is>
          <t>Not contacted</t>
        </is>
      </c>
      <c r="P372" s="2" t="inlineStr"/>
      <c r="Q372" s="2" t="inlineStr"/>
      <c r="R372" s="2" t="inlineStr"/>
      <c r="S372" s="2" t="inlineStr"/>
    </row>
    <row r="373">
      <c r="A373" s="2" t="n">
        <v>372</v>
      </c>
      <c r="B373" s="6" t="inlineStr">
        <is>
          <t>MEDIUM</t>
        </is>
      </c>
      <c r="C373" s="2" t="inlineStr">
        <is>
          <t>Weak website</t>
        </is>
      </c>
      <c r="D373" s="2" t="inlineStr">
        <is>
          <t>CFHP Brisbane City</t>
        </is>
      </c>
      <c r="E373" s="2" t="inlineStr">
        <is>
          <t>allied health</t>
        </is>
      </c>
      <c r="F373" s="2" t="inlineStr">
        <is>
          <t>Brisbane</t>
        </is>
      </c>
      <c r="G373" s="2" t="inlineStr">
        <is>
          <t>Facebook</t>
        </is>
      </c>
      <c r="H373" s="2" t="inlineStr"/>
      <c r="I373" s="4" t="inlineStr">
        <is>
          <t>https://www.facebook.com/CentreforHumanPotential.au</t>
        </is>
      </c>
      <c r="J373" s="2" t="inlineStr">
        <is>
          <t>+61 7 3211 1117</t>
        </is>
      </c>
      <c r="K373" s="4" t="inlineStr">
        <is>
          <t>https://cfhp.com.au</t>
        </is>
      </c>
      <c r="L373" s="2" t="inlineStr">
        <is>
          <t>slow to load (3.1s)</t>
        </is>
      </c>
      <c r="M373" s="2" t="inlineStr">
        <is>
          <t>Hi CFHP Brisbane City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73" s="4" t="inlineStr">
        <is>
          <t>Open map</t>
        </is>
      </c>
      <c r="O373" s="2" t="inlineStr">
        <is>
          <t>Not contacted</t>
        </is>
      </c>
      <c r="P373" s="2" t="inlineStr"/>
      <c r="Q373" s="2" t="inlineStr"/>
      <c r="R373" s="2" t="inlineStr"/>
      <c r="S373" s="2" t="inlineStr"/>
    </row>
    <row r="374">
      <c r="A374" s="2" t="n">
        <v>373</v>
      </c>
      <c r="B374" s="6" t="inlineStr">
        <is>
          <t>MEDIUM</t>
        </is>
      </c>
      <c r="C374" s="2" t="inlineStr">
        <is>
          <t>Weak website</t>
        </is>
      </c>
      <c r="D374" s="2" t="inlineStr">
        <is>
          <t>Dynamic Podiatry</t>
        </is>
      </c>
      <c r="E374" s="2" t="inlineStr">
        <is>
          <t>allied health</t>
        </is>
      </c>
      <c r="F374" s="2" t="inlineStr">
        <is>
          <t>Brisbane</t>
        </is>
      </c>
      <c r="G374" s="2" t="inlineStr">
        <is>
          <t>Instagram</t>
        </is>
      </c>
      <c r="H374" s="4" t="inlineStr">
        <is>
          <t>https://www.instagram.com/dynamicpodiatry</t>
        </is>
      </c>
      <c r="I374" s="2" t="inlineStr"/>
      <c r="J374" s="2" t="inlineStr">
        <is>
          <t>+61 7 3351 8878</t>
        </is>
      </c>
      <c r="K374" s="4" t="inlineStr">
        <is>
          <t>https://www.dynamicpodiatry.com.au/</t>
        </is>
      </c>
      <c r="L374" s="2" t="inlineStr">
        <is>
          <t>slow to load (4.0s)</t>
        </is>
      </c>
      <c r="M374" s="2" t="inlineStr">
        <is>
          <t>Hi Dynamic Podiatry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74" s="4" t="inlineStr">
        <is>
          <t>Open map</t>
        </is>
      </c>
      <c r="O374" s="2" t="inlineStr">
        <is>
          <t>Not contacted</t>
        </is>
      </c>
      <c r="P374" s="2" t="inlineStr"/>
      <c r="Q374" s="2" t="inlineStr"/>
      <c r="R374" s="2" t="inlineStr"/>
      <c r="S374" s="2" t="inlineStr"/>
    </row>
    <row r="375">
      <c r="A375" s="2" t="n">
        <v>374</v>
      </c>
      <c r="B375" s="6" t="inlineStr">
        <is>
          <t>MEDIUM</t>
        </is>
      </c>
      <c r="C375" s="2" t="inlineStr">
        <is>
          <t>Weak website</t>
        </is>
      </c>
      <c r="D375" s="2" t="inlineStr">
        <is>
          <t>Ferny Chiropractic</t>
        </is>
      </c>
      <c r="E375" s="2" t="inlineStr">
        <is>
          <t>allied health</t>
        </is>
      </c>
      <c r="F375" s="2" t="inlineStr">
        <is>
          <t>Brisbane</t>
        </is>
      </c>
      <c r="G375" s="2" t="inlineStr">
        <is>
          <t>Instagram</t>
        </is>
      </c>
      <c r="H375" s="4" t="inlineStr">
        <is>
          <t>https://www.instagram.com/fernychiropractic</t>
        </is>
      </c>
      <c r="I375" s="4" t="inlineStr">
        <is>
          <t>https://www.facebook.com/fernychiropractic</t>
        </is>
      </c>
      <c r="J375" s="2" t="inlineStr">
        <is>
          <t>+61 7 3351 0933</t>
        </is>
      </c>
      <c r="K375" s="4" t="inlineStr">
        <is>
          <t>https://www.fernychiropractic.com/</t>
        </is>
      </c>
      <c r="L375" s="2" t="inlineStr">
        <is>
          <t>website address not working (check the business is still open)</t>
        </is>
      </c>
      <c r="M375" s="2" t="inlineStr">
        <is>
          <t>Hi Ferny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75" s="4" t="inlineStr">
        <is>
          <t>Open map</t>
        </is>
      </c>
      <c r="O375" s="2" t="inlineStr">
        <is>
          <t>Not contacted</t>
        </is>
      </c>
      <c r="P375" s="2" t="inlineStr"/>
      <c r="Q375" s="2" t="inlineStr"/>
      <c r="R375" s="2" t="inlineStr"/>
      <c r="S375" s="2" t="inlineStr"/>
    </row>
    <row r="376">
      <c r="A376" s="2" t="n">
        <v>375</v>
      </c>
      <c r="B376" s="6" t="inlineStr">
        <is>
          <t>MEDIUM</t>
        </is>
      </c>
      <c r="C376" s="2" t="inlineStr">
        <is>
          <t>Weak website</t>
        </is>
      </c>
      <c r="D376" s="2" t="inlineStr">
        <is>
          <t>Ginseng Acupuncture &amp; Natural Therapies</t>
        </is>
      </c>
      <c r="E376" s="2" t="inlineStr">
        <is>
          <t>allied health</t>
        </is>
      </c>
      <c r="F376" s="2" t="inlineStr">
        <is>
          <t>Brisbane</t>
        </is>
      </c>
      <c r="G376" s="2" t="inlineStr">
        <is>
          <t>Instagram</t>
        </is>
      </c>
      <c r="H376" s="4" t="inlineStr">
        <is>
          <t>https://www.instagram.com/ginseng_acupuncture_brisbane</t>
        </is>
      </c>
      <c r="I376" s="4" t="inlineStr">
        <is>
          <t>https://www.facebook.com/John-Taylor-Ginseng-Acupuncture-Natural-Therapies-155217967863603</t>
        </is>
      </c>
      <c r="J376" s="2" t="inlineStr">
        <is>
          <t>+61 7 3357 3205</t>
        </is>
      </c>
      <c r="K376" s="4" t="inlineStr">
        <is>
          <t>https://www.ginsengacupuncture.com.au/</t>
        </is>
      </c>
      <c r="L376" s="2" t="inlineStr">
        <is>
          <t>slow to load (7.1s)</t>
        </is>
      </c>
      <c r="M376" s="2" t="inlineStr">
        <is>
          <t>Hi Ginseng Acupuncture &amp; Natural Therapies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76" s="4" t="inlineStr">
        <is>
          <t>Open map</t>
        </is>
      </c>
      <c r="O376" s="2" t="inlineStr">
        <is>
          <t>Not contacted</t>
        </is>
      </c>
      <c r="P376" s="2" t="inlineStr"/>
      <c r="Q376" s="2" t="inlineStr"/>
      <c r="R376" s="2" t="inlineStr"/>
      <c r="S376" s="2" t="inlineStr"/>
    </row>
    <row r="377">
      <c r="A377" s="2" t="n">
        <v>376</v>
      </c>
      <c r="B377" s="6" t="inlineStr">
        <is>
          <t>MEDIUM</t>
        </is>
      </c>
      <c r="C377" s="2" t="inlineStr">
        <is>
          <t>Weak website</t>
        </is>
      </c>
      <c r="D377" s="2" t="inlineStr">
        <is>
          <t>LifeCare</t>
        </is>
      </c>
      <c r="E377" s="2" t="inlineStr">
        <is>
          <t>allied health</t>
        </is>
      </c>
      <c r="F377" s="2" t="inlineStr">
        <is>
          <t>Brisbane</t>
        </is>
      </c>
      <c r="G377" s="2" t="inlineStr">
        <is>
          <t>Facebook</t>
        </is>
      </c>
      <c r="H377" s="2" t="inlineStr"/>
      <c r="I377" s="4" t="inlineStr">
        <is>
          <t>https://www.facebook.com/LifeCare-141297856042295</t>
        </is>
      </c>
      <c r="J377" s="2" t="inlineStr"/>
      <c r="K377" s="4" t="inlineStr">
        <is>
          <t>https://lifecareconsultancy.com/</t>
        </is>
      </c>
      <c r="L377" s="2" t="inlineStr">
        <is>
          <t>looks outdated (copyright 2021)</t>
        </is>
      </c>
      <c r="M377" s="2" t="inlineStr">
        <is>
          <t>Hi LifeCare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77" s="4" t="inlineStr">
        <is>
          <t>Open map</t>
        </is>
      </c>
      <c r="O377" s="2" t="inlineStr">
        <is>
          <t>Not contacted</t>
        </is>
      </c>
      <c r="P377" s="2" t="inlineStr"/>
      <c r="Q377" s="2" t="inlineStr"/>
      <c r="R377" s="2" t="inlineStr"/>
      <c r="S377" s="2" t="inlineStr"/>
    </row>
    <row r="378">
      <c r="A378" s="2" t="n">
        <v>377</v>
      </c>
      <c r="B378" s="6" t="inlineStr">
        <is>
          <t>MEDIUM</t>
        </is>
      </c>
      <c r="C378" s="2" t="inlineStr">
        <is>
          <t>Weak website</t>
        </is>
      </c>
      <c r="D378" s="2" t="inlineStr">
        <is>
          <t>North Brisbane Psychologist</t>
        </is>
      </c>
      <c r="E378" s="2" t="inlineStr">
        <is>
          <t>allied health</t>
        </is>
      </c>
      <c r="F378" s="2" t="inlineStr">
        <is>
          <t>Brisbane</t>
        </is>
      </c>
      <c r="G378" s="2" t="inlineStr">
        <is>
          <t>Facebook</t>
        </is>
      </c>
      <c r="H378" s="2" t="inlineStr"/>
      <c r="I378" s="4" t="inlineStr">
        <is>
          <t>https://www.facebook.com/northbrisbanepsychologist</t>
        </is>
      </c>
      <c r="J378" s="2" t="inlineStr">
        <is>
          <t>+61 7 3726 5595</t>
        </is>
      </c>
      <c r="K378" s="4" t="inlineStr">
        <is>
          <t>https://northbrisbanepsychologists.com.au/</t>
        </is>
      </c>
      <c r="L378" s="2" t="inlineStr">
        <is>
          <t>looks outdated (copyright 2018)</t>
        </is>
      </c>
      <c r="M378" s="2" t="inlineStr">
        <is>
          <t>Hi North Brisbane Psychologist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78" s="4" t="inlineStr">
        <is>
          <t>Open map</t>
        </is>
      </c>
      <c r="O378" s="2" t="inlineStr">
        <is>
          <t>Not contacted</t>
        </is>
      </c>
      <c r="P378" s="2" t="inlineStr"/>
      <c r="Q378" s="2" t="inlineStr"/>
      <c r="R378" s="2" t="inlineStr"/>
      <c r="S378" s="2" t="inlineStr"/>
    </row>
    <row r="379">
      <c r="A379" s="2" t="n">
        <v>378</v>
      </c>
      <c r="B379" s="6" t="inlineStr">
        <is>
          <t>MEDIUM</t>
        </is>
      </c>
      <c r="C379" s="2" t="inlineStr">
        <is>
          <t>Weak website</t>
        </is>
      </c>
      <c r="D379" s="2" t="inlineStr">
        <is>
          <t>Proactive Coaching</t>
        </is>
      </c>
      <c r="E379" s="2" t="inlineStr">
        <is>
          <t>allied health</t>
        </is>
      </c>
      <c r="F379" s="2" t="inlineStr">
        <is>
          <t>Brisbane</t>
        </is>
      </c>
      <c r="G379" s="2" t="inlineStr">
        <is>
          <t>Facebook</t>
        </is>
      </c>
      <c r="H379" s="2" t="inlineStr"/>
      <c r="I379" s="4" t="inlineStr">
        <is>
          <t>https://www.facebook.com/lindsay.trims</t>
        </is>
      </c>
      <c r="J379" s="2" t="inlineStr">
        <is>
          <t>+61 411 036 297</t>
        </is>
      </c>
      <c r="K379" s="4" t="inlineStr">
        <is>
          <t>http://proactivecoaching.net/</t>
        </is>
      </c>
      <c r="L379" s="2" t="inlineStr">
        <is>
          <t>no HTTPS (browser shows 'Not secure'); not mobile-friendly (no viewport tag)</t>
        </is>
      </c>
      <c r="M379" s="2" t="inlineStr">
        <is>
          <t>Hi Proactive Coaching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79" s="4" t="inlineStr">
        <is>
          <t>Open map</t>
        </is>
      </c>
      <c r="O379" s="2" t="inlineStr">
        <is>
          <t>Not contacted</t>
        </is>
      </c>
      <c r="P379" s="2" t="inlineStr"/>
      <c r="Q379" s="2" t="inlineStr"/>
      <c r="R379" s="2" t="inlineStr"/>
      <c r="S379" s="2" t="inlineStr"/>
    </row>
    <row r="380">
      <c r="A380" s="2" t="n">
        <v>379</v>
      </c>
      <c r="B380" s="6" t="inlineStr">
        <is>
          <t>MEDIUM</t>
        </is>
      </c>
      <c r="C380" s="2" t="inlineStr">
        <is>
          <t>Weak website</t>
        </is>
      </c>
      <c r="D380" s="2" t="inlineStr">
        <is>
          <t>Still Point Osteopathy</t>
        </is>
      </c>
      <c r="E380" s="2" t="inlineStr">
        <is>
          <t>allied health</t>
        </is>
      </c>
      <c r="F380" s="2" t="inlineStr">
        <is>
          <t>Brisbane</t>
        </is>
      </c>
      <c r="G380" s="2" t="inlineStr">
        <is>
          <t>Facebook</t>
        </is>
      </c>
      <c r="H380" s="2" t="inlineStr"/>
      <c r="I380" s="4" t="inlineStr">
        <is>
          <t>https://www.facebook.com/stillpointosteopathy</t>
        </is>
      </c>
      <c r="J380" s="2" t="inlineStr"/>
      <c r="K380" s="4" t="inlineStr">
        <is>
          <t>https://stillpointosteopathy.rehab/contact-us/</t>
        </is>
      </c>
      <c r="L380" s="2" t="inlineStr">
        <is>
          <t>slow to load (3.3s)</t>
        </is>
      </c>
      <c r="M380" s="2" t="inlineStr">
        <is>
          <t>Hi Still Point Osteopathy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80" s="4" t="inlineStr">
        <is>
          <t>Open map</t>
        </is>
      </c>
      <c r="O380" s="2" t="inlineStr">
        <is>
          <t>Not contacted</t>
        </is>
      </c>
      <c r="P380" s="2" t="inlineStr"/>
      <c r="Q380" s="2" t="inlineStr"/>
      <c r="R380" s="2" t="inlineStr"/>
      <c r="S380" s="2" t="inlineStr"/>
    </row>
    <row r="381">
      <c r="A381" s="2" t="n">
        <v>380</v>
      </c>
      <c r="B381" s="6" t="inlineStr">
        <is>
          <t>MEDIUM</t>
        </is>
      </c>
      <c r="C381" s="2" t="inlineStr">
        <is>
          <t>Weak website</t>
        </is>
      </c>
      <c r="D381" s="2" t="inlineStr">
        <is>
          <t>Vibe Natural Health</t>
        </is>
      </c>
      <c r="E381" s="2" t="inlineStr">
        <is>
          <t>allied health</t>
        </is>
      </c>
      <c r="F381" s="2" t="inlineStr">
        <is>
          <t>Brisbane</t>
        </is>
      </c>
      <c r="G381" s="2" t="inlineStr">
        <is>
          <t>Instagram</t>
        </is>
      </c>
      <c r="H381" s="4" t="inlineStr">
        <is>
          <t>https://www.instagram.com/vibenaturalhealth</t>
        </is>
      </c>
      <c r="I381" s="4" t="inlineStr">
        <is>
          <t>https://www.facebook.com/vibenaturalhealth</t>
        </is>
      </c>
      <c r="J381" s="2" t="inlineStr"/>
      <c r="K381" s="4" t="inlineStr">
        <is>
          <t>https://www.vibenaturalhealth.com.au</t>
        </is>
      </c>
      <c r="L381" s="2" t="inlineStr">
        <is>
          <t>slow to load (4.6s)</t>
        </is>
      </c>
      <c r="M381" s="2" t="inlineStr">
        <is>
          <t>Hi Vibe Natural Health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81" s="4" t="inlineStr">
        <is>
          <t>Open map</t>
        </is>
      </c>
      <c r="O381" s="2" t="inlineStr">
        <is>
          <t>Not contacted</t>
        </is>
      </c>
      <c r="P381" s="2" t="inlineStr"/>
      <c r="Q381" s="2" t="inlineStr"/>
      <c r="R381" s="2" t="inlineStr"/>
      <c r="S381" s="2" t="inlineStr"/>
    </row>
    <row r="382">
      <c r="A382" s="2" t="n">
        <v>381</v>
      </c>
      <c r="B382" s="6" t="inlineStr">
        <is>
          <t>MEDIUM</t>
        </is>
      </c>
      <c r="C382" s="2" t="inlineStr">
        <is>
          <t>Weak website</t>
        </is>
      </c>
      <c r="D382" s="2" t="inlineStr">
        <is>
          <t>Flourish Architecture</t>
        </is>
      </c>
      <c r="E382" s="2" t="inlineStr">
        <is>
          <t>architect</t>
        </is>
      </c>
      <c r="F382" s="2" t="inlineStr">
        <is>
          <t>Brisbane</t>
        </is>
      </c>
      <c r="G382" s="2" t="inlineStr">
        <is>
          <t>Instagram</t>
        </is>
      </c>
      <c r="H382" s="4" t="inlineStr">
        <is>
          <t>https://www.instagram.com/flourisharchitecture</t>
        </is>
      </c>
      <c r="I382" s="4" t="inlineStr">
        <is>
          <t>https://www.facebook.com/FlourishArchitecture</t>
        </is>
      </c>
      <c r="J382" s="2" t="inlineStr">
        <is>
          <t>+61 7 3311 1133</t>
        </is>
      </c>
      <c r="K382" s="4" t="inlineStr">
        <is>
          <t>https://www.flourisharchitecture.com.au/</t>
        </is>
      </c>
      <c r="L382" s="2" t="inlineStr">
        <is>
          <t>looks outdated (copyright 2021)</t>
        </is>
      </c>
      <c r="M382" s="2" t="inlineStr">
        <is>
          <t>Hi Flourish Architecture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2" s="4" t="inlineStr">
        <is>
          <t>Open map</t>
        </is>
      </c>
      <c r="O382" s="2" t="inlineStr">
        <is>
          <t>Not contacted</t>
        </is>
      </c>
      <c r="P382" s="2" t="inlineStr"/>
      <c r="Q382" s="2" t="inlineStr"/>
      <c r="R382" s="2" t="inlineStr"/>
      <c r="S382" s="2" t="inlineStr"/>
    </row>
    <row r="383">
      <c r="A383" s="2" t="n">
        <v>382</v>
      </c>
      <c r="B383" s="6" t="inlineStr">
        <is>
          <t>MEDIUM</t>
        </is>
      </c>
      <c r="C383" s="2" t="inlineStr">
        <is>
          <t>Weak website</t>
        </is>
      </c>
      <c r="D383" s="2" t="inlineStr">
        <is>
          <t>Natural Lifestyle Homes</t>
        </is>
      </c>
      <c r="E383" s="2" t="inlineStr">
        <is>
          <t>architect</t>
        </is>
      </c>
      <c r="F383" s="2" t="inlineStr">
        <is>
          <t>Brisbane</t>
        </is>
      </c>
      <c r="G383" s="2" t="inlineStr">
        <is>
          <t>Instagram</t>
        </is>
      </c>
      <c r="H383" s="4" t="inlineStr">
        <is>
          <t>https://www.instagram.com/natural_lifestyle_homes</t>
        </is>
      </c>
      <c r="I383" s="4" t="inlineStr">
        <is>
          <t>https://www.facebook.com/naturallifestylehomes</t>
        </is>
      </c>
      <c r="J383" s="2" t="inlineStr">
        <is>
          <t>+61 414 499 393</t>
        </is>
      </c>
      <c r="K383" s="4" t="inlineStr">
        <is>
          <t>https://nlhomes.com.au/</t>
        </is>
      </c>
      <c r="L383" s="2" t="inlineStr">
        <is>
          <t>looks outdated (copyright 2015)</t>
        </is>
      </c>
      <c r="M383" s="2" t="inlineStr">
        <is>
          <t>Hi Natural Lifestyle Homes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3" s="4" t="inlineStr">
        <is>
          <t>Open map</t>
        </is>
      </c>
      <c r="O383" s="2" t="inlineStr">
        <is>
          <t>Not contacted</t>
        </is>
      </c>
      <c r="P383" s="2" t="inlineStr"/>
      <c r="Q383" s="2" t="inlineStr"/>
      <c r="R383" s="2" t="inlineStr"/>
      <c r="S383" s="2" t="inlineStr"/>
    </row>
    <row r="384">
      <c r="A384" s="2" t="n">
        <v>383</v>
      </c>
      <c r="B384" s="6" t="inlineStr">
        <is>
          <t>MEDIUM</t>
        </is>
      </c>
      <c r="C384" s="2" t="inlineStr">
        <is>
          <t>Weak website</t>
        </is>
      </c>
      <c r="D384" s="2" t="inlineStr">
        <is>
          <t>Christian Jacques Bakery</t>
        </is>
      </c>
      <c r="E384" s="2" t="inlineStr">
        <is>
          <t>bakery</t>
        </is>
      </c>
      <c r="F384" s="2" t="inlineStr">
        <is>
          <t>Brisbane</t>
        </is>
      </c>
      <c r="G384" s="2" t="inlineStr">
        <is>
          <t>Instagram</t>
        </is>
      </c>
      <c r="H384" s="4" t="inlineStr">
        <is>
          <t>https://www.instagram.com/christianjacquesbakery</t>
        </is>
      </c>
      <c r="I384" s="4" t="inlineStr">
        <is>
          <t>https://www.facebook.com/christianjacquesbakery</t>
        </is>
      </c>
      <c r="J384" s="2" t="inlineStr"/>
      <c r="K384" s="4" t="inlineStr">
        <is>
          <t>https://christianjacquespastries.com</t>
        </is>
      </c>
      <c r="L384" s="2" t="inlineStr">
        <is>
          <t>slow to load (3.7s)</t>
        </is>
      </c>
      <c r="M384" s="2" t="inlineStr">
        <is>
          <t>Hi Christian Jacques Bakery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84" s="4" t="inlineStr">
        <is>
          <t>Open map</t>
        </is>
      </c>
      <c r="O384" s="2" t="inlineStr">
        <is>
          <t>Not contacted</t>
        </is>
      </c>
      <c r="P384" s="2" t="inlineStr"/>
      <c r="Q384" s="2" t="inlineStr"/>
      <c r="R384" s="2" t="inlineStr"/>
      <c r="S384" s="2" t="inlineStr"/>
    </row>
    <row r="385">
      <c r="A385" s="2" t="n">
        <v>384</v>
      </c>
      <c r="B385" s="6" t="inlineStr">
        <is>
          <t>MEDIUM</t>
        </is>
      </c>
      <c r="C385" s="2" t="inlineStr">
        <is>
          <t>Weak website</t>
        </is>
      </c>
      <c r="D385" s="2" t="inlineStr">
        <is>
          <t>Flour &amp; Chocolate Patisserie</t>
        </is>
      </c>
      <c r="E385" s="2" t="inlineStr">
        <is>
          <t>bakery</t>
        </is>
      </c>
      <c r="F385" s="2" t="inlineStr">
        <is>
          <t>Brisbane</t>
        </is>
      </c>
      <c r="G385" s="2" t="inlineStr">
        <is>
          <t>Instagram</t>
        </is>
      </c>
      <c r="H385" s="4" t="inlineStr">
        <is>
          <t>http://instagram.com/flourandchocolate</t>
        </is>
      </c>
      <c r="I385" s="4" t="inlineStr">
        <is>
          <t>https://www.facebook.com/FlourAndChocolate</t>
        </is>
      </c>
      <c r="J385" s="2" t="inlineStr"/>
      <c r="K385" s="4" t="inlineStr">
        <is>
          <t>flourandchocolate.com.au</t>
        </is>
      </c>
      <c r="L385" s="2" t="inlineStr">
        <is>
          <t>looks outdated (copyright 2022); missing meta description</t>
        </is>
      </c>
      <c r="M385" s="2" t="inlineStr">
        <is>
          <t>Hi Flour &amp; Chocolate Patisserie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5" s="4" t="inlineStr">
        <is>
          <t>Open map</t>
        </is>
      </c>
      <c r="O385" s="2" t="inlineStr">
        <is>
          <t>Not contacted</t>
        </is>
      </c>
      <c r="P385" s="2" t="inlineStr"/>
      <c r="Q385" s="2" t="inlineStr"/>
      <c r="R385" s="2" t="inlineStr"/>
      <c r="S385" s="2" t="inlineStr"/>
    </row>
    <row r="386">
      <c r="A386" s="2" t="n">
        <v>385</v>
      </c>
      <c r="B386" s="6" t="inlineStr">
        <is>
          <t>MEDIUM</t>
        </is>
      </c>
      <c r="C386" s="2" t="inlineStr">
        <is>
          <t>Weak website</t>
        </is>
      </c>
      <c r="D386" s="2" t="inlineStr">
        <is>
          <t>Gerbino's</t>
        </is>
      </c>
      <c r="E386" s="2" t="inlineStr">
        <is>
          <t>bakery</t>
        </is>
      </c>
      <c r="F386" s="2" t="inlineStr">
        <is>
          <t>Brisbane</t>
        </is>
      </c>
      <c r="G386" s="2" t="inlineStr">
        <is>
          <t>Instagram</t>
        </is>
      </c>
      <c r="H386" s="4" t="inlineStr">
        <is>
          <t>https://www.instagram.com/gerbinos</t>
        </is>
      </c>
      <c r="I386" s="4" t="inlineStr">
        <is>
          <t>https://www.facebook.com/gerbinos</t>
        </is>
      </c>
      <c r="J386" s="2" t="inlineStr">
        <is>
          <t>+61 7 3356 7913</t>
        </is>
      </c>
      <c r="K386" s="4" t="inlineStr">
        <is>
          <t>https://gerbinos.com.au/</t>
        </is>
      </c>
      <c r="L386" s="2" t="inlineStr">
        <is>
          <t>looks outdated (copyright 2015)</t>
        </is>
      </c>
      <c r="M386" s="2" t="inlineStr">
        <is>
          <t>Hi Gerbino's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6" s="4" t="inlineStr">
        <is>
          <t>Open map</t>
        </is>
      </c>
      <c r="O386" s="2" t="inlineStr">
        <is>
          <t>Not contacted</t>
        </is>
      </c>
      <c r="P386" s="2" t="inlineStr"/>
      <c r="Q386" s="2" t="inlineStr"/>
      <c r="R386" s="2" t="inlineStr"/>
      <c r="S386" s="2" t="inlineStr"/>
    </row>
    <row r="387">
      <c r="A387" s="2" t="n">
        <v>386</v>
      </c>
      <c r="B387" s="6" t="inlineStr">
        <is>
          <t>MEDIUM</t>
        </is>
      </c>
      <c r="C387" s="2" t="inlineStr">
        <is>
          <t>Weak website</t>
        </is>
      </c>
      <c r="D387" s="2" t="inlineStr">
        <is>
          <t>Gisler's Pies</t>
        </is>
      </c>
      <c r="E387" s="2" t="inlineStr">
        <is>
          <t>bakery</t>
        </is>
      </c>
      <c r="F387" s="2" t="inlineStr">
        <is>
          <t>Brisbane</t>
        </is>
      </c>
      <c r="G387" s="2" t="inlineStr">
        <is>
          <t>Instagram</t>
        </is>
      </c>
      <c r="H387" s="4" t="inlineStr">
        <is>
          <t>https://www.instagram.com/thebrissypieman</t>
        </is>
      </c>
      <c r="I387" s="4" t="inlineStr">
        <is>
          <t>https://www.facebook.com/thebrissypieman</t>
        </is>
      </c>
      <c r="J387" s="2" t="inlineStr">
        <is>
          <t>+61 450 380 280</t>
        </is>
      </c>
      <c r="K387" s="4" t="inlineStr">
        <is>
          <t>https://www.gislers.com.au/</t>
        </is>
      </c>
      <c r="L387" s="2" t="inlineStr">
        <is>
          <t>slow to load (5.5s)</t>
        </is>
      </c>
      <c r="M387" s="2" t="inlineStr">
        <is>
          <t>Hi Gisler's Pies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87" s="4" t="inlineStr">
        <is>
          <t>Open map</t>
        </is>
      </c>
      <c r="O387" s="2" t="inlineStr">
        <is>
          <t>Not contacted</t>
        </is>
      </c>
      <c r="P387" s="2" t="inlineStr"/>
      <c r="Q387" s="2" t="inlineStr"/>
      <c r="R387" s="2" t="inlineStr"/>
      <c r="S387" s="2" t="inlineStr"/>
    </row>
    <row r="388">
      <c r="A388" s="2" t="n">
        <v>387</v>
      </c>
      <c r="B388" s="6" t="inlineStr">
        <is>
          <t>MEDIUM</t>
        </is>
      </c>
      <c r="C388" s="2" t="inlineStr">
        <is>
          <t>Weak website</t>
        </is>
      </c>
      <c r="D388" s="2" t="inlineStr">
        <is>
          <t>The Bagel Boys</t>
        </is>
      </c>
      <c r="E388" s="2" t="inlineStr">
        <is>
          <t>bakery</t>
        </is>
      </c>
      <c r="F388" s="2" t="inlineStr">
        <is>
          <t>Brisbane</t>
        </is>
      </c>
      <c r="G388" s="2" t="inlineStr">
        <is>
          <t>Instagram</t>
        </is>
      </c>
      <c r="H388" s="4" t="inlineStr">
        <is>
          <t>https://www.instagram.com/thebagelboysqld</t>
        </is>
      </c>
      <c r="I388" s="4" t="inlineStr">
        <is>
          <t>https://www.facebook.com/thebagelboysqld</t>
        </is>
      </c>
      <c r="J388" s="2" t="inlineStr"/>
      <c r="K388" s="4" t="inlineStr">
        <is>
          <t>https://thebagelboys.com.au</t>
        </is>
      </c>
      <c r="L388" s="2" t="inlineStr">
        <is>
          <t>missing meta description</t>
        </is>
      </c>
      <c r="M388" s="2" t="inlineStr">
        <is>
          <t>Hi The Bagel Boys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8" s="4" t="inlineStr">
        <is>
          <t>Open map</t>
        </is>
      </c>
      <c r="O388" s="2" t="inlineStr">
        <is>
          <t>Not contacted</t>
        </is>
      </c>
      <c r="P388" s="2" t="inlineStr"/>
      <c r="Q388" s="2" t="inlineStr"/>
      <c r="R388" s="2" t="inlineStr"/>
      <c r="S388" s="2" t="inlineStr"/>
    </row>
    <row r="389">
      <c r="A389" s="2" t="n">
        <v>388</v>
      </c>
      <c r="B389" s="6" t="inlineStr">
        <is>
          <t>MEDIUM</t>
        </is>
      </c>
      <c r="C389" s="2" t="inlineStr">
        <is>
          <t>Weak website</t>
        </is>
      </c>
      <c r="D389" s="2" t="inlineStr">
        <is>
          <t>ANFE Italian Club</t>
        </is>
      </c>
      <c r="E389" s="2" t="inlineStr">
        <is>
          <t>bar or pub</t>
        </is>
      </c>
      <c r="F389" s="2" t="inlineStr">
        <is>
          <t>Brisbane</t>
        </is>
      </c>
      <c r="G389" s="2" t="inlineStr">
        <is>
          <t>Instagram</t>
        </is>
      </c>
      <c r="H389" s="4" t="inlineStr">
        <is>
          <t>https://www.instagram.com/anfe_italian_club</t>
        </is>
      </c>
      <c r="I389" s="4" t="inlineStr">
        <is>
          <t>https://www.facebook.com/anfebrisbane</t>
        </is>
      </c>
      <c r="J389" s="2" t="inlineStr">
        <is>
          <t>+61 7 3252 2387</t>
        </is>
      </c>
      <c r="K389" s="4" t="inlineStr">
        <is>
          <t>https://anfe.com.au</t>
        </is>
      </c>
      <c r="L389" s="2" t="inlineStr">
        <is>
          <t>looks outdated (copyright 2022)</t>
        </is>
      </c>
      <c r="M389" s="2" t="inlineStr">
        <is>
          <t>Hi ANFE Italian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9" s="4" t="inlineStr">
        <is>
          <t>Open map</t>
        </is>
      </c>
      <c r="O389" s="2" t="inlineStr">
        <is>
          <t>Not contacted</t>
        </is>
      </c>
      <c r="P389" s="2" t="inlineStr"/>
      <c r="Q389" s="2" t="inlineStr"/>
      <c r="R389" s="2" t="inlineStr"/>
      <c r="S389" s="2" t="inlineStr"/>
    </row>
    <row r="390">
      <c r="A390" s="2" t="n">
        <v>389</v>
      </c>
      <c r="B390" s="6" t="inlineStr">
        <is>
          <t>MEDIUM</t>
        </is>
      </c>
      <c r="C390" s="2" t="inlineStr">
        <is>
          <t>Weak website</t>
        </is>
      </c>
      <c r="D390" s="2" t="inlineStr">
        <is>
          <t>Bar Pacino</t>
        </is>
      </c>
      <c r="E390" s="2" t="inlineStr">
        <is>
          <t>bar or pub</t>
        </is>
      </c>
      <c r="F390" s="2" t="inlineStr">
        <is>
          <t>Brisbane</t>
        </is>
      </c>
      <c r="G390" s="2" t="inlineStr">
        <is>
          <t>Instagram</t>
        </is>
      </c>
      <c r="H390" s="4" t="inlineStr">
        <is>
          <t>https://www.instagram.com/barpacino</t>
        </is>
      </c>
      <c r="I390" s="4" t="inlineStr">
        <is>
          <t>https://www.facebook.com/barpacino</t>
        </is>
      </c>
      <c r="J390" s="2" t="inlineStr">
        <is>
          <t>+61 7 3221 2397</t>
        </is>
      </c>
      <c r="K390" s="4" t="inlineStr">
        <is>
          <t>http://barpacino.com.au/</t>
        </is>
      </c>
      <c r="L390" s="2" t="inlineStr">
        <is>
          <t>missing meta description; slow to load (4.2s)</t>
        </is>
      </c>
      <c r="M390" s="2" t="inlineStr">
        <is>
          <t>Hi Bar Pacino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0" s="4" t="inlineStr">
        <is>
          <t>Open map</t>
        </is>
      </c>
      <c r="O390" s="2" t="inlineStr">
        <is>
          <t>Not contacted</t>
        </is>
      </c>
      <c r="P390" s="2" t="inlineStr"/>
      <c r="Q390" s="2" t="inlineStr"/>
      <c r="R390" s="2" t="inlineStr"/>
      <c r="S390" s="2" t="inlineStr"/>
    </row>
    <row r="391">
      <c r="A391" s="2" t="n">
        <v>390</v>
      </c>
      <c r="B391" s="6" t="inlineStr">
        <is>
          <t>MEDIUM</t>
        </is>
      </c>
      <c r="C391" s="2" t="inlineStr">
        <is>
          <t>Weak website</t>
        </is>
      </c>
      <c r="D391" s="2" t="inlineStr">
        <is>
          <t>Bellbowrie Sports and Recreation Club Inc</t>
        </is>
      </c>
      <c r="E391" s="2" t="inlineStr">
        <is>
          <t>bar or pub</t>
        </is>
      </c>
      <c r="F391" s="2" t="inlineStr">
        <is>
          <t>Brisbane</t>
        </is>
      </c>
      <c r="G391" s="2" t="inlineStr">
        <is>
          <t>Instagram</t>
        </is>
      </c>
      <c r="H391" s="4" t="inlineStr">
        <is>
          <t>https://www.instagram.com/bscc_4070</t>
        </is>
      </c>
      <c r="I391" s="4" t="inlineStr">
        <is>
          <t>https://www.facebook.com/bellbowriesportsandrec/</t>
        </is>
      </c>
      <c r="J391" s="2" t="inlineStr"/>
      <c r="K391" s="4" t="inlineStr">
        <is>
          <t>https://bellsports.com.au</t>
        </is>
      </c>
      <c r="L391" s="2" t="inlineStr">
        <is>
          <t>missing meta description</t>
        </is>
      </c>
      <c r="M391" s="2" t="inlineStr">
        <is>
          <t>Hi Bellbowrie Sports and Recreation Club Inc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1" s="4" t="inlineStr">
        <is>
          <t>Open map</t>
        </is>
      </c>
      <c r="O391" s="2" t="inlineStr">
        <is>
          <t>Not contacted</t>
        </is>
      </c>
      <c r="P391" s="2" t="inlineStr"/>
      <c r="Q391" s="2" t="inlineStr"/>
      <c r="R391" s="2" t="inlineStr"/>
      <c r="S391" s="2" t="inlineStr"/>
    </row>
    <row r="392">
      <c r="A392" s="2" t="n">
        <v>391</v>
      </c>
      <c r="B392" s="6" t="inlineStr">
        <is>
          <t>MEDIUM</t>
        </is>
      </c>
      <c r="C392" s="2" t="inlineStr">
        <is>
          <t>Weak website</t>
        </is>
      </c>
      <c r="D392" s="2" t="inlineStr">
        <is>
          <t>Brendale Brewing Co</t>
        </is>
      </c>
      <c r="E392" s="2" t="inlineStr">
        <is>
          <t>bar or pub</t>
        </is>
      </c>
      <c r="F392" s="2" t="inlineStr">
        <is>
          <t>Brisbane</t>
        </is>
      </c>
      <c r="G392" s="2" t="inlineStr">
        <is>
          <t>Instagram</t>
        </is>
      </c>
      <c r="H392" s="4" t="inlineStr">
        <is>
          <t>https://www.instagram.com/brendalebrewingco</t>
        </is>
      </c>
      <c r="I392" s="4" t="inlineStr">
        <is>
          <t>https://www.facebook.com/BrendaleBrewingCo</t>
        </is>
      </c>
      <c r="J392" s="2" t="inlineStr">
        <is>
          <t>+61 7 3205 9699</t>
        </is>
      </c>
      <c r="K392" s="4" t="inlineStr">
        <is>
          <t>https://www.brendalebrewingco.com.au/</t>
        </is>
      </c>
      <c r="L392" s="2" t="inlineStr">
        <is>
          <t>slow to load (5.6s)</t>
        </is>
      </c>
      <c r="M392" s="2" t="inlineStr">
        <is>
          <t>Hi Brendale Brewing Co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2" s="4" t="inlineStr">
        <is>
          <t>Open map</t>
        </is>
      </c>
      <c r="O392" s="2" t="inlineStr">
        <is>
          <t>Not contacted</t>
        </is>
      </c>
      <c r="P392" s="2" t="inlineStr"/>
      <c r="Q392" s="2" t="inlineStr"/>
      <c r="R392" s="2" t="inlineStr"/>
      <c r="S392" s="2" t="inlineStr"/>
    </row>
    <row r="393">
      <c r="A393" s="2" t="n">
        <v>392</v>
      </c>
      <c r="B393" s="6" t="inlineStr">
        <is>
          <t>MEDIUM</t>
        </is>
      </c>
      <c r="C393" s="2" t="inlineStr">
        <is>
          <t>Weak website</t>
        </is>
      </c>
      <c r="D393" s="2" t="inlineStr">
        <is>
          <t>Cru Bar</t>
        </is>
      </c>
      <c r="E393" s="2" t="inlineStr">
        <is>
          <t>bar or pub</t>
        </is>
      </c>
      <c r="F393" s="2" t="inlineStr">
        <is>
          <t>Brisbane</t>
        </is>
      </c>
      <c r="G393" s="2" t="inlineStr">
        <is>
          <t>Instagram</t>
        </is>
      </c>
      <c r="H393" s="4" t="inlineStr">
        <is>
          <t>https://www.instagram.com/crubar</t>
        </is>
      </c>
      <c r="I393" s="4" t="inlineStr">
        <is>
          <t>https://facebook.com/crubar</t>
        </is>
      </c>
      <c r="J393" s="2" t="inlineStr"/>
      <c r="K393" s="4" t="inlineStr">
        <is>
          <t>https://crubar.com/</t>
        </is>
      </c>
      <c r="L393" s="2" t="inlineStr">
        <is>
          <t>looks outdated (copyright 2020)</t>
        </is>
      </c>
      <c r="M393" s="2" t="inlineStr">
        <is>
          <t>Hi Cru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3" s="4" t="inlineStr">
        <is>
          <t>Open map</t>
        </is>
      </c>
      <c r="O393" s="2" t="inlineStr">
        <is>
          <t>Not contacted</t>
        </is>
      </c>
      <c r="P393" s="2" t="inlineStr"/>
      <c r="Q393" s="2" t="inlineStr"/>
      <c r="R393" s="2" t="inlineStr"/>
      <c r="S393" s="2" t="inlineStr"/>
    </row>
    <row r="394">
      <c r="A394" s="2" t="n">
        <v>393</v>
      </c>
      <c r="B394" s="6" t="inlineStr">
        <is>
          <t>MEDIUM</t>
        </is>
      </c>
      <c r="C394" s="2" t="inlineStr">
        <is>
          <t>Weak website</t>
        </is>
      </c>
      <c r="D394" s="2" t="inlineStr">
        <is>
          <t>Dalgety 2.0 Public House</t>
        </is>
      </c>
      <c r="E394" s="2" t="inlineStr">
        <is>
          <t>bar or pub</t>
        </is>
      </c>
      <c r="F394" s="2" t="inlineStr">
        <is>
          <t>Brisbane</t>
        </is>
      </c>
      <c r="G394" s="2" t="inlineStr">
        <is>
          <t>Instagram</t>
        </is>
      </c>
      <c r="H394" s="4" t="inlineStr">
        <is>
          <t>https://www.instagram.com/dalgety2.0</t>
        </is>
      </c>
      <c r="I394" s="4" t="inlineStr">
        <is>
          <t>https://www.facebook.com/dalgety2.0</t>
        </is>
      </c>
      <c r="J394" s="2" t="inlineStr">
        <is>
          <t>+61 7 3544 6744</t>
        </is>
      </c>
      <c r="K394" s="4" t="inlineStr">
        <is>
          <t>https://dalgetypublichouse.com.au/</t>
        </is>
      </c>
      <c r="L394" s="2" t="inlineStr">
        <is>
          <t>missing meta description</t>
        </is>
      </c>
      <c r="M394" s="2" t="inlineStr">
        <is>
          <t>Hi Dalgety 2.0 Public House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4" s="4" t="inlineStr">
        <is>
          <t>Open map</t>
        </is>
      </c>
      <c r="O394" s="2" t="inlineStr">
        <is>
          <t>Not contacted</t>
        </is>
      </c>
      <c r="P394" s="2" t="inlineStr"/>
      <c r="Q394" s="2" t="inlineStr"/>
      <c r="R394" s="2" t="inlineStr"/>
      <c r="S394" s="2" t="inlineStr"/>
    </row>
    <row r="395">
      <c r="A395" s="2" t="n">
        <v>394</v>
      </c>
      <c r="B395" s="6" t="inlineStr">
        <is>
          <t>MEDIUM</t>
        </is>
      </c>
      <c r="C395" s="2" t="inlineStr">
        <is>
          <t>Weak website</t>
        </is>
      </c>
      <c r="D395" s="2" t="inlineStr">
        <is>
          <t>Gaythorne Bowls Club</t>
        </is>
      </c>
      <c r="E395" s="2" t="inlineStr">
        <is>
          <t>bar or pub</t>
        </is>
      </c>
      <c r="F395" s="2" t="inlineStr">
        <is>
          <t>Brisbane</t>
        </is>
      </c>
      <c r="G395" s="2" t="inlineStr">
        <is>
          <t>Facebook</t>
        </is>
      </c>
      <c r="H395" s="2" t="inlineStr"/>
      <c r="I395" s="4" t="inlineStr">
        <is>
          <t>https://www.facebook.com/gaythournebowls.club</t>
        </is>
      </c>
      <c r="J395" s="2" t="inlineStr">
        <is>
          <t>+61 7 3855 2725</t>
        </is>
      </c>
      <c r="K395" s="4" t="inlineStr">
        <is>
          <t>https://gaythornebowls.club/</t>
        </is>
      </c>
      <c r="L395" s="2" t="inlineStr">
        <is>
          <t>looks outdated (copyright 2019)</t>
        </is>
      </c>
      <c r="M395" s="2" t="inlineStr">
        <is>
          <t>Hi Gaythorne Bowls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5" s="4" t="inlineStr">
        <is>
          <t>Open map</t>
        </is>
      </c>
      <c r="O395" s="2" t="inlineStr">
        <is>
          <t>Not contacted</t>
        </is>
      </c>
      <c r="P395" s="2" t="inlineStr"/>
      <c r="Q395" s="2" t="inlineStr"/>
      <c r="R395" s="2" t="inlineStr"/>
      <c r="S395" s="2" t="inlineStr"/>
    </row>
    <row r="396">
      <c r="A396" s="2" t="n">
        <v>395</v>
      </c>
      <c r="B396" s="6" t="inlineStr">
        <is>
          <t>MEDIUM</t>
        </is>
      </c>
      <c r="C396" s="2" t="inlineStr">
        <is>
          <t>Weak website</t>
        </is>
      </c>
      <c r="D396" s="2" t="inlineStr">
        <is>
          <t>Grand Central Hotel</t>
        </is>
      </c>
      <c r="E396" s="2" t="inlineStr">
        <is>
          <t>bar or pub</t>
        </is>
      </c>
      <c r="F396" s="2" t="inlineStr">
        <is>
          <t>Brisbane</t>
        </is>
      </c>
      <c r="G396" s="2" t="inlineStr">
        <is>
          <t>Instagram</t>
        </is>
      </c>
      <c r="H396" s="4" t="inlineStr">
        <is>
          <t>https://www.instagram.com/grandcentralhotelbne</t>
        </is>
      </c>
      <c r="I396" s="4" t="inlineStr">
        <is>
          <t>https://www.facebook.com/GrandCentralHotel</t>
        </is>
      </c>
      <c r="J396" s="2" t="inlineStr">
        <is>
          <t>+61 7 3220 2061</t>
        </is>
      </c>
      <c r="K396" s="4" t="inlineStr">
        <is>
          <t>https://grandcentralhotel.com.au/</t>
        </is>
      </c>
      <c r="L396" s="2" t="inlineStr">
        <is>
          <t>looks outdated (copyright 2022); slow to load (4.9s)</t>
        </is>
      </c>
      <c r="M396" s="2" t="inlineStr">
        <is>
          <t>Hi Grand Central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6" s="4" t="inlineStr">
        <is>
          <t>Open map</t>
        </is>
      </c>
      <c r="O396" s="2" t="inlineStr">
        <is>
          <t>Not contacted</t>
        </is>
      </c>
      <c r="P396" s="2" t="inlineStr"/>
      <c r="Q396" s="2" t="inlineStr"/>
      <c r="R396" s="2" t="inlineStr"/>
      <c r="S396" s="2" t="inlineStr"/>
    </row>
    <row r="397">
      <c r="A397" s="2" t="n">
        <v>396</v>
      </c>
      <c r="B397" s="6" t="inlineStr">
        <is>
          <t>MEDIUM</t>
        </is>
      </c>
      <c r="C397" s="2" t="inlineStr">
        <is>
          <t>Weak website</t>
        </is>
      </c>
      <c r="D397" s="2" t="inlineStr">
        <is>
          <t>Happy Valley Brewing Co.</t>
        </is>
      </c>
      <c r="E397" s="2" t="inlineStr">
        <is>
          <t>bar or pub</t>
        </is>
      </c>
      <c r="F397" s="2" t="inlineStr">
        <is>
          <t>Brisbane</t>
        </is>
      </c>
      <c r="G397" s="2" t="inlineStr">
        <is>
          <t>Instagram</t>
        </is>
      </c>
      <c r="H397" s="4" t="inlineStr">
        <is>
          <t>https://www.instagram.com/happyvalleybrewco</t>
        </is>
      </c>
      <c r="I397" s="4" t="inlineStr">
        <is>
          <t>https://www.facebook.com/happyvalleybrewco</t>
        </is>
      </c>
      <c r="J397" s="2" t="inlineStr">
        <is>
          <t>+61 451 534 053</t>
        </is>
      </c>
      <c r="K397" s="4" t="inlineStr">
        <is>
          <t>https://www.happyvalleybrewingco.com.au/</t>
        </is>
      </c>
      <c r="L397" s="2" t="inlineStr">
        <is>
          <t>looks outdated (copyright 2020)</t>
        </is>
      </c>
      <c r="M397" s="2" t="inlineStr">
        <is>
          <t>Hi Happy Valley Brewing Co.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7" s="4" t="inlineStr">
        <is>
          <t>Open map</t>
        </is>
      </c>
      <c r="O397" s="2" t="inlineStr">
        <is>
          <t>Not contacted</t>
        </is>
      </c>
      <c r="P397" s="2" t="inlineStr"/>
      <c r="Q397" s="2" t="inlineStr"/>
      <c r="R397" s="2" t="inlineStr"/>
      <c r="S397" s="2" t="inlineStr"/>
    </row>
    <row r="398">
      <c r="A398" s="2" t="n">
        <v>397</v>
      </c>
      <c r="B398" s="6" t="inlineStr">
        <is>
          <t>MEDIUM</t>
        </is>
      </c>
      <c r="C398" s="2" t="inlineStr">
        <is>
          <t>Weak website</t>
        </is>
      </c>
      <c r="D398" s="2" t="inlineStr">
        <is>
          <t>Hitching Post Bar + Grill</t>
        </is>
      </c>
      <c r="E398" s="2" t="inlineStr">
        <is>
          <t>bar or pub</t>
        </is>
      </c>
      <c r="F398" s="2" t="inlineStr">
        <is>
          <t>Brisbane</t>
        </is>
      </c>
      <c r="G398" s="2" t="inlineStr">
        <is>
          <t>Facebook</t>
        </is>
      </c>
      <c r="H398" s="2" t="inlineStr"/>
      <c r="I398" s="4" t="inlineStr">
        <is>
          <t>https://www.facebook.com/hitchingpostbrisbane/</t>
        </is>
      </c>
      <c r="J398" s="2" t="inlineStr"/>
      <c r="K398" s="4" t="inlineStr">
        <is>
          <t>https://hitchingpostbargrill.com.au/</t>
        </is>
      </c>
      <c r="L398" s="2" t="inlineStr">
        <is>
          <t>looks outdated (copyright 2015)</t>
        </is>
      </c>
      <c r="M398" s="2" t="inlineStr">
        <is>
          <t>Hi Hitching Post Bar + Grill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8" s="4" t="inlineStr">
        <is>
          <t>Open map</t>
        </is>
      </c>
      <c r="O398" s="2" t="inlineStr">
        <is>
          <t>Not contacted</t>
        </is>
      </c>
      <c r="P398" s="2" t="inlineStr"/>
      <c r="Q398" s="2" t="inlineStr"/>
      <c r="R398" s="2" t="inlineStr"/>
      <c r="S398" s="2" t="inlineStr"/>
    </row>
    <row r="399">
      <c r="A399" s="2" t="n">
        <v>398</v>
      </c>
      <c r="B399" s="6" t="inlineStr">
        <is>
          <t>MEDIUM</t>
        </is>
      </c>
      <c r="C399" s="2" t="inlineStr">
        <is>
          <t>Weak website</t>
        </is>
      </c>
      <c r="D399" s="2" t="inlineStr">
        <is>
          <t>Kiki Kiosk</t>
        </is>
      </c>
      <c r="E399" s="2" t="inlineStr">
        <is>
          <t>bar or pub</t>
        </is>
      </c>
      <c r="F399" s="2" t="inlineStr">
        <is>
          <t>Brisbane</t>
        </is>
      </c>
      <c r="G399" s="2" t="inlineStr">
        <is>
          <t>Instagram</t>
        </is>
      </c>
      <c r="H399" s="4" t="inlineStr">
        <is>
          <t>https://www.instagram.com/southside_restaurant/</t>
        </is>
      </c>
      <c r="I399" s="4" t="inlineStr">
        <is>
          <t>https://www.facebook.com/friendsoffriendsgroup</t>
        </is>
      </c>
      <c r="J399" s="2" t="inlineStr">
        <is>
          <t>+61 7 3067 7269</t>
        </is>
      </c>
      <c r="K399" s="4" t="inlineStr">
        <is>
          <t>https://www.southside-restaurant.com.au/</t>
        </is>
      </c>
      <c r="L399" s="2" t="inlineStr">
        <is>
          <t>missing meta description</t>
        </is>
      </c>
      <c r="M399" s="2" t="inlineStr">
        <is>
          <t>Hi Kiki Kiosk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9" s="4" t="inlineStr">
        <is>
          <t>Open map</t>
        </is>
      </c>
      <c r="O399" s="2" t="inlineStr">
        <is>
          <t>Not contacted</t>
        </is>
      </c>
      <c r="P399" s="2" t="inlineStr"/>
      <c r="Q399" s="2" t="inlineStr"/>
      <c r="R399" s="2" t="inlineStr"/>
      <c r="S399" s="2" t="inlineStr"/>
    </row>
    <row r="400">
      <c r="A400" s="2" t="n">
        <v>399</v>
      </c>
      <c r="B400" s="6" t="inlineStr">
        <is>
          <t>MEDIUM</t>
        </is>
      </c>
      <c r="C400" s="2" t="inlineStr">
        <is>
          <t>Weak website</t>
        </is>
      </c>
      <c r="D400" s="2" t="inlineStr">
        <is>
          <t>Manly Hotel</t>
        </is>
      </c>
      <c r="E400" s="2" t="inlineStr">
        <is>
          <t>bar or pub</t>
        </is>
      </c>
      <c r="F400" s="2" t="inlineStr">
        <is>
          <t>Brisbane</t>
        </is>
      </c>
      <c r="G400" s="2" t="inlineStr">
        <is>
          <t>Instagram</t>
        </is>
      </c>
      <c r="H400" s="4" t="inlineStr">
        <is>
          <t>https://www.instagram.com/themanlyhotel</t>
        </is>
      </c>
      <c r="I400" s="4" t="inlineStr">
        <is>
          <t>https://www.facebook.com/themanlyhotel</t>
        </is>
      </c>
      <c r="J400" s="2" t="inlineStr"/>
      <c r="K400" s="4" t="inlineStr">
        <is>
          <t>https://www.manlyhotel.com/</t>
        </is>
      </c>
      <c r="L400" s="2" t="inlineStr">
        <is>
          <t>looks outdated (copyright 2021)</t>
        </is>
      </c>
      <c r="M400" s="2" t="inlineStr">
        <is>
          <t>Hi Manly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0" s="4" t="inlineStr">
        <is>
          <t>Open map</t>
        </is>
      </c>
      <c r="O400" s="2" t="inlineStr">
        <is>
          <t>Not contacted</t>
        </is>
      </c>
      <c r="P400" s="2" t="inlineStr"/>
      <c r="Q400" s="2" t="inlineStr"/>
      <c r="R400" s="2" t="inlineStr"/>
      <c r="S400" s="2" t="inlineStr"/>
    </row>
    <row r="401">
      <c r="A401" s="2" t="n">
        <v>400</v>
      </c>
      <c r="B401" s="6" t="inlineStr">
        <is>
          <t>MEDIUM</t>
        </is>
      </c>
      <c r="C401" s="2" t="inlineStr">
        <is>
          <t>Weak website</t>
        </is>
      </c>
      <c r="D401" s="2" t="inlineStr">
        <is>
          <t>Netherworld</t>
        </is>
      </c>
      <c r="E401" s="2" t="inlineStr">
        <is>
          <t>bar or pub</t>
        </is>
      </c>
      <c r="F401" s="2" t="inlineStr">
        <is>
          <t>Brisbane</t>
        </is>
      </c>
      <c r="G401" s="2" t="inlineStr">
        <is>
          <t>Instagram</t>
        </is>
      </c>
      <c r="H401" s="4" t="inlineStr">
        <is>
          <t>https://www.instagram.com/netherworldarcade</t>
        </is>
      </c>
      <c r="I401" s="4" t="inlineStr">
        <is>
          <t>https://www.facebook.com/netherworldarcade</t>
        </is>
      </c>
      <c r="J401" s="2" t="inlineStr"/>
      <c r="K401" s="4" t="inlineStr">
        <is>
          <t>https://www.netherworldarcade.com</t>
        </is>
      </c>
      <c r="L401" s="2" t="inlineStr">
        <is>
          <t>looks outdated (copyright 2015)</t>
        </is>
      </c>
      <c r="M401" s="2" t="inlineStr">
        <is>
          <t>Hi Netherworld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1" s="4" t="inlineStr">
        <is>
          <t>Open map</t>
        </is>
      </c>
      <c r="O401" s="2" t="inlineStr">
        <is>
          <t>Not contacted</t>
        </is>
      </c>
      <c r="P401" s="2" t="inlineStr"/>
      <c r="Q401" s="2" t="inlineStr"/>
      <c r="R401" s="2" t="inlineStr"/>
      <c r="S401" s="2" t="inlineStr"/>
    </row>
    <row r="402">
      <c r="A402" s="2" t="n">
        <v>401</v>
      </c>
      <c r="B402" s="6" t="inlineStr">
        <is>
          <t>MEDIUM</t>
        </is>
      </c>
      <c r="C402" s="2" t="inlineStr">
        <is>
          <t>Weak website</t>
        </is>
      </c>
      <c r="D402" s="2" t="inlineStr">
        <is>
          <t>Normanby Hotel</t>
        </is>
      </c>
      <c r="E402" s="2" t="inlineStr">
        <is>
          <t>bar or pub</t>
        </is>
      </c>
      <c r="F402" s="2" t="inlineStr">
        <is>
          <t>Brisbane</t>
        </is>
      </c>
      <c r="G402" s="2" t="inlineStr">
        <is>
          <t>Instagram</t>
        </is>
      </c>
      <c r="H402" s="4" t="inlineStr">
        <is>
          <t>https://www.instagram.com/thenormanbyhotel</t>
        </is>
      </c>
      <c r="I402" s="4" t="inlineStr">
        <is>
          <t>https://www.facebook.com/thenormanby</t>
        </is>
      </c>
      <c r="J402" s="2" t="inlineStr"/>
      <c r="K402" s="4" t="inlineStr">
        <is>
          <t>https://thenormanby.com.au/</t>
        </is>
      </c>
      <c r="L402" s="2" t="inlineStr">
        <is>
          <t>slow to load (4.7s)</t>
        </is>
      </c>
      <c r="M402" s="2" t="inlineStr">
        <is>
          <t>Hi Normanby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2" s="4" t="inlineStr">
        <is>
          <t>Open map</t>
        </is>
      </c>
      <c r="O402" s="2" t="inlineStr">
        <is>
          <t>Not contacted</t>
        </is>
      </c>
      <c r="P402" s="2" t="inlineStr"/>
      <c r="Q402" s="2" t="inlineStr"/>
      <c r="R402" s="2" t="inlineStr"/>
      <c r="S402" s="2" t="inlineStr"/>
    </row>
    <row r="403">
      <c r="A403" s="2" t="n">
        <v>402</v>
      </c>
      <c r="B403" s="6" t="inlineStr">
        <is>
          <t>MEDIUM</t>
        </is>
      </c>
      <c r="C403" s="2" t="inlineStr">
        <is>
          <t>Weak website</t>
        </is>
      </c>
      <c r="D403" s="2" t="inlineStr">
        <is>
          <t>Runcorn Tavern</t>
        </is>
      </c>
      <c r="E403" s="2" t="inlineStr">
        <is>
          <t>bar or pub</t>
        </is>
      </c>
      <c r="F403" s="2" t="inlineStr">
        <is>
          <t>Brisbane</t>
        </is>
      </c>
      <c r="G403" s="2" t="inlineStr">
        <is>
          <t>Instagram</t>
        </is>
      </c>
      <c r="H403" s="4" t="inlineStr">
        <is>
          <t>https://www.instagram.com/theruncorn</t>
        </is>
      </c>
      <c r="I403" s="4" t="inlineStr">
        <is>
          <t>https://www.facebook.com/theruncorn</t>
        </is>
      </c>
      <c r="J403" s="2" t="inlineStr"/>
      <c r="K403" s="4" t="inlineStr">
        <is>
          <t>https://runcorntavern.com.au/</t>
        </is>
      </c>
      <c r="L403" s="2" t="inlineStr">
        <is>
          <t>missing meta description; slow to load (15.7s)</t>
        </is>
      </c>
      <c r="M403" s="2" t="inlineStr">
        <is>
          <t>Hi Runcorn Tavern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3" s="4" t="inlineStr">
        <is>
          <t>Open map</t>
        </is>
      </c>
      <c r="O403" s="2" t="inlineStr">
        <is>
          <t>Not contacted</t>
        </is>
      </c>
      <c r="P403" s="2" t="inlineStr"/>
      <c r="Q403" s="2" t="inlineStr"/>
      <c r="R403" s="2" t="inlineStr"/>
      <c r="S403" s="2" t="inlineStr"/>
    </row>
    <row r="404">
      <c r="A404" s="2" t="n">
        <v>403</v>
      </c>
      <c r="B404" s="6" t="inlineStr">
        <is>
          <t>MEDIUM</t>
        </is>
      </c>
      <c r="C404" s="2" t="inlineStr">
        <is>
          <t>Weak website</t>
        </is>
      </c>
      <c r="D404" s="2" t="inlineStr">
        <is>
          <t>Story Bridge Hotel</t>
        </is>
      </c>
      <c r="E404" s="2" t="inlineStr">
        <is>
          <t>bar or pub</t>
        </is>
      </c>
      <c r="F404" s="2" t="inlineStr">
        <is>
          <t>Brisbane</t>
        </is>
      </c>
      <c r="G404" s="2" t="inlineStr">
        <is>
          <t>Instagram</t>
        </is>
      </c>
      <c r="H404" s="4" t="inlineStr">
        <is>
          <t>https://www.instagram.com/storybridgehotel</t>
        </is>
      </c>
      <c r="I404" s="4" t="inlineStr">
        <is>
          <t>https://www.facebook.com/StoryBridgeHotel</t>
        </is>
      </c>
      <c r="J404" s="2" t="inlineStr"/>
      <c r="K404" s="4" t="inlineStr">
        <is>
          <t>https://www.storybridgehotel.com.au/</t>
        </is>
      </c>
      <c r="L404" s="2" t="inlineStr">
        <is>
          <t>missing meta description; slow to load (3.3s)</t>
        </is>
      </c>
      <c r="M404" s="2" t="inlineStr">
        <is>
          <t>Hi Story Bridge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4" s="4" t="inlineStr">
        <is>
          <t>Open map</t>
        </is>
      </c>
      <c r="O404" s="2" t="inlineStr">
        <is>
          <t>Not contacted</t>
        </is>
      </c>
      <c r="P404" s="2" t="inlineStr"/>
      <c r="Q404" s="2" t="inlineStr"/>
      <c r="R404" s="2" t="inlineStr"/>
      <c r="S404" s="2" t="inlineStr"/>
    </row>
    <row r="405">
      <c r="A405" s="2" t="n">
        <v>404</v>
      </c>
      <c r="B405" s="6" t="inlineStr">
        <is>
          <t>MEDIUM</t>
        </is>
      </c>
      <c r="C405" s="2" t="inlineStr">
        <is>
          <t>Weak website</t>
        </is>
      </c>
      <c r="D405" s="2" t="inlineStr">
        <is>
          <t>The Gibson Sports Club</t>
        </is>
      </c>
      <c r="E405" s="2" t="inlineStr">
        <is>
          <t>bar or pub</t>
        </is>
      </c>
      <c r="F405" s="2" t="inlineStr">
        <is>
          <t>Brisbane</t>
        </is>
      </c>
      <c r="G405" s="2" t="inlineStr">
        <is>
          <t>Instagram</t>
        </is>
      </c>
      <c r="H405" s="4" t="inlineStr">
        <is>
          <t>https://www.instagram.com/thegibsonsportsclub</t>
        </is>
      </c>
      <c r="I405" s="4" t="inlineStr">
        <is>
          <t>https://www.facebook.com/profile.php</t>
        </is>
      </c>
      <c r="J405" s="2" t="inlineStr">
        <is>
          <t>+61 7 3179 0900</t>
        </is>
      </c>
      <c r="K405" s="4" t="inlineStr">
        <is>
          <t>https://thegibson.com.au/</t>
        </is>
      </c>
      <c r="L405" s="2" t="inlineStr">
        <is>
          <t>missing meta description</t>
        </is>
      </c>
      <c r="M405" s="2" t="inlineStr">
        <is>
          <t>Hi The Gibson Sports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5" s="4" t="inlineStr">
        <is>
          <t>Open map</t>
        </is>
      </c>
      <c r="O405" s="2" t="inlineStr">
        <is>
          <t>Not contacted</t>
        </is>
      </c>
      <c r="P405" s="2" t="inlineStr"/>
      <c r="Q405" s="2" t="inlineStr"/>
      <c r="R405" s="2" t="inlineStr"/>
      <c r="S405" s="2" t="inlineStr"/>
    </row>
    <row r="406">
      <c r="A406" s="2" t="n">
        <v>405</v>
      </c>
      <c r="B406" s="6" t="inlineStr">
        <is>
          <t>MEDIUM</t>
        </is>
      </c>
      <c r="C406" s="2" t="inlineStr">
        <is>
          <t>Weak website</t>
        </is>
      </c>
      <c r="D406" s="2" t="inlineStr">
        <is>
          <t>The Junction</t>
        </is>
      </c>
      <c r="E406" s="2" t="inlineStr">
        <is>
          <t>bar or pub</t>
        </is>
      </c>
      <c r="F406" s="2" t="inlineStr">
        <is>
          <t>Brisbane</t>
        </is>
      </c>
      <c r="G406" s="2" t="inlineStr">
        <is>
          <t>Instagram</t>
        </is>
      </c>
      <c r="H406" s="4" t="inlineStr">
        <is>
          <t>https://www.instagram.com/thejunction_annerley/</t>
        </is>
      </c>
      <c r="I406" s="4" t="inlineStr">
        <is>
          <t>https://www.facebook.com/junctionannerley/</t>
        </is>
      </c>
      <c r="J406" s="2" t="inlineStr">
        <is>
          <t>+61 7 3391 1766</t>
        </is>
      </c>
      <c r="K406" s="4" t="inlineStr">
        <is>
          <t>https://thejunctionannerley.com.au/</t>
        </is>
      </c>
      <c r="L406" s="2" t="inlineStr">
        <is>
          <t>missing meta description</t>
        </is>
      </c>
      <c r="M406" s="2" t="inlineStr">
        <is>
          <t>Hi The Junction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6" s="4" t="inlineStr">
        <is>
          <t>Open map</t>
        </is>
      </c>
      <c r="O406" s="2" t="inlineStr">
        <is>
          <t>Not contacted</t>
        </is>
      </c>
      <c r="P406" s="2" t="inlineStr"/>
      <c r="Q406" s="2" t="inlineStr"/>
      <c r="R406" s="2" t="inlineStr"/>
      <c r="S406" s="2" t="inlineStr"/>
    </row>
    <row r="407">
      <c r="A407" s="2" t="n">
        <v>406</v>
      </c>
      <c r="B407" s="6" t="inlineStr">
        <is>
          <t>MEDIUM</t>
        </is>
      </c>
      <c r="C407" s="2" t="inlineStr">
        <is>
          <t>Weak website</t>
        </is>
      </c>
      <c r="D407" s="2" t="inlineStr">
        <is>
          <t>Tingalpa Hotel</t>
        </is>
      </c>
      <c r="E407" s="2" t="inlineStr">
        <is>
          <t>bar or pub</t>
        </is>
      </c>
      <c r="F407" s="2" t="inlineStr">
        <is>
          <t>Brisbane</t>
        </is>
      </c>
      <c r="G407" s="2" t="inlineStr">
        <is>
          <t>Instagram</t>
        </is>
      </c>
      <c r="H407" s="4" t="inlineStr">
        <is>
          <t>https://www.instagram.com/tingalpahotel</t>
        </is>
      </c>
      <c r="I407" s="4" t="inlineStr">
        <is>
          <t>https://www.facebook.com/TingalpaHotel</t>
        </is>
      </c>
      <c r="J407" s="2" t="inlineStr">
        <is>
          <t>+61 7 3390 4401</t>
        </is>
      </c>
      <c r="K407" s="4" t="inlineStr">
        <is>
          <t>https://www.tingalpahotel.com.au/</t>
        </is>
      </c>
      <c r="L407" s="2" t="inlineStr">
        <is>
          <t>missing meta description</t>
        </is>
      </c>
      <c r="M407" s="2" t="inlineStr">
        <is>
          <t>Hi Tingalpa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7" s="4" t="inlineStr">
        <is>
          <t>Open map</t>
        </is>
      </c>
      <c r="O407" s="2" t="inlineStr">
        <is>
          <t>Not contacted</t>
        </is>
      </c>
      <c r="P407" s="2" t="inlineStr"/>
      <c r="Q407" s="2" t="inlineStr"/>
      <c r="R407" s="2" t="inlineStr"/>
      <c r="S407" s="2" t="inlineStr"/>
    </row>
    <row r="408">
      <c r="A408" s="2" t="n">
        <v>407</v>
      </c>
      <c r="B408" s="6" t="inlineStr">
        <is>
          <t>MEDIUM</t>
        </is>
      </c>
      <c r="C408" s="2" t="inlineStr">
        <is>
          <t>Weak website</t>
        </is>
      </c>
      <c r="D408" s="2" t="inlineStr">
        <is>
          <t>Warner Tavern</t>
        </is>
      </c>
      <c r="E408" s="2" t="inlineStr">
        <is>
          <t>bar or pub</t>
        </is>
      </c>
      <c r="F408" s="2" t="inlineStr">
        <is>
          <t>Brisbane</t>
        </is>
      </c>
      <c r="G408" s="2" t="inlineStr">
        <is>
          <t>Instagram</t>
        </is>
      </c>
      <c r="H408" s="4" t="inlineStr">
        <is>
          <t>http://instagram.com/warnertavern</t>
        </is>
      </c>
      <c r="I408" s="4" t="inlineStr">
        <is>
          <t>http://www.facebook.com/WarnerTavern</t>
        </is>
      </c>
      <c r="J408" s="2" t="inlineStr">
        <is>
          <t>+61 7 3882 2440</t>
        </is>
      </c>
      <c r="K408" s="4" t="inlineStr">
        <is>
          <t>https://www.warnertavern.com.au</t>
        </is>
      </c>
      <c r="L408" s="2" t="inlineStr">
        <is>
          <t>looks outdated (copyright 2021)</t>
        </is>
      </c>
      <c r="M408" s="2" t="inlineStr">
        <is>
          <t>Hi Warner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8" s="4" t="inlineStr">
        <is>
          <t>Open map</t>
        </is>
      </c>
      <c r="O408" s="2" t="inlineStr">
        <is>
          <t>Not contacted</t>
        </is>
      </c>
      <c r="P408" s="2" t="inlineStr"/>
      <c r="Q408" s="2" t="inlineStr"/>
      <c r="R408" s="2" t="inlineStr"/>
      <c r="S408" s="2" t="inlineStr"/>
    </row>
    <row r="409">
      <c r="A409" s="2" t="n">
        <v>408</v>
      </c>
      <c r="B409" s="6" t="inlineStr">
        <is>
          <t>MEDIUM</t>
        </is>
      </c>
      <c r="C409" s="2" t="inlineStr">
        <is>
          <t>Weak website</t>
        </is>
      </c>
      <c r="D409" s="2" t="inlineStr">
        <is>
          <t>WestsideHQ</t>
        </is>
      </c>
      <c r="E409" s="2" t="inlineStr">
        <is>
          <t>bar or pub</t>
        </is>
      </c>
      <c r="F409" s="2" t="inlineStr">
        <is>
          <t>Brisbane</t>
        </is>
      </c>
      <c r="G409" s="2" t="inlineStr">
        <is>
          <t>Instagram</t>
        </is>
      </c>
      <c r="H409" s="4" t="inlineStr">
        <is>
          <t>https://www.instagram.com/westsidehq_</t>
        </is>
      </c>
      <c r="I409" s="4" t="inlineStr">
        <is>
          <t>https://www.facebook.com/WestsideHQ</t>
        </is>
      </c>
      <c r="J409" s="2" t="inlineStr"/>
      <c r="K409" s="4" t="inlineStr">
        <is>
          <t>https://www.westsidehq.org.au/</t>
        </is>
      </c>
      <c r="L409" s="2" t="inlineStr">
        <is>
          <t>missing meta description</t>
        </is>
      </c>
      <c r="M409" s="2" t="inlineStr">
        <is>
          <t>Hi WestsideHQ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9" s="4" t="inlineStr">
        <is>
          <t>Open map</t>
        </is>
      </c>
      <c r="O409" s="2" t="inlineStr">
        <is>
          <t>Not contacted</t>
        </is>
      </c>
      <c r="P409" s="2" t="inlineStr"/>
      <c r="Q409" s="2" t="inlineStr"/>
      <c r="R409" s="2" t="inlineStr"/>
      <c r="S409" s="2" t="inlineStr"/>
    </row>
    <row r="410">
      <c r="A410" s="2" t="n">
        <v>409</v>
      </c>
      <c r="B410" s="6" t="inlineStr">
        <is>
          <t>MEDIUM</t>
        </is>
      </c>
      <c r="C410" s="2" t="inlineStr">
        <is>
          <t>Weak website</t>
        </is>
      </c>
      <c r="D410" s="2" t="inlineStr">
        <is>
          <t>Anavrin Hair</t>
        </is>
      </c>
      <c r="E410" s="2" t="inlineStr">
        <is>
          <t>barber or hairdresser</t>
        </is>
      </c>
      <c r="F410" s="2" t="inlineStr">
        <is>
          <t>Brisbane</t>
        </is>
      </c>
      <c r="G410" s="2" t="inlineStr">
        <is>
          <t>Instagram</t>
        </is>
      </c>
      <c r="H410" s="4" t="inlineStr">
        <is>
          <t>https://www.instagram.com/anavrinhair_</t>
        </is>
      </c>
      <c r="I410" s="4" t="inlineStr">
        <is>
          <t>https://www.facebook.com/NicandCo.Salon</t>
        </is>
      </c>
      <c r="J410" s="2" t="inlineStr"/>
      <c r="K410" s="4" t="inlineStr">
        <is>
          <t>https://www.anavrinhair.com.au/</t>
        </is>
      </c>
      <c r="L410" s="2" t="inlineStr">
        <is>
          <t>looks outdated (copyright 2022)</t>
        </is>
      </c>
      <c r="M410" s="2" t="inlineStr">
        <is>
          <t>Hi Anavrin Hair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0" s="4" t="inlineStr">
        <is>
          <t>Open map</t>
        </is>
      </c>
      <c r="O410" s="2" t="inlineStr">
        <is>
          <t>Not contacted</t>
        </is>
      </c>
      <c r="P410" s="2" t="inlineStr"/>
      <c r="Q410" s="2" t="inlineStr"/>
      <c r="R410" s="2" t="inlineStr"/>
      <c r="S410" s="2" t="inlineStr"/>
    </row>
    <row r="411">
      <c r="A411" s="2" t="n">
        <v>410</v>
      </c>
      <c r="B411" s="6" t="inlineStr">
        <is>
          <t>MEDIUM</t>
        </is>
      </c>
      <c r="C411" s="2" t="inlineStr">
        <is>
          <t>Weak website</t>
        </is>
      </c>
      <c r="D411" s="2" t="inlineStr">
        <is>
          <t>Contrasts Hair Studio</t>
        </is>
      </c>
      <c r="E411" s="2" t="inlineStr">
        <is>
          <t>barber or hairdresser</t>
        </is>
      </c>
      <c r="F411" s="2" t="inlineStr">
        <is>
          <t>Brisbane</t>
        </is>
      </c>
      <c r="G411" s="2" t="inlineStr">
        <is>
          <t>Facebook</t>
        </is>
      </c>
      <c r="H411" s="2" t="inlineStr"/>
      <c r="I411" s="4" t="inlineStr">
        <is>
          <t>https://www.facebook.com/Contrastshairstudio</t>
        </is>
      </c>
      <c r="J411" s="2" t="inlineStr">
        <is>
          <t>+61 7 3356 4433</t>
        </is>
      </c>
      <c r="K411" s="4" t="inlineStr">
        <is>
          <t>https://contrasts.com.au/</t>
        </is>
      </c>
      <c r="L411" s="2" t="inlineStr">
        <is>
          <t>not mobile-friendly (no viewport tag); missing meta description</t>
        </is>
      </c>
      <c r="M411" s="2" t="inlineStr">
        <is>
          <t>Hi Contrasts Hair Studio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411" s="4" t="inlineStr">
        <is>
          <t>Open map</t>
        </is>
      </c>
      <c r="O411" s="2" t="inlineStr">
        <is>
          <t>Not contacted</t>
        </is>
      </c>
      <c r="P411" s="2" t="inlineStr"/>
      <c r="Q411" s="2" t="inlineStr"/>
      <c r="R411" s="2" t="inlineStr"/>
      <c r="S411" s="2" t="inlineStr"/>
    </row>
    <row r="412">
      <c r="A412" s="2" t="n">
        <v>411</v>
      </c>
      <c r="B412" s="6" t="inlineStr">
        <is>
          <t>MEDIUM</t>
        </is>
      </c>
      <c r="C412" s="2" t="inlineStr">
        <is>
          <t>Weak website</t>
        </is>
      </c>
      <c r="D412" s="2" t="inlineStr">
        <is>
          <t>Death By Mullet</t>
        </is>
      </c>
      <c r="E412" s="2" t="inlineStr">
        <is>
          <t>barber or hairdresser</t>
        </is>
      </c>
      <c r="F412" s="2" t="inlineStr">
        <is>
          <t>Brisbane</t>
        </is>
      </c>
      <c r="G412" s="2" t="inlineStr">
        <is>
          <t>Instagram</t>
        </is>
      </c>
      <c r="H412" s="4" t="inlineStr">
        <is>
          <t>https://www.instagram.com/deathbymullet_barbershop</t>
        </is>
      </c>
      <c r="I412" s="4" t="inlineStr">
        <is>
          <t>https://www.facebook.com/deathbymullet</t>
        </is>
      </c>
      <c r="J412" s="2" t="inlineStr">
        <is>
          <t>+61 403 890 342</t>
        </is>
      </c>
      <c r="K412" s="4" t="inlineStr">
        <is>
          <t>https://www.deathbymulletbarbershop.au/</t>
        </is>
      </c>
      <c r="L412" s="2" t="inlineStr">
        <is>
          <t>website address not working (check the business is still open)</t>
        </is>
      </c>
      <c r="M412" s="2" t="inlineStr">
        <is>
          <t>Hi Death By Mullet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2" s="4" t="inlineStr">
        <is>
          <t>Open map</t>
        </is>
      </c>
      <c r="O412" s="2" t="inlineStr">
        <is>
          <t>Not contacted</t>
        </is>
      </c>
      <c r="P412" s="2" t="inlineStr"/>
      <c r="Q412" s="2" t="inlineStr"/>
      <c r="R412" s="2" t="inlineStr"/>
      <c r="S412" s="2" t="inlineStr"/>
    </row>
    <row r="413">
      <c r="A413" s="2" t="n">
        <v>412</v>
      </c>
      <c r="B413" s="6" t="inlineStr">
        <is>
          <t>MEDIUM</t>
        </is>
      </c>
      <c r="C413" s="2" t="inlineStr">
        <is>
          <t>Weak website</t>
        </is>
      </c>
      <c r="D413" s="2" t="inlineStr">
        <is>
          <t>Fresh Hair</t>
        </is>
      </c>
      <c r="E413" s="2" t="inlineStr">
        <is>
          <t>barber or hairdresser</t>
        </is>
      </c>
      <c r="F413" s="2" t="inlineStr">
        <is>
          <t>Brisbane</t>
        </is>
      </c>
      <c r="G413" s="2" t="inlineStr">
        <is>
          <t>Instagram</t>
        </is>
      </c>
      <c r="H413" s="4" t="inlineStr">
        <is>
          <t>https://www.instagram.com/freshhair__</t>
        </is>
      </c>
      <c r="I413" s="4" t="inlineStr">
        <is>
          <t>https://www.facebook.com/freshhairyeronga</t>
        </is>
      </c>
      <c r="J413" s="2" t="inlineStr"/>
      <c r="K413" s="4" t="inlineStr">
        <is>
          <t>https://www.freshhair.com.au/</t>
        </is>
      </c>
      <c r="L413" s="2" t="inlineStr">
        <is>
          <t>missing meta description</t>
        </is>
      </c>
      <c r="M413" s="2" t="inlineStr">
        <is>
          <t>Hi Fresh Hair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3" s="4" t="inlineStr">
        <is>
          <t>Open map</t>
        </is>
      </c>
      <c r="O413" s="2" t="inlineStr">
        <is>
          <t>Not contacted</t>
        </is>
      </c>
      <c r="P413" s="2" t="inlineStr"/>
      <c r="Q413" s="2" t="inlineStr"/>
      <c r="R413" s="2" t="inlineStr"/>
      <c r="S413" s="2" t="inlineStr"/>
    </row>
    <row r="414">
      <c r="A414" s="2" t="n">
        <v>413</v>
      </c>
      <c r="B414" s="6" t="inlineStr">
        <is>
          <t>MEDIUM</t>
        </is>
      </c>
      <c r="C414" s="2" t="inlineStr">
        <is>
          <t>Weak website</t>
        </is>
      </c>
      <c r="D414" s="2" t="inlineStr">
        <is>
          <t>Glow, The Salon</t>
        </is>
      </c>
      <c r="E414" s="2" t="inlineStr">
        <is>
          <t>barber or hairdresser</t>
        </is>
      </c>
      <c r="F414" s="2" t="inlineStr">
        <is>
          <t>Brisbane</t>
        </is>
      </c>
      <c r="G414" s="2" t="inlineStr">
        <is>
          <t>Facebook</t>
        </is>
      </c>
      <c r="H414" s="2" t="inlineStr"/>
      <c r="I414" s="4" t="inlineStr">
        <is>
          <t>https://www.facebook.com/glowthesalon</t>
        </is>
      </c>
      <c r="J414" s="2" t="inlineStr">
        <is>
          <t>+61 481 304 908</t>
        </is>
      </c>
      <c r="K414" s="4" t="inlineStr">
        <is>
          <t>https://glowthesalon.com.au/</t>
        </is>
      </c>
      <c r="L414" s="2" t="inlineStr">
        <is>
          <t>website address not working (check the business is still open)</t>
        </is>
      </c>
      <c r="M414" s="2" t="inlineStr">
        <is>
          <t>Hi Glow, The Salon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4" s="4" t="inlineStr">
        <is>
          <t>Open map</t>
        </is>
      </c>
      <c r="O414" s="2" t="inlineStr">
        <is>
          <t>Not contacted</t>
        </is>
      </c>
      <c r="P414" s="2" t="inlineStr"/>
      <c r="Q414" s="2" t="inlineStr"/>
      <c r="R414" s="2" t="inlineStr"/>
      <c r="S414" s="2" t="inlineStr"/>
    </row>
    <row r="415">
      <c r="A415" s="2" t="n">
        <v>414</v>
      </c>
      <c r="B415" s="6" t="inlineStr">
        <is>
          <t>MEDIUM</t>
        </is>
      </c>
      <c r="C415" s="2" t="inlineStr">
        <is>
          <t>Weak website</t>
        </is>
      </c>
      <c r="D415" s="2" t="inlineStr">
        <is>
          <t>Ingeborg Hair</t>
        </is>
      </c>
      <c r="E415" s="2" t="inlineStr">
        <is>
          <t>barber or hairdresser</t>
        </is>
      </c>
      <c r="F415" s="2" t="inlineStr">
        <is>
          <t>Brisbane</t>
        </is>
      </c>
      <c r="G415" s="2" t="inlineStr">
        <is>
          <t>Facebook</t>
        </is>
      </c>
      <c r="H415" s="2" t="inlineStr"/>
      <c r="I415" s="4" t="inlineStr">
        <is>
          <t>https://www.facebook.com/pages/Ingeborg-Hair/174250142617375</t>
        </is>
      </c>
      <c r="J415" s="2" t="inlineStr">
        <is>
          <t>+61 7 3902 1228</t>
        </is>
      </c>
      <c r="K415" s="4" t="inlineStr">
        <is>
          <t>https://www.ingeborghair.com.au/</t>
        </is>
      </c>
      <c r="L415" s="2" t="inlineStr">
        <is>
          <t>slow to load (3.0s)</t>
        </is>
      </c>
      <c r="M415" s="2" t="inlineStr">
        <is>
          <t>Hi Ingeborg Hair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15" s="4" t="inlineStr">
        <is>
          <t>Open map</t>
        </is>
      </c>
      <c r="O415" s="2" t="inlineStr">
        <is>
          <t>Not contacted</t>
        </is>
      </c>
      <c r="P415" s="2" t="inlineStr"/>
      <c r="Q415" s="2" t="inlineStr"/>
      <c r="R415" s="2" t="inlineStr"/>
      <c r="S415" s="2" t="inlineStr"/>
    </row>
    <row r="416">
      <c r="A416" s="2" t="n">
        <v>415</v>
      </c>
      <c r="B416" s="6" t="inlineStr">
        <is>
          <t>MEDIUM</t>
        </is>
      </c>
      <c r="C416" s="2" t="inlineStr">
        <is>
          <t>Weak website</t>
        </is>
      </c>
      <c r="D416" s="2" t="inlineStr">
        <is>
          <t>Iris &amp; Ivy</t>
        </is>
      </c>
      <c r="E416" s="2" t="inlineStr">
        <is>
          <t>barber or hairdresser</t>
        </is>
      </c>
      <c r="F416" s="2" t="inlineStr">
        <is>
          <t>Brisbane</t>
        </is>
      </c>
      <c r="G416" s="2" t="inlineStr">
        <is>
          <t>Instagram</t>
        </is>
      </c>
      <c r="H416" s="4" t="inlineStr">
        <is>
          <t>https://www.instagram.com/iris_and_ivy_kenmore</t>
        </is>
      </c>
      <c r="I416" s="4" t="inlineStr">
        <is>
          <t>https://www.facebook.com/irisandivy2016</t>
        </is>
      </c>
      <c r="J416" s="2" t="inlineStr"/>
      <c r="K416" s="4" t="inlineStr">
        <is>
          <t>https://irisivyhair.com</t>
        </is>
      </c>
      <c r="L416" s="2" t="inlineStr">
        <is>
          <t>slow to load (5.4s)</t>
        </is>
      </c>
      <c r="M416" s="2" t="inlineStr">
        <is>
          <t>Hi Iris &amp; Ivy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16" s="4" t="inlineStr">
        <is>
          <t>Open map</t>
        </is>
      </c>
      <c r="O416" s="2" t="inlineStr">
        <is>
          <t>Not contacted</t>
        </is>
      </c>
      <c r="P416" s="2" t="inlineStr"/>
      <c r="Q416" s="2" t="inlineStr"/>
      <c r="R416" s="2" t="inlineStr"/>
      <c r="S416" s="2" t="inlineStr"/>
    </row>
    <row r="417">
      <c r="A417" s="2" t="n">
        <v>416</v>
      </c>
      <c r="B417" s="6" t="inlineStr">
        <is>
          <t>MEDIUM</t>
        </is>
      </c>
      <c r="C417" s="2" t="inlineStr">
        <is>
          <t>Weak website</t>
        </is>
      </c>
      <c r="D417" s="2" t="inlineStr">
        <is>
          <t>Mac + Lulu Studio</t>
        </is>
      </c>
      <c r="E417" s="2" t="inlineStr">
        <is>
          <t>barber or hairdresser</t>
        </is>
      </c>
      <c r="F417" s="2" t="inlineStr">
        <is>
          <t>Brisbane</t>
        </is>
      </c>
      <c r="G417" s="2" t="inlineStr">
        <is>
          <t>Instagram</t>
        </is>
      </c>
      <c r="H417" s="4" t="inlineStr">
        <is>
          <t>https://www.instagram.com/salon2brisbane</t>
        </is>
      </c>
      <c r="I417" s="4" t="inlineStr">
        <is>
          <t>https://www.facebook.com/salon2.com.au?mibextid=wwXIfr&amp;rdid=CnTpoi6ZSxSGPJYe&amp;share_url=https%3A%2F%2Fwww.facebook.com%2Fshare%2F14z2mwVecAU%2F%3Fmibextid%3DwwXIfr#</t>
        </is>
      </c>
      <c r="J417" s="2" t="inlineStr">
        <is>
          <t>+61 7 3099 0888</t>
        </is>
      </c>
      <c r="K417" s="4" t="inlineStr">
        <is>
          <t>https://www.salon2.com.au/</t>
        </is>
      </c>
      <c r="L417" s="2" t="inlineStr">
        <is>
          <t>missing meta description; slow to load (4.5s)</t>
        </is>
      </c>
      <c r="M417" s="2" t="inlineStr">
        <is>
          <t>Hi Mac + Lulu Studio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17" s="4" t="inlineStr">
        <is>
          <t>Open map</t>
        </is>
      </c>
      <c r="O417" s="2" t="inlineStr">
        <is>
          <t>Not contacted</t>
        </is>
      </c>
      <c r="P417" s="2" t="inlineStr"/>
      <c r="Q417" s="2" t="inlineStr"/>
      <c r="R417" s="2" t="inlineStr"/>
      <c r="S417" s="2" t="inlineStr"/>
    </row>
    <row r="418">
      <c r="A418" s="2" t="n">
        <v>417</v>
      </c>
      <c r="B418" s="6" t="inlineStr">
        <is>
          <t>MEDIUM</t>
        </is>
      </c>
      <c r="C418" s="2" t="inlineStr">
        <is>
          <t>Weak website</t>
        </is>
      </c>
      <c r="D418" s="2" t="inlineStr">
        <is>
          <t>Paloma Roan</t>
        </is>
      </c>
      <c r="E418" s="2" t="inlineStr">
        <is>
          <t>barber or hairdresser</t>
        </is>
      </c>
      <c r="F418" s="2" t="inlineStr">
        <is>
          <t>Brisbane</t>
        </is>
      </c>
      <c r="G418" s="2" t="inlineStr">
        <is>
          <t>Instagram</t>
        </is>
      </c>
      <c r="H418" s="4" t="inlineStr">
        <is>
          <t>https://www.instagram.com/palomaroan_</t>
        </is>
      </c>
      <c r="I418" s="4" t="inlineStr">
        <is>
          <t>https://www.facebook.com/groups/1269818730340575</t>
        </is>
      </c>
      <c r="J418" s="2" t="inlineStr"/>
      <c r="K418" s="4" t="inlineStr">
        <is>
          <t>https://www.palomaroan.com/</t>
        </is>
      </c>
      <c r="L418" s="2" t="inlineStr">
        <is>
          <t>looks outdated (copyright 2023)</t>
        </is>
      </c>
      <c r="M418" s="2" t="inlineStr">
        <is>
          <t>Hi Paloma Roan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8" s="4" t="inlineStr">
        <is>
          <t>Open map</t>
        </is>
      </c>
      <c r="O418" s="2" t="inlineStr">
        <is>
          <t>Not contacted</t>
        </is>
      </c>
      <c r="P418" s="2" t="inlineStr"/>
      <c r="Q418" s="2" t="inlineStr"/>
      <c r="R418" s="2" t="inlineStr"/>
      <c r="S418" s="2" t="inlineStr"/>
    </row>
    <row r="419">
      <c r="A419" s="2" t="n">
        <v>418</v>
      </c>
      <c r="B419" s="6" t="inlineStr">
        <is>
          <t>MEDIUM</t>
        </is>
      </c>
      <c r="C419" s="2" t="inlineStr">
        <is>
          <t>Weak website</t>
        </is>
      </c>
      <c r="D419" s="2" t="inlineStr">
        <is>
          <t>Purely Curls</t>
        </is>
      </c>
      <c r="E419" s="2" t="inlineStr">
        <is>
          <t>barber or hairdresser</t>
        </is>
      </c>
      <c r="F419" s="2" t="inlineStr">
        <is>
          <t>Brisbane</t>
        </is>
      </c>
      <c r="G419" s="2" t="inlineStr">
        <is>
          <t>Instagram</t>
        </is>
      </c>
      <c r="H419" s="4" t="inlineStr">
        <is>
          <t>https://www.instagram.com/purelycurls</t>
        </is>
      </c>
      <c r="I419" s="4" t="inlineStr">
        <is>
          <t>https://www.facebook.com/purelycurls</t>
        </is>
      </c>
      <c r="J419" s="2" t="inlineStr">
        <is>
          <t>+61 416 125 529</t>
        </is>
      </c>
      <c r="K419" s="4" t="inlineStr">
        <is>
          <t>https://purelycurlssalon.com/</t>
        </is>
      </c>
      <c r="L419" s="2" t="inlineStr">
        <is>
          <t>missing meta description; slow to load (4.0s)</t>
        </is>
      </c>
      <c r="M419" s="2" t="inlineStr">
        <is>
          <t>Hi Purely Curls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19" s="4" t="inlineStr">
        <is>
          <t>Open map</t>
        </is>
      </c>
      <c r="O419" s="2" t="inlineStr">
        <is>
          <t>Not contacted</t>
        </is>
      </c>
      <c r="P419" s="2" t="inlineStr"/>
      <c r="Q419" s="2" t="inlineStr"/>
      <c r="R419" s="2" t="inlineStr"/>
      <c r="S419" s="2" t="inlineStr"/>
    </row>
    <row r="420">
      <c r="A420" s="2" t="n">
        <v>419</v>
      </c>
      <c r="B420" s="6" t="inlineStr">
        <is>
          <t>MEDIUM</t>
        </is>
      </c>
      <c r="C420" s="2" t="inlineStr">
        <is>
          <t>Weak website</t>
        </is>
      </c>
      <c r="D420" s="2" t="inlineStr">
        <is>
          <t>Short and Sweet Barbershop</t>
        </is>
      </c>
      <c r="E420" s="2" t="inlineStr">
        <is>
          <t>barber or hairdresser</t>
        </is>
      </c>
      <c r="F420" s="2" t="inlineStr">
        <is>
          <t>Brisbane</t>
        </is>
      </c>
      <c r="G420" s="2" t="inlineStr">
        <is>
          <t>Facebook</t>
        </is>
      </c>
      <c r="H420" s="2" t="inlineStr"/>
      <c r="I420" s="4" t="inlineStr">
        <is>
          <t>https://www.facebook.com/ShortandSweetBarbershop</t>
        </is>
      </c>
      <c r="J420" s="2" t="inlineStr"/>
      <c r="K420" s="4" t="inlineStr">
        <is>
          <t>https://www.shortandsweetbarbershop.com/</t>
        </is>
      </c>
      <c r="L420" s="2" t="inlineStr">
        <is>
          <t>missing meta description</t>
        </is>
      </c>
      <c r="M420" s="2" t="inlineStr">
        <is>
          <t>Hi Short and Sweet Barbershop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20" s="4" t="inlineStr">
        <is>
          <t>Open map</t>
        </is>
      </c>
      <c r="O420" s="2" t="inlineStr">
        <is>
          <t>Not contacted</t>
        </is>
      </c>
      <c r="P420" s="2" t="inlineStr"/>
      <c r="Q420" s="2" t="inlineStr"/>
      <c r="R420" s="2" t="inlineStr"/>
      <c r="S420" s="2" t="inlineStr"/>
    </row>
    <row r="421">
      <c r="A421" s="2" t="n">
        <v>420</v>
      </c>
      <c r="B421" s="6" t="inlineStr">
        <is>
          <t>MEDIUM</t>
        </is>
      </c>
      <c r="C421" s="2" t="inlineStr">
        <is>
          <t>Weak website</t>
        </is>
      </c>
      <c r="D421" s="2" t="inlineStr">
        <is>
          <t>Twisted Scissors Hair Design</t>
        </is>
      </c>
      <c r="E421" s="2" t="inlineStr">
        <is>
          <t>barber or hairdresser</t>
        </is>
      </c>
      <c r="F421" s="2" t="inlineStr">
        <is>
          <t>Brisbane</t>
        </is>
      </c>
      <c r="G421" s="2" t="inlineStr">
        <is>
          <t>Facebook</t>
        </is>
      </c>
      <c r="H421" s="2" t="inlineStr"/>
      <c r="I421" s="4" t="inlineStr">
        <is>
          <t>https://www.facebook.com/Twisted-Scissors-Hair-Design-101156245096921</t>
        </is>
      </c>
      <c r="J421" s="2" t="inlineStr">
        <is>
          <t>+61 481 568 929</t>
        </is>
      </c>
      <c r="K421" s="4" t="inlineStr">
        <is>
          <t>https://www.twistedscissors.com.au</t>
        </is>
      </c>
      <c r="L421" s="2" t="inlineStr">
        <is>
          <t>slow to load (3.3s)</t>
        </is>
      </c>
      <c r="M421" s="2" t="inlineStr">
        <is>
          <t>Hi Twisted Scissors Hair Design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21" s="4" t="inlineStr">
        <is>
          <t>Open map</t>
        </is>
      </c>
      <c r="O421" s="2" t="inlineStr">
        <is>
          <t>Not contacted</t>
        </is>
      </c>
      <c r="P421" s="2" t="inlineStr"/>
      <c r="Q421" s="2" t="inlineStr"/>
      <c r="R421" s="2" t="inlineStr"/>
      <c r="S421" s="2" t="inlineStr"/>
    </row>
    <row r="422">
      <c r="A422" s="2" t="n">
        <v>421</v>
      </c>
      <c r="B422" s="6" t="inlineStr">
        <is>
          <t>MEDIUM</t>
        </is>
      </c>
      <c r="C422" s="2" t="inlineStr">
        <is>
          <t>Weak website</t>
        </is>
      </c>
      <c r="D422" s="2" t="inlineStr">
        <is>
          <t>Urban Hair Loft</t>
        </is>
      </c>
      <c r="E422" s="2" t="inlineStr">
        <is>
          <t>barber or hairdresser</t>
        </is>
      </c>
      <c r="F422" s="2" t="inlineStr">
        <is>
          <t>Brisbane</t>
        </is>
      </c>
      <c r="G422" s="2" t="inlineStr">
        <is>
          <t>Instagram</t>
        </is>
      </c>
      <c r="H422" s="4" t="inlineStr">
        <is>
          <t>https://www.instagram.com/urbanhairloft</t>
        </is>
      </c>
      <c r="I422" s="2" t="inlineStr"/>
      <c r="J422" s="2" t="inlineStr">
        <is>
          <t>+61 7 3210 2789</t>
        </is>
      </c>
      <c r="K422" s="4" t="inlineStr">
        <is>
          <t>https://www.urbanhairloft.com.au/</t>
        </is>
      </c>
      <c r="L422" s="2" t="inlineStr">
        <is>
          <t>looks outdated (copyright 2023)</t>
        </is>
      </c>
      <c r="M422" s="2" t="inlineStr">
        <is>
          <t>Hi Urban Hair Loft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22" s="4" t="inlineStr">
        <is>
          <t>Open map</t>
        </is>
      </c>
      <c r="O422" s="2" t="inlineStr">
        <is>
          <t>Not contacted</t>
        </is>
      </c>
      <c r="P422" s="2" t="inlineStr"/>
      <c r="Q422" s="2" t="inlineStr"/>
      <c r="R422" s="2" t="inlineStr"/>
      <c r="S422" s="2" t="inlineStr"/>
    </row>
    <row r="423">
      <c r="A423" s="2" t="n">
        <v>422</v>
      </c>
      <c r="B423" s="6" t="inlineStr">
        <is>
          <t>MEDIUM</t>
        </is>
      </c>
      <c r="C423" s="2" t="inlineStr">
        <is>
          <t>Weak website</t>
        </is>
      </c>
      <c r="D423" s="2" t="inlineStr">
        <is>
          <t>EDIT Laser</t>
        </is>
      </c>
      <c r="E423" s="2" t="inlineStr">
        <is>
          <t>beauty salon</t>
        </is>
      </c>
      <c r="F423" s="2" t="inlineStr">
        <is>
          <t>Brisbane</t>
        </is>
      </c>
      <c r="G423" s="2" t="inlineStr">
        <is>
          <t>Instagram</t>
        </is>
      </c>
      <c r="H423" s="4" t="inlineStr">
        <is>
          <t>https://www.instagram.com/edit_laser</t>
        </is>
      </c>
      <c r="I423" s="4" t="inlineStr">
        <is>
          <t>https://www.facebook.com/tattooremovalbrisbane</t>
        </is>
      </c>
      <c r="J423" s="2" t="inlineStr">
        <is>
          <t>+61 417 894 606</t>
        </is>
      </c>
      <c r="K423" s="4" t="inlineStr">
        <is>
          <t>https://editlaser.com.au/</t>
        </is>
      </c>
      <c r="L423" s="2" t="inlineStr">
        <is>
          <t>slow to load (15.2s)</t>
        </is>
      </c>
      <c r="M423" s="2" t="inlineStr">
        <is>
          <t>Hi EDIT Laser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23" s="4" t="inlineStr">
        <is>
          <t>Open map</t>
        </is>
      </c>
      <c r="O423" s="2" t="inlineStr">
        <is>
          <t>Not contacted</t>
        </is>
      </c>
      <c r="P423" s="2" t="inlineStr"/>
      <c r="Q423" s="2" t="inlineStr"/>
      <c r="R423" s="2" t="inlineStr"/>
      <c r="S423" s="2" t="inlineStr"/>
    </row>
    <row r="424">
      <c r="A424" s="2" t="n">
        <v>423</v>
      </c>
      <c r="B424" s="6" t="inlineStr">
        <is>
          <t>MEDIUM</t>
        </is>
      </c>
      <c r="C424" s="2" t="inlineStr">
        <is>
          <t>Weak website</t>
        </is>
      </c>
      <c r="D424" s="2" t="inlineStr">
        <is>
          <t>Hypoxi Body Boutique Bulimba Pty Ltd</t>
        </is>
      </c>
      <c r="E424" s="2" t="inlineStr">
        <is>
          <t>beauty salon</t>
        </is>
      </c>
      <c r="F424" s="2" t="inlineStr">
        <is>
          <t>Brisbane</t>
        </is>
      </c>
      <c r="G424" s="2" t="inlineStr">
        <is>
          <t>Instagram</t>
        </is>
      </c>
      <c r="H424" s="4" t="inlineStr">
        <is>
          <t>https://instagram.com/hypoxiaus</t>
        </is>
      </c>
      <c r="I424" s="4" t="inlineStr">
        <is>
          <t>https://www.facebook.com/HYPOXIAustralia</t>
        </is>
      </c>
      <c r="J424" s="2" t="inlineStr">
        <is>
          <t>+61 7 3161 7141</t>
        </is>
      </c>
      <c r="K424" s="4" t="inlineStr">
        <is>
          <t>https://www.hypoxi.com.au/studio/qld-bulimba/</t>
        </is>
      </c>
      <c r="L424" s="2" t="inlineStr">
        <is>
          <t>missing meta description; slow to load (7.5s)</t>
        </is>
      </c>
      <c r="M424" s="2" t="inlineStr">
        <is>
          <t>Hi Hypoxi Body Boutique Bulimba Pty Ltd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24" s="4" t="inlineStr">
        <is>
          <t>Open map</t>
        </is>
      </c>
      <c r="O424" s="2" t="inlineStr">
        <is>
          <t>Not contacted</t>
        </is>
      </c>
      <c r="P424" s="2" t="inlineStr"/>
      <c r="Q424" s="2" t="inlineStr"/>
      <c r="R424" s="2" t="inlineStr"/>
      <c r="S424" s="2" t="inlineStr"/>
    </row>
    <row r="425">
      <c r="A425" s="2" t="n">
        <v>424</v>
      </c>
      <c r="B425" s="6" t="inlineStr">
        <is>
          <t>MEDIUM</t>
        </is>
      </c>
      <c r="C425" s="2" t="inlineStr">
        <is>
          <t>Weak website</t>
        </is>
      </c>
      <c r="D425" s="2" t="inlineStr">
        <is>
          <t>Majestic Skin Room</t>
        </is>
      </c>
      <c r="E425" s="2" t="inlineStr">
        <is>
          <t>beauty salon</t>
        </is>
      </c>
      <c r="F425" s="2" t="inlineStr">
        <is>
          <t>Brisbane</t>
        </is>
      </c>
      <c r="G425" s="2" t="inlineStr">
        <is>
          <t>Instagram</t>
        </is>
      </c>
      <c r="H425" s="4" t="inlineStr">
        <is>
          <t>https://instagram.com/majesticskin_room</t>
        </is>
      </c>
      <c r="I425" s="4" t="inlineStr">
        <is>
          <t>https://www.facebook.com/majesticskinroom/</t>
        </is>
      </c>
      <c r="J425" s="2" t="inlineStr">
        <is>
          <t>+61 420 434 162</t>
        </is>
      </c>
      <c r="K425" s="4" t="inlineStr">
        <is>
          <t>https://majesticskinroom.com.au/</t>
        </is>
      </c>
      <c r="L425" s="2" t="inlineStr">
        <is>
          <t>missing meta description; slow to load (3.5s)</t>
        </is>
      </c>
      <c r="M425" s="2" t="inlineStr">
        <is>
          <t>Hi Majestic Skin Room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25" s="4" t="inlineStr">
        <is>
          <t>Open map</t>
        </is>
      </c>
      <c r="O425" s="2" t="inlineStr">
        <is>
          <t>Not contacted</t>
        </is>
      </c>
      <c r="P425" s="2" t="inlineStr"/>
      <c r="Q425" s="2" t="inlineStr"/>
      <c r="R425" s="2" t="inlineStr"/>
      <c r="S425" s="2" t="inlineStr"/>
    </row>
    <row r="426">
      <c r="A426" s="2" t="n">
        <v>425</v>
      </c>
      <c r="B426" s="6" t="inlineStr">
        <is>
          <t>MEDIUM</t>
        </is>
      </c>
      <c r="C426" s="2" t="inlineStr">
        <is>
          <t>Weak website</t>
        </is>
      </c>
      <c r="D426" s="2" t="inlineStr">
        <is>
          <t>Biffi</t>
        </is>
      </c>
      <c r="E426" s="2" t="inlineStr">
        <is>
          <t>boutique</t>
        </is>
      </c>
      <c r="F426" s="2" t="inlineStr">
        <is>
          <t>Brisbane</t>
        </is>
      </c>
      <c r="G426" s="2" t="inlineStr">
        <is>
          <t>Instagram</t>
        </is>
      </c>
      <c r="H426" s="4" t="inlineStr">
        <is>
          <t>https://www.instagram.com/biffi_australia</t>
        </is>
      </c>
      <c r="I426" s="2" t="inlineStr"/>
      <c r="J426" s="2" t="inlineStr">
        <is>
          <t>+61 7 3216 1122</t>
        </is>
      </c>
      <c r="K426" s="4" t="inlineStr">
        <is>
          <t>https://biffi.com.au/</t>
        </is>
      </c>
      <c r="L426" s="2" t="inlineStr">
        <is>
          <t>looks outdated (copyright 2021); missing meta description</t>
        </is>
      </c>
      <c r="M426" s="2" t="inlineStr">
        <is>
          <t>Hi Biffi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26" s="4" t="inlineStr">
        <is>
          <t>Open map</t>
        </is>
      </c>
      <c r="O426" s="2" t="inlineStr">
        <is>
          <t>Not contacted</t>
        </is>
      </c>
      <c r="P426" s="2" t="inlineStr"/>
      <c r="Q426" s="2" t="inlineStr"/>
      <c r="R426" s="2" t="inlineStr"/>
      <c r="S426" s="2" t="inlineStr"/>
    </row>
    <row r="427">
      <c r="A427" s="2" t="n">
        <v>426</v>
      </c>
      <c r="B427" s="6" t="inlineStr">
        <is>
          <t>MEDIUM</t>
        </is>
      </c>
      <c r="C427" s="2" t="inlineStr">
        <is>
          <t>Weak website</t>
        </is>
      </c>
      <c r="D427" s="2" t="inlineStr">
        <is>
          <t>Embroidery Queen</t>
        </is>
      </c>
      <c r="E427" s="2" t="inlineStr">
        <is>
          <t>boutique</t>
        </is>
      </c>
      <c r="F427" s="2" t="inlineStr">
        <is>
          <t>Brisbane</t>
        </is>
      </c>
      <c r="G427" s="2" t="inlineStr">
        <is>
          <t>Instagram</t>
        </is>
      </c>
      <c r="H427" s="4" t="inlineStr">
        <is>
          <t>https://www.instagram.com/embroideryqueenau</t>
        </is>
      </c>
      <c r="I427" s="4" t="inlineStr">
        <is>
          <t>https://www.facebook.com/EmbroideryQueens</t>
        </is>
      </c>
      <c r="J427" s="2" t="inlineStr">
        <is>
          <t>+61 422 597 294</t>
        </is>
      </c>
      <c r="K427" s="4" t="inlineStr">
        <is>
          <t>http://www.embroideryqueen.com.au/</t>
        </is>
      </c>
      <c r="L427" s="2" t="inlineStr">
        <is>
          <t>no HTTPS (browser shows 'Not secure'); not mobile-friendly (no viewport tag)</t>
        </is>
      </c>
      <c r="M427" s="2" t="inlineStr">
        <is>
          <t>Hi Embroidery Queen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427" s="4" t="inlineStr">
        <is>
          <t>Open map</t>
        </is>
      </c>
      <c r="O427" s="2" t="inlineStr">
        <is>
          <t>Not contacted</t>
        </is>
      </c>
      <c r="P427" s="2" t="inlineStr"/>
      <c r="Q427" s="2" t="inlineStr"/>
      <c r="R427" s="2" t="inlineStr"/>
      <c r="S427" s="2" t="inlineStr"/>
    </row>
    <row r="428">
      <c r="A428" s="2" t="n">
        <v>427</v>
      </c>
      <c r="B428" s="6" t="inlineStr">
        <is>
          <t>MEDIUM</t>
        </is>
      </c>
      <c r="C428" s="2" t="inlineStr">
        <is>
          <t>Weak website</t>
        </is>
      </c>
      <c r="D428" s="2" t="inlineStr">
        <is>
          <t>MargK Boutique</t>
        </is>
      </c>
      <c r="E428" s="2" t="inlineStr">
        <is>
          <t>boutique</t>
        </is>
      </c>
      <c r="F428" s="2" t="inlineStr">
        <is>
          <t>Brisbane</t>
        </is>
      </c>
      <c r="G428" s="2" t="inlineStr">
        <is>
          <t>Instagram</t>
        </is>
      </c>
      <c r="H428" s="4" t="inlineStr">
        <is>
          <t>https://www.instagram.com/margkboutique_x</t>
        </is>
      </c>
      <c r="I428" s="2" t="inlineStr"/>
      <c r="J428" s="2" t="inlineStr"/>
      <c r="K428" s="4" t="inlineStr">
        <is>
          <t>https://margkkenmore.com.au</t>
        </is>
      </c>
      <c r="L428" s="2" t="inlineStr">
        <is>
          <t>looks outdated (copyright 2018)</t>
        </is>
      </c>
      <c r="M428" s="2" t="inlineStr">
        <is>
          <t>Hi MargK Boutique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28" s="4" t="inlineStr">
        <is>
          <t>Open map</t>
        </is>
      </c>
      <c r="O428" s="2" t="inlineStr">
        <is>
          <t>Not contacted</t>
        </is>
      </c>
      <c r="P428" s="2" t="inlineStr"/>
      <c r="Q428" s="2" t="inlineStr"/>
      <c r="R428" s="2" t="inlineStr"/>
      <c r="S428" s="2" t="inlineStr"/>
    </row>
    <row r="429">
      <c r="A429" s="2" t="n">
        <v>428</v>
      </c>
      <c r="B429" s="6" t="inlineStr">
        <is>
          <t>MEDIUM</t>
        </is>
      </c>
      <c r="C429" s="2" t="inlineStr">
        <is>
          <t>Weak website</t>
        </is>
      </c>
      <c r="D429" s="2" t="inlineStr">
        <is>
          <t>Williams</t>
        </is>
      </c>
      <c r="E429" s="2" t="inlineStr">
        <is>
          <t>boutique</t>
        </is>
      </c>
      <c r="F429" s="2" t="inlineStr">
        <is>
          <t>Brisbane</t>
        </is>
      </c>
      <c r="G429" s="2" t="inlineStr">
        <is>
          <t>Facebook</t>
        </is>
      </c>
      <c r="H429" s="2" t="inlineStr"/>
      <c r="I429" s="4" t="inlineStr">
        <is>
          <t>https://www.facebook.com/WilliamsShoes/</t>
        </is>
      </c>
      <c r="J429" s="2" t="inlineStr">
        <is>
          <t>+61 7 3454 1587</t>
        </is>
      </c>
      <c r="K429" s="4" t="inlineStr">
        <is>
          <t>https://www.williamsshoes.com.au/</t>
        </is>
      </c>
      <c r="L429" s="2" t="inlineStr">
        <is>
          <t>could not check (site refused automated visit, HTTP 403)</t>
        </is>
      </c>
      <c r="M429" s="2" t="inlineStr">
        <is>
          <t>Hi Williams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29" s="4" t="inlineStr">
        <is>
          <t>Open map</t>
        </is>
      </c>
      <c r="O429" s="2" t="inlineStr">
        <is>
          <t>Not contacted</t>
        </is>
      </c>
      <c r="P429" s="2" t="inlineStr"/>
      <c r="Q429" s="2" t="inlineStr"/>
      <c r="R429" s="2" t="inlineStr"/>
      <c r="S429" s="2" t="inlineStr"/>
    </row>
    <row r="430">
      <c r="A430" s="2" t="n">
        <v>429</v>
      </c>
      <c r="B430" s="6" t="inlineStr">
        <is>
          <t>MEDIUM</t>
        </is>
      </c>
      <c r="C430" s="2" t="inlineStr">
        <is>
          <t>Weak website</t>
        </is>
      </c>
      <c r="D430" s="2" t="inlineStr">
        <is>
          <t>40 West Cafe</t>
        </is>
      </c>
      <c r="E430" s="2" t="inlineStr">
        <is>
          <t>cafe</t>
        </is>
      </c>
      <c r="F430" s="2" t="inlineStr">
        <is>
          <t>Brisbane</t>
        </is>
      </c>
      <c r="G430" s="2" t="inlineStr">
        <is>
          <t>Facebook</t>
        </is>
      </c>
      <c r="H430" s="2" t="inlineStr"/>
      <c r="I430" s="4" t="inlineStr">
        <is>
          <t>https://www.facebook.com/fortywestsouthripley/</t>
        </is>
      </c>
      <c r="J430" s="2" t="inlineStr">
        <is>
          <t>+61 478 764 257</t>
        </is>
      </c>
      <c r="K430" s="4" t="inlineStr">
        <is>
          <t>https://www.fortywestcafe.com.au/</t>
        </is>
      </c>
      <c r="L430" s="2" t="inlineStr">
        <is>
          <t>website address not working (check the business is still open)</t>
        </is>
      </c>
      <c r="M430" s="2" t="inlineStr">
        <is>
          <t>Hi 40 West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0" s="4" t="inlineStr">
        <is>
          <t>Open map</t>
        </is>
      </c>
      <c r="O430" s="2" t="inlineStr">
        <is>
          <t>Not contacted</t>
        </is>
      </c>
      <c r="P430" s="2" t="inlineStr"/>
      <c r="Q430" s="2" t="inlineStr"/>
      <c r="R430" s="2" t="inlineStr"/>
      <c r="S430" s="2" t="inlineStr"/>
    </row>
    <row r="431">
      <c r="A431" s="2" t="n">
        <v>430</v>
      </c>
      <c r="B431" s="6" t="inlineStr">
        <is>
          <t>MEDIUM</t>
        </is>
      </c>
      <c r="C431" s="2" t="inlineStr">
        <is>
          <t>Weak website</t>
        </is>
      </c>
      <c r="D431" s="2" t="inlineStr">
        <is>
          <t>4Brothers Expresso Cafe</t>
        </is>
      </c>
      <c r="E431" s="2" t="inlineStr">
        <is>
          <t>cafe</t>
        </is>
      </c>
      <c r="F431" s="2" t="inlineStr">
        <is>
          <t>Brisbane</t>
        </is>
      </c>
      <c r="G431" s="2" t="inlineStr">
        <is>
          <t>Facebook</t>
        </is>
      </c>
      <c r="H431" s="2" t="inlineStr"/>
      <c r="I431" s="4" t="inlineStr">
        <is>
          <t>https://www.facebook.com/4brothersexpressocafe/</t>
        </is>
      </c>
      <c r="J431" s="2" t="inlineStr">
        <is>
          <t>+61 7 3860 6493</t>
        </is>
      </c>
      <c r="K431" s="4" t="inlineStr">
        <is>
          <t>https://jqpdvuuc.dreamwp.com/</t>
        </is>
      </c>
      <c r="L431" s="2" t="inlineStr">
        <is>
          <t>website address not working (check the business is still open)</t>
        </is>
      </c>
      <c r="M431" s="2" t="inlineStr">
        <is>
          <t>Hi 4Brothers Expresso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1" s="4" t="inlineStr">
        <is>
          <t>Open map</t>
        </is>
      </c>
      <c r="O431" s="2" t="inlineStr">
        <is>
          <t>Not contacted</t>
        </is>
      </c>
      <c r="P431" s="2" t="inlineStr"/>
      <c r="Q431" s="2" t="inlineStr"/>
      <c r="R431" s="2" t="inlineStr"/>
      <c r="S431" s="2" t="inlineStr"/>
    </row>
    <row r="432">
      <c r="A432" s="2" t="n">
        <v>431</v>
      </c>
      <c r="B432" s="6" t="inlineStr">
        <is>
          <t>MEDIUM</t>
        </is>
      </c>
      <c r="C432" s="2" t="inlineStr">
        <is>
          <t>Weak website</t>
        </is>
      </c>
      <c r="D432" s="2" t="inlineStr">
        <is>
          <t>Ash+Monties Espresso Bar</t>
        </is>
      </c>
      <c r="E432" s="2" t="inlineStr">
        <is>
          <t>cafe</t>
        </is>
      </c>
      <c r="F432" s="2" t="inlineStr">
        <is>
          <t>Brisbane</t>
        </is>
      </c>
      <c r="G432" s="2" t="inlineStr">
        <is>
          <t>Instagram</t>
        </is>
      </c>
      <c r="H432" s="4" t="inlineStr">
        <is>
          <t>http://instagram.com/ashandmonties</t>
        </is>
      </c>
      <c r="I432" s="4" t="inlineStr">
        <is>
          <t>https://www.facebook.com/pages/ashmonties/1020691324611843</t>
        </is>
      </c>
      <c r="J432" s="2" t="inlineStr">
        <is>
          <t>+61 447 843 062</t>
        </is>
      </c>
      <c r="K432" s="4" t="inlineStr">
        <is>
          <t>https://www.ashandmonties.com.au/</t>
        </is>
      </c>
      <c r="L432" s="2" t="inlineStr">
        <is>
          <t>looks outdated (copyright 2015); missing meta description</t>
        </is>
      </c>
      <c r="M432" s="2" t="inlineStr">
        <is>
          <t>Hi Ash+Monties Espresso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2" s="4" t="inlineStr">
        <is>
          <t>Open map</t>
        </is>
      </c>
      <c r="O432" s="2" t="inlineStr">
        <is>
          <t>Not contacted</t>
        </is>
      </c>
      <c r="P432" s="2" t="inlineStr"/>
      <c r="Q432" s="2" t="inlineStr"/>
      <c r="R432" s="2" t="inlineStr"/>
      <c r="S432" s="2" t="inlineStr"/>
    </row>
    <row r="433">
      <c r="A433" s="2" t="n">
        <v>432</v>
      </c>
      <c r="B433" s="6" t="inlineStr">
        <is>
          <t>MEDIUM</t>
        </is>
      </c>
      <c r="C433" s="2" t="inlineStr">
        <is>
          <t>Weak website</t>
        </is>
      </c>
      <c r="D433" s="2" t="inlineStr">
        <is>
          <t>Baladi</t>
        </is>
      </c>
      <c r="E433" s="2" t="inlineStr">
        <is>
          <t>cafe</t>
        </is>
      </c>
      <c r="F433" s="2" t="inlineStr">
        <is>
          <t>Brisbane</t>
        </is>
      </c>
      <c r="G433" s="2" t="inlineStr">
        <is>
          <t>Instagram</t>
        </is>
      </c>
      <c r="H433" s="4" t="inlineStr">
        <is>
          <t>https://www.instagram.com/baladitrailer</t>
        </is>
      </c>
      <c r="I433" s="2" t="inlineStr"/>
      <c r="J433" s="2" t="inlineStr"/>
      <c r="K433" s="4" t="inlineStr">
        <is>
          <t>https://www.baladi.com.au</t>
        </is>
      </c>
      <c r="L433" s="2" t="inlineStr">
        <is>
          <t>looks outdated (copyright 2023)</t>
        </is>
      </c>
      <c r="M433" s="2" t="inlineStr">
        <is>
          <t>Hi Baladi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3" s="4" t="inlineStr">
        <is>
          <t>Open map</t>
        </is>
      </c>
      <c r="O433" s="2" t="inlineStr">
        <is>
          <t>Not contacted</t>
        </is>
      </c>
      <c r="P433" s="2" t="inlineStr"/>
      <c r="Q433" s="2" t="inlineStr"/>
      <c r="R433" s="2" t="inlineStr"/>
      <c r="S433" s="2" t="inlineStr"/>
    </row>
    <row r="434">
      <c r="A434" s="2" t="n">
        <v>433</v>
      </c>
      <c r="B434" s="6" t="inlineStr">
        <is>
          <t>MEDIUM</t>
        </is>
      </c>
      <c r="C434" s="2" t="inlineStr">
        <is>
          <t>Weak website</t>
        </is>
      </c>
      <c r="D434" s="2" t="inlineStr">
        <is>
          <t>Beyond the Brew</t>
        </is>
      </c>
      <c r="E434" s="2" t="inlineStr">
        <is>
          <t>cafe</t>
        </is>
      </c>
      <c r="F434" s="2" t="inlineStr">
        <is>
          <t>Brisbane</t>
        </is>
      </c>
      <c r="G434" s="2" t="inlineStr">
        <is>
          <t>Instagram</t>
        </is>
      </c>
      <c r="H434" s="4" t="inlineStr">
        <is>
          <t>https://www.instagram.com/beyondthebrewfitzgibbon</t>
        </is>
      </c>
      <c r="I434" s="4" t="inlineStr">
        <is>
          <t>https://www.facebook.com/BeanNLoaf</t>
        </is>
      </c>
      <c r="J434" s="2" t="inlineStr">
        <is>
          <t>+61 7 3263 2774</t>
        </is>
      </c>
      <c r="K434" s="4" t="inlineStr">
        <is>
          <t>https://beyondthebrew.com.au/</t>
        </is>
      </c>
      <c r="L434" s="2" t="inlineStr">
        <is>
          <t>looks outdated (copyright 2022)</t>
        </is>
      </c>
      <c r="M434" s="2" t="inlineStr">
        <is>
          <t>Hi Beyond the Brew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4" s="4" t="inlineStr">
        <is>
          <t>Open map</t>
        </is>
      </c>
      <c r="O434" s="2" t="inlineStr">
        <is>
          <t>Not contacted</t>
        </is>
      </c>
      <c r="P434" s="2" t="inlineStr"/>
      <c r="Q434" s="2" t="inlineStr"/>
      <c r="R434" s="2" t="inlineStr"/>
      <c r="S434" s="2" t="inlineStr"/>
    </row>
    <row r="435">
      <c r="A435" s="2" t="n">
        <v>434</v>
      </c>
      <c r="B435" s="6" t="inlineStr">
        <is>
          <t>MEDIUM</t>
        </is>
      </c>
      <c r="C435" s="2" t="inlineStr">
        <is>
          <t>Weak website</t>
        </is>
      </c>
      <c r="D435" s="2" t="inlineStr">
        <is>
          <t>Black Milk Coffee</t>
        </is>
      </c>
      <c r="E435" s="2" t="inlineStr">
        <is>
          <t>cafe</t>
        </is>
      </c>
      <c r="F435" s="2" t="inlineStr">
        <is>
          <t>Brisbane</t>
        </is>
      </c>
      <c r="G435" s="2" t="inlineStr">
        <is>
          <t>Instagram</t>
        </is>
      </c>
      <c r="H435" s="4" t="inlineStr">
        <is>
          <t>https://www.instagram.com/blackmilkcoffee</t>
        </is>
      </c>
      <c r="I435" s="4" t="inlineStr">
        <is>
          <t>https://www.facebook.com/blackmilkcoffee</t>
        </is>
      </c>
      <c r="J435" s="2" t="inlineStr"/>
      <c r="K435" s="4" t="inlineStr">
        <is>
          <t>https://www.blackmilkcoffee.com/our-locations</t>
        </is>
      </c>
      <c r="L435" s="2" t="inlineStr">
        <is>
          <t>missing meta description</t>
        </is>
      </c>
      <c r="M435" s="2" t="inlineStr">
        <is>
          <t>Hi Black Milk Coffee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5" s="4" t="inlineStr">
        <is>
          <t>Open map</t>
        </is>
      </c>
      <c r="O435" s="2" t="inlineStr">
        <is>
          <t>Not contacted</t>
        </is>
      </c>
      <c r="P435" s="2" t="inlineStr"/>
      <c r="Q435" s="2" t="inlineStr"/>
      <c r="R435" s="2" t="inlineStr"/>
      <c r="S435" s="2" t="inlineStr"/>
    </row>
    <row r="436">
      <c r="A436" s="2" t="n">
        <v>435</v>
      </c>
      <c r="B436" s="6" t="inlineStr">
        <is>
          <t>MEDIUM</t>
        </is>
      </c>
      <c r="C436" s="2" t="inlineStr">
        <is>
          <t>Weak website</t>
        </is>
      </c>
      <c r="D436" s="2" t="inlineStr">
        <is>
          <t>Coco Bliss</t>
        </is>
      </c>
      <c r="E436" s="2" t="inlineStr">
        <is>
          <t>cafe</t>
        </is>
      </c>
      <c r="F436" s="2" t="inlineStr">
        <is>
          <t>Brisbane</t>
        </is>
      </c>
      <c r="G436" s="2" t="inlineStr">
        <is>
          <t>Instagram</t>
        </is>
      </c>
      <c r="H436" s="4" t="inlineStr">
        <is>
          <t>https://www.instagram.com/cocoblisscollective</t>
        </is>
      </c>
      <c r="I436" s="4" t="inlineStr">
        <is>
          <t>https://www.facebook.com/cocoblisssuperfoodbar</t>
        </is>
      </c>
      <c r="J436" s="2" t="inlineStr"/>
      <c r="K436" s="4" t="inlineStr">
        <is>
          <t>https://www.cocobliss.com.au/</t>
        </is>
      </c>
      <c r="L436" s="2" t="inlineStr">
        <is>
          <t>looks outdated (copyright 2023); missing meta description</t>
        </is>
      </c>
      <c r="M436" s="2" t="inlineStr">
        <is>
          <t>Hi Coco Bliss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6" s="4" t="inlineStr">
        <is>
          <t>Open map</t>
        </is>
      </c>
      <c r="O436" s="2" t="inlineStr">
        <is>
          <t>Not contacted</t>
        </is>
      </c>
      <c r="P436" s="2" t="inlineStr"/>
      <c r="Q436" s="2" t="inlineStr"/>
      <c r="R436" s="2" t="inlineStr"/>
      <c r="S436" s="2" t="inlineStr"/>
    </row>
    <row r="437">
      <c r="A437" s="2" t="n">
        <v>436</v>
      </c>
      <c r="B437" s="6" t="inlineStr">
        <is>
          <t>MEDIUM</t>
        </is>
      </c>
      <c r="C437" s="2" t="inlineStr">
        <is>
          <t>Weak website</t>
        </is>
      </c>
      <c r="D437" s="2" t="inlineStr">
        <is>
          <t>Crypto Coffee</t>
        </is>
      </c>
      <c r="E437" s="2" t="inlineStr">
        <is>
          <t>cafe</t>
        </is>
      </c>
      <c r="F437" s="2" t="inlineStr">
        <is>
          <t>Brisbane</t>
        </is>
      </c>
      <c r="G437" s="2" t="inlineStr">
        <is>
          <t>Instagram</t>
        </is>
      </c>
      <c r="H437" s="4" t="inlineStr">
        <is>
          <t>https://www.instagram.com/cryptocoffee.au/</t>
        </is>
      </c>
      <c r="I437" s="2" t="inlineStr"/>
      <c r="J437" s="2" t="inlineStr"/>
      <c r="K437" s="4" t="inlineStr">
        <is>
          <t>https://www.cryptocoffee.com.au/</t>
        </is>
      </c>
      <c r="L437" s="2" t="inlineStr">
        <is>
          <t>could not check (site refused automated visit, HTTP 403)</t>
        </is>
      </c>
      <c r="M437" s="2" t="inlineStr">
        <is>
          <t>Hi Crypto Coffee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7" s="4" t="inlineStr">
        <is>
          <t>Open map</t>
        </is>
      </c>
      <c r="O437" s="2" t="inlineStr">
        <is>
          <t>Not contacted</t>
        </is>
      </c>
      <c r="P437" s="2" t="inlineStr"/>
      <c r="Q437" s="2" t="inlineStr"/>
      <c r="R437" s="2" t="inlineStr"/>
      <c r="S437" s="2" t="inlineStr"/>
    </row>
    <row r="438">
      <c r="A438" s="2" t="n">
        <v>437</v>
      </c>
      <c r="B438" s="6" t="inlineStr">
        <is>
          <t>MEDIUM</t>
        </is>
      </c>
      <c r="C438" s="2" t="inlineStr">
        <is>
          <t>Weak website</t>
        </is>
      </c>
      <c r="D438" s="2" t="inlineStr">
        <is>
          <t>Degani Capestone</t>
        </is>
      </c>
      <c r="E438" s="2" t="inlineStr">
        <is>
          <t>cafe</t>
        </is>
      </c>
      <c r="F438" s="2" t="inlineStr">
        <is>
          <t>Brisbane</t>
        </is>
      </c>
      <c r="G438" s="2" t="inlineStr">
        <is>
          <t>Instagram</t>
        </is>
      </c>
      <c r="H438" s="4" t="inlineStr">
        <is>
          <t>https://www.instagram.com/deganicapestone</t>
        </is>
      </c>
      <c r="I438" s="4" t="inlineStr">
        <is>
          <t>https://www.facebook.com/Degani-Capestone-101395525643237</t>
        </is>
      </c>
      <c r="J438" s="2" t="inlineStr">
        <is>
          <t>+61 7 3317 0972</t>
        </is>
      </c>
      <c r="K438" s="4" t="inlineStr">
        <is>
          <t>https://degani.com.au/locations/capestone/</t>
        </is>
      </c>
      <c r="L438" s="2" t="inlineStr">
        <is>
          <t>looks outdated (copyright 2018)</t>
        </is>
      </c>
      <c r="M438" s="2" t="inlineStr">
        <is>
          <t>Hi Degani Capestone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8" s="4" t="inlineStr">
        <is>
          <t>Open map</t>
        </is>
      </c>
      <c r="O438" s="2" t="inlineStr">
        <is>
          <t>Not contacted</t>
        </is>
      </c>
      <c r="P438" s="2" t="inlineStr"/>
      <c r="Q438" s="2" t="inlineStr"/>
      <c r="R438" s="2" t="inlineStr"/>
      <c r="S438" s="2" t="inlineStr"/>
    </row>
    <row r="439">
      <c r="A439" s="2" t="n">
        <v>438</v>
      </c>
      <c r="B439" s="6" t="inlineStr">
        <is>
          <t>MEDIUM</t>
        </is>
      </c>
      <c r="C439" s="2" t="inlineStr">
        <is>
          <t>Weak website</t>
        </is>
      </c>
      <c r="D439" s="2" t="inlineStr">
        <is>
          <t>Dovetail on Overend</t>
        </is>
      </c>
      <c r="E439" s="2" t="inlineStr">
        <is>
          <t>cafe</t>
        </is>
      </c>
      <c r="F439" s="2" t="inlineStr">
        <is>
          <t>Brisbane</t>
        </is>
      </c>
      <c r="G439" s="2" t="inlineStr">
        <is>
          <t>Instagram</t>
        </is>
      </c>
      <c r="H439" s="4" t="inlineStr">
        <is>
          <t>https://www.instagram.com/dovetailsocial</t>
        </is>
      </c>
      <c r="I439" s="4" t="inlineStr">
        <is>
          <t>https://www.facebook.com/DovetailOnOverend/</t>
        </is>
      </c>
      <c r="J439" s="2" t="inlineStr">
        <is>
          <t>+61 497 876 553</t>
        </is>
      </c>
      <c r="K439" s="4" t="inlineStr">
        <is>
          <t>https://dovetailsocial.com.au/</t>
        </is>
      </c>
      <c r="L439" s="2" t="inlineStr">
        <is>
          <t>missing meta description</t>
        </is>
      </c>
      <c r="M439" s="2" t="inlineStr">
        <is>
          <t>Hi Dovetail on Overend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39" s="4" t="inlineStr">
        <is>
          <t>Open map</t>
        </is>
      </c>
      <c r="O439" s="2" t="inlineStr">
        <is>
          <t>Not contacted</t>
        </is>
      </c>
      <c r="P439" s="2" t="inlineStr"/>
      <c r="Q439" s="2" t="inlineStr"/>
      <c r="R439" s="2" t="inlineStr"/>
      <c r="S439" s="2" t="inlineStr"/>
    </row>
    <row r="440">
      <c r="A440" s="2" t="n">
        <v>439</v>
      </c>
      <c r="B440" s="6" t="inlineStr">
        <is>
          <t>MEDIUM</t>
        </is>
      </c>
      <c r="C440" s="2" t="inlineStr">
        <is>
          <t>Weak website</t>
        </is>
      </c>
      <c r="D440" s="2" t="inlineStr">
        <is>
          <t>Fables</t>
        </is>
      </c>
      <c r="E440" s="2" t="inlineStr">
        <is>
          <t>cafe</t>
        </is>
      </c>
      <c r="F440" s="2" t="inlineStr">
        <is>
          <t>Brisbane</t>
        </is>
      </c>
      <c r="G440" s="2" t="inlineStr">
        <is>
          <t>Instagram</t>
        </is>
      </c>
      <c r="H440" s="4" t="inlineStr">
        <is>
          <t>https://www.instagram.com/fablesbrisbane</t>
        </is>
      </c>
      <c r="I440" s="4" t="inlineStr">
        <is>
          <t>https://www.facebook.com/princesstheatrebrisbane</t>
        </is>
      </c>
      <c r="J440" s="2" t="inlineStr">
        <is>
          <t>+61 7 2111 4701</t>
        </is>
      </c>
      <c r="K440" s="4" t="inlineStr">
        <is>
          <t>https://theprincesstheatre.com.au/fables</t>
        </is>
      </c>
      <c r="L440" s="2" t="inlineStr">
        <is>
          <t>missing meta description</t>
        </is>
      </c>
      <c r="M440" s="2" t="inlineStr">
        <is>
          <t>Hi Fables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0" s="4" t="inlineStr">
        <is>
          <t>Open map</t>
        </is>
      </c>
      <c r="O440" s="2" t="inlineStr">
        <is>
          <t>Not contacted</t>
        </is>
      </c>
      <c r="P440" s="2" t="inlineStr"/>
      <c r="Q440" s="2" t="inlineStr"/>
      <c r="R440" s="2" t="inlineStr"/>
      <c r="S440" s="2" t="inlineStr"/>
    </row>
    <row r="441">
      <c r="A441" s="2" t="n">
        <v>440</v>
      </c>
      <c r="B441" s="6" t="inlineStr">
        <is>
          <t>MEDIUM</t>
        </is>
      </c>
      <c r="C441" s="2" t="inlineStr">
        <is>
          <t>Weak website</t>
        </is>
      </c>
      <c r="D441" s="2" t="inlineStr">
        <is>
          <t>Forages</t>
        </is>
      </c>
      <c r="E441" s="2" t="inlineStr">
        <is>
          <t>cafe</t>
        </is>
      </c>
      <c r="F441" s="2" t="inlineStr">
        <is>
          <t>Brisbane</t>
        </is>
      </c>
      <c r="G441" s="2" t="inlineStr">
        <is>
          <t>Facebook</t>
        </is>
      </c>
      <c r="H441" s="2" t="inlineStr"/>
      <c r="I441" s="4" t="inlineStr">
        <is>
          <t>https://www.facebook.com/foragesdelicafe</t>
        </is>
      </c>
      <c r="J441" s="2" t="inlineStr"/>
      <c r="K441" s="4" t="inlineStr">
        <is>
          <t>https://www.foragesdelicafe.com.au/</t>
        </is>
      </c>
      <c r="L441" s="2" t="inlineStr">
        <is>
          <t>looks outdated (copyright 2018); missing meta description; slow to load (3.9s)</t>
        </is>
      </c>
      <c r="M441" s="2" t="inlineStr">
        <is>
          <t>Hi Forages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41" s="4" t="inlineStr">
        <is>
          <t>Open map</t>
        </is>
      </c>
      <c r="O441" s="2" t="inlineStr">
        <is>
          <t>Not contacted</t>
        </is>
      </c>
      <c r="P441" s="2" t="inlineStr"/>
      <c r="Q441" s="2" t="inlineStr"/>
      <c r="R441" s="2" t="inlineStr"/>
      <c r="S441" s="2" t="inlineStr"/>
    </row>
    <row r="442">
      <c r="A442" s="2" t="n">
        <v>441</v>
      </c>
      <c r="B442" s="6" t="inlineStr">
        <is>
          <t>MEDIUM</t>
        </is>
      </c>
      <c r="C442" s="2" t="inlineStr">
        <is>
          <t>Weak website</t>
        </is>
      </c>
      <c r="D442" s="2" t="inlineStr">
        <is>
          <t>Good Thing</t>
        </is>
      </c>
      <c r="E442" s="2" t="inlineStr">
        <is>
          <t>cafe</t>
        </is>
      </c>
      <c r="F442" s="2" t="inlineStr">
        <is>
          <t>Brisbane</t>
        </is>
      </c>
      <c r="G442" s="2" t="inlineStr">
        <is>
          <t>Instagram</t>
        </is>
      </c>
      <c r="H442" s="4" t="inlineStr">
        <is>
          <t>https://www.instagram.com/montague_markets</t>
        </is>
      </c>
      <c r="I442" s="4" t="inlineStr">
        <is>
          <t>https://www.facebook.com/Montague-Markets-West-End-107585814114179</t>
        </is>
      </c>
      <c r="J442" s="2" t="inlineStr"/>
      <c r="K442" s="4" t="inlineStr">
        <is>
          <t>https://montaguemarketswestend.com.au/retailers/good-thing/</t>
        </is>
      </c>
      <c r="L442" s="2" t="inlineStr">
        <is>
          <t>missing meta description</t>
        </is>
      </c>
      <c r="M442" s="2" t="inlineStr">
        <is>
          <t>Hi Good Thing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2" s="4" t="inlineStr">
        <is>
          <t>Open map</t>
        </is>
      </c>
      <c r="O442" s="2" t="inlineStr">
        <is>
          <t>Not contacted</t>
        </is>
      </c>
      <c r="P442" s="2" t="inlineStr"/>
      <c r="Q442" s="2" t="inlineStr"/>
      <c r="R442" s="2" t="inlineStr"/>
      <c r="S442" s="2" t="inlineStr"/>
    </row>
    <row r="443">
      <c r="A443" s="2" t="n">
        <v>442</v>
      </c>
      <c r="B443" s="6" t="inlineStr">
        <is>
          <t>MEDIUM</t>
        </is>
      </c>
      <c r="C443" s="2" t="inlineStr">
        <is>
          <t>Weak website</t>
        </is>
      </c>
      <c r="D443" s="2" t="inlineStr">
        <is>
          <t>Grub Street</t>
        </is>
      </c>
      <c r="E443" s="2" t="inlineStr">
        <is>
          <t>cafe</t>
        </is>
      </c>
      <c r="F443" s="2" t="inlineStr">
        <is>
          <t>Brisbane</t>
        </is>
      </c>
      <c r="G443" s="2" t="inlineStr">
        <is>
          <t>Facebook</t>
        </is>
      </c>
      <c r="H443" s="2" t="inlineStr"/>
      <c r="I443" s="4" t="inlineStr">
        <is>
          <t>https://www.facebook.com/profile.php?id=100063498791903</t>
        </is>
      </c>
      <c r="J443" s="2" t="inlineStr">
        <is>
          <t>+61 452 619 233</t>
        </is>
      </c>
      <c r="K443" s="4" t="inlineStr">
        <is>
          <t>https://www.grubst.com.au/</t>
        </is>
      </c>
      <c r="L443" s="2" t="inlineStr">
        <is>
          <t>website address not working (check the business is still open)</t>
        </is>
      </c>
      <c r="M443" s="2" t="inlineStr">
        <is>
          <t>Hi Grub Street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3" s="4" t="inlineStr">
        <is>
          <t>Open map</t>
        </is>
      </c>
      <c r="O443" s="2" t="inlineStr">
        <is>
          <t>Not contacted</t>
        </is>
      </c>
      <c r="P443" s="2" t="inlineStr"/>
      <c r="Q443" s="2" t="inlineStr"/>
      <c r="R443" s="2" t="inlineStr"/>
      <c r="S443" s="2" t="inlineStr"/>
    </row>
    <row r="444">
      <c r="A444" s="2" t="n">
        <v>443</v>
      </c>
      <c r="B444" s="6" t="inlineStr">
        <is>
          <t>MEDIUM</t>
        </is>
      </c>
      <c r="C444" s="2" t="inlineStr">
        <is>
          <t>Weak website</t>
        </is>
      </c>
      <c r="D444" s="2" t="inlineStr">
        <is>
          <t>Jo &amp; Co. Cafe</t>
        </is>
      </c>
      <c r="E444" s="2" t="inlineStr">
        <is>
          <t>cafe</t>
        </is>
      </c>
      <c r="F444" s="2" t="inlineStr">
        <is>
          <t>Brisbane</t>
        </is>
      </c>
      <c r="G444" s="2" t="inlineStr">
        <is>
          <t>Instagram</t>
        </is>
      </c>
      <c r="H444" s="4" t="inlineStr">
        <is>
          <t>https://www.instagram.com/joandco.drewvale</t>
        </is>
      </c>
      <c r="I444" s="4" t="inlineStr">
        <is>
          <t>https://www.facebook.com/joandco.drewvale</t>
        </is>
      </c>
      <c r="J444" s="2" t="inlineStr">
        <is>
          <t>+61 432 658 822</t>
        </is>
      </c>
      <c r="K444" s="4" t="inlineStr">
        <is>
          <t>https://joandcocafe.com.au/</t>
        </is>
      </c>
      <c r="L444" s="2" t="inlineStr">
        <is>
          <t>missing meta description</t>
        </is>
      </c>
      <c r="M444" s="2" t="inlineStr">
        <is>
          <t>Hi Jo &amp; Co.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4" s="4" t="inlineStr">
        <is>
          <t>Open map</t>
        </is>
      </c>
      <c r="O444" s="2" t="inlineStr">
        <is>
          <t>Not contacted</t>
        </is>
      </c>
      <c r="P444" s="2" t="inlineStr"/>
      <c r="Q444" s="2" t="inlineStr"/>
      <c r="R444" s="2" t="inlineStr"/>
      <c r="S444" s="2" t="inlineStr"/>
    </row>
    <row r="445">
      <c r="A445" s="2" t="n">
        <v>444</v>
      </c>
      <c r="B445" s="6" t="inlineStr">
        <is>
          <t>MEDIUM</t>
        </is>
      </c>
      <c r="C445" s="2" t="inlineStr">
        <is>
          <t>Weak website</t>
        </is>
      </c>
      <c r="D445" s="2" t="inlineStr">
        <is>
          <t>Kafe Krave</t>
        </is>
      </c>
      <c r="E445" s="2" t="inlineStr">
        <is>
          <t>cafe</t>
        </is>
      </c>
      <c r="F445" s="2" t="inlineStr">
        <is>
          <t>Brisbane</t>
        </is>
      </c>
      <c r="G445" s="2" t="inlineStr">
        <is>
          <t>Instagram</t>
        </is>
      </c>
      <c r="H445" s="4" t="inlineStr">
        <is>
          <t>https://www.instagram.com/kafe.krave/?hl=en</t>
        </is>
      </c>
      <c r="I445" s="4" t="inlineStr">
        <is>
          <t>https://www.facebook.com/KAFEKRAVE14/</t>
        </is>
      </c>
      <c r="J445" s="2" t="inlineStr">
        <is>
          <t>+61 418 725 257</t>
        </is>
      </c>
      <c r="K445" s="4" t="inlineStr">
        <is>
          <t>https://www.kafekrave.com/</t>
        </is>
      </c>
      <c r="L445" s="2" t="inlineStr">
        <is>
          <t>looks outdated (copyright 2020); missing meta description</t>
        </is>
      </c>
      <c r="M445" s="2" t="inlineStr">
        <is>
          <t>Hi Kafe Krave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5" s="4" t="inlineStr">
        <is>
          <t>Open map</t>
        </is>
      </c>
      <c r="O445" s="2" t="inlineStr">
        <is>
          <t>Not contacted</t>
        </is>
      </c>
      <c r="P445" s="2" t="inlineStr"/>
      <c r="Q445" s="2" t="inlineStr"/>
      <c r="R445" s="2" t="inlineStr"/>
      <c r="S445" s="2" t="inlineStr"/>
    </row>
    <row r="446">
      <c r="A446" s="2" t="n">
        <v>445</v>
      </c>
      <c r="B446" s="6" t="inlineStr">
        <is>
          <t>MEDIUM</t>
        </is>
      </c>
      <c r="C446" s="2" t="inlineStr">
        <is>
          <t>Weak website</t>
        </is>
      </c>
      <c r="D446" s="2" t="inlineStr">
        <is>
          <t>Landing</t>
        </is>
      </c>
      <c r="E446" s="2" t="inlineStr">
        <is>
          <t>cafe</t>
        </is>
      </c>
      <c r="F446" s="2" t="inlineStr">
        <is>
          <t>Brisbane</t>
        </is>
      </c>
      <c r="G446" s="2" t="inlineStr">
        <is>
          <t>Instagram</t>
        </is>
      </c>
      <c r="H446" s="4" t="inlineStr">
        <is>
          <t>https://www.instagram.com/landingbakery</t>
        </is>
      </c>
      <c r="I446" s="2" t="inlineStr"/>
      <c r="J446" s="2" t="inlineStr"/>
      <c r="K446" s="4" t="inlineStr">
        <is>
          <t>https://landingbakery.au/</t>
        </is>
      </c>
      <c r="L446" s="2" t="inlineStr">
        <is>
          <t>missing meta description</t>
        </is>
      </c>
      <c r="M446" s="2" t="inlineStr">
        <is>
          <t>Hi Landing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6" s="4" t="inlineStr">
        <is>
          <t>Open map</t>
        </is>
      </c>
      <c r="O446" s="2" t="inlineStr">
        <is>
          <t>Not contacted</t>
        </is>
      </c>
      <c r="P446" s="2" t="inlineStr"/>
      <c r="Q446" s="2" t="inlineStr"/>
      <c r="R446" s="2" t="inlineStr"/>
      <c r="S446" s="2" t="inlineStr"/>
    </row>
    <row r="447">
      <c r="A447" s="2" t="n">
        <v>446</v>
      </c>
      <c r="B447" s="6" t="inlineStr">
        <is>
          <t>MEDIUM</t>
        </is>
      </c>
      <c r="C447" s="2" t="inlineStr">
        <is>
          <t>Weak website</t>
        </is>
      </c>
      <c r="D447" s="2" t="inlineStr">
        <is>
          <t>Lettuce Eat</t>
        </is>
      </c>
      <c r="E447" s="2" t="inlineStr">
        <is>
          <t>cafe</t>
        </is>
      </c>
      <c r="F447" s="2" t="inlineStr">
        <is>
          <t>Brisbane</t>
        </is>
      </c>
      <c r="G447" s="2" t="inlineStr">
        <is>
          <t>Instagram</t>
        </is>
      </c>
      <c r="H447" s="4" t="inlineStr">
        <is>
          <t>https://www.instagram.com/lettuceeatwestend</t>
        </is>
      </c>
      <c r="I447" s="4" t="inlineStr">
        <is>
          <t>https://www.facebook.com/LettuceEatCafe</t>
        </is>
      </c>
      <c r="J447" s="2" t="inlineStr"/>
      <c r="K447" s="4" t="inlineStr">
        <is>
          <t>https://www.lettuceeat.com.au/</t>
        </is>
      </c>
      <c r="L447" s="2" t="inlineStr">
        <is>
          <t>missing meta description; slow to load (3.3s)</t>
        </is>
      </c>
      <c r="M447" s="2" t="inlineStr">
        <is>
          <t>Hi Lettuce Eat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47" s="4" t="inlineStr">
        <is>
          <t>Open map</t>
        </is>
      </c>
      <c r="O447" s="2" t="inlineStr">
        <is>
          <t>Not contacted</t>
        </is>
      </c>
      <c r="P447" s="2" t="inlineStr"/>
      <c r="Q447" s="2" t="inlineStr"/>
      <c r="R447" s="2" t="inlineStr"/>
      <c r="S447" s="2" t="inlineStr"/>
    </row>
    <row r="448">
      <c r="A448" s="2" t="n">
        <v>447</v>
      </c>
      <c r="B448" s="6" t="inlineStr">
        <is>
          <t>MEDIUM</t>
        </is>
      </c>
      <c r="C448" s="2" t="inlineStr">
        <is>
          <t>Weak website</t>
        </is>
      </c>
      <c r="D448" s="2" t="inlineStr">
        <is>
          <t>Lovewell Cafe</t>
        </is>
      </c>
      <c r="E448" s="2" t="inlineStr">
        <is>
          <t>cafe</t>
        </is>
      </c>
      <c r="F448" s="2" t="inlineStr">
        <is>
          <t>Brisbane</t>
        </is>
      </c>
      <c r="G448" s="2" t="inlineStr">
        <is>
          <t>Instagram</t>
        </is>
      </c>
      <c r="H448" s="4" t="inlineStr">
        <is>
          <t>https://www.instagram.com/lovewellcafe</t>
        </is>
      </c>
      <c r="I448" s="4" t="inlineStr">
        <is>
          <t>https://www.facebook.com/lovewellcafe</t>
        </is>
      </c>
      <c r="J448" s="2" t="inlineStr"/>
      <c r="K448" s="4" t="inlineStr">
        <is>
          <t>https://lovewell.com.au</t>
        </is>
      </c>
      <c r="L448" s="2" t="inlineStr">
        <is>
          <t>missing meta description</t>
        </is>
      </c>
      <c r="M448" s="2" t="inlineStr">
        <is>
          <t>Hi Lovewell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8" s="4" t="inlineStr">
        <is>
          <t>Open map</t>
        </is>
      </c>
      <c r="O448" s="2" t="inlineStr">
        <is>
          <t>Not contacted</t>
        </is>
      </c>
      <c r="P448" s="2" t="inlineStr"/>
      <c r="Q448" s="2" t="inlineStr"/>
      <c r="R448" s="2" t="inlineStr"/>
      <c r="S448" s="2" t="inlineStr"/>
    </row>
    <row r="449">
      <c r="A449" s="2" t="n">
        <v>448</v>
      </c>
      <c r="B449" s="6" t="inlineStr">
        <is>
          <t>MEDIUM</t>
        </is>
      </c>
      <c r="C449" s="2" t="inlineStr">
        <is>
          <t>Weak website</t>
        </is>
      </c>
      <c r="D449" s="2" t="inlineStr">
        <is>
          <t>Marco</t>
        </is>
      </c>
      <c r="E449" s="2" t="inlineStr">
        <is>
          <t>cafe</t>
        </is>
      </c>
      <c r="F449" s="2" t="inlineStr">
        <is>
          <t>Brisbane</t>
        </is>
      </c>
      <c r="G449" s="2" t="inlineStr">
        <is>
          <t>Instagram</t>
        </is>
      </c>
      <c r="H449" s="4" t="inlineStr">
        <is>
          <t>https://www.instagram.com/marcopolo.kitchen</t>
        </is>
      </c>
      <c r="I449" s="2" t="inlineStr"/>
      <c r="J449" s="2" t="inlineStr"/>
      <c r="K449" s="4" t="inlineStr">
        <is>
          <t>https://marcopolo.kitchen/</t>
        </is>
      </c>
      <c r="L449" s="2" t="inlineStr">
        <is>
          <t>slow to load (4.7s)</t>
        </is>
      </c>
      <c r="M449" s="2" t="inlineStr">
        <is>
          <t>Hi Marco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49" s="4" t="inlineStr">
        <is>
          <t>Open map</t>
        </is>
      </c>
      <c r="O449" s="2" t="inlineStr">
        <is>
          <t>Not contacted</t>
        </is>
      </c>
      <c r="P449" s="2" t="inlineStr"/>
      <c r="Q449" s="2" t="inlineStr"/>
      <c r="R449" s="2" t="inlineStr"/>
      <c r="S449" s="2" t="inlineStr"/>
    </row>
    <row r="450">
      <c r="A450" s="2" t="n">
        <v>449</v>
      </c>
      <c r="B450" s="6" t="inlineStr">
        <is>
          <t>MEDIUM</t>
        </is>
      </c>
      <c r="C450" s="2" t="inlineStr">
        <is>
          <t>Weak website</t>
        </is>
      </c>
      <c r="D450" s="2" t="inlineStr">
        <is>
          <t>Max Brenner Chocolate Bar</t>
        </is>
      </c>
      <c r="E450" s="2" t="inlineStr">
        <is>
          <t>cafe</t>
        </is>
      </c>
      <c r="F450" s="2" t="inlineStr">
        <is>
          <t>Brisbane</t>
        </is>
      </c>
      <c r="G450" s="2" t="inlineStr">
        <is>
          <t>Instagram</t>
        </is>
      </c>
      <c r="H450" s="4" t="inlineStr">
        <is>
          <t>https://www.instagram.com/maxbrenneraus</t>
        </is>
      </c>
      <c r="I450" s="4" t="inlineStr">
        <is>
          <t>https://www.facebook.com/MBAustralia</t>
        </is>
      </c>
      <c r="J450" s="2" t="inlineStr">
        <is>
          <t>+61 7 3255 0411</t>
        </is>
      </c>
      <c r="K450" s="4" t="inlineStr">
        <is>
          <t>https://www.maxbrenner.com.au/</t>
        </is>
      </c>
      <c r="L450" s="2" t="inlineStr">
        <is>
          <t>missing meta description</t>
        </is>
      </c>
      <c r="M450" s="2" t="inlineStr">
        <is>
          <t>Hi Max Brenner Chocolate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0" s="4" t="inlineStr">
        <is>
          <t>Open map</t>
        </is>
      </c>
      <c r="O450" s="2" t="inlineStr">
        <is>
          <t>Not contacted</t>
        </is>
      </c>
      <c r="P450" s="2" t="inlineStr"/>
      <c r="Q450" s="2" t="inlineStr"/>
      <c r="R450" s="2" t="inlineStr"/>
      <c r="S450" s="2" t="inlineStr"/>
    </row>
    <row r="451">
      <c r="A451" s="2" t="n">
        <v>450</v>
      </c>
      <c r="B451" s="6" t="inlineStr">
        <is>
          <t>MEDIUM</t>
        </is>
      </c>
      <c r="C451" s="2" t="inlineStr">
        <is>
          <t>Weak website</t>
        </is>
      </c>
      <c r="D451" s="2" t="inlineStr">
        <is>
          <t>Mia Bella's Coffee Drive Thru</t>
        </is>
      </c>
      <c r="E451" s="2" t="inlineStr">
        <is>
          <t>cafe</t>
        </is>
      </c>
      <c r="F451" s="2" t="inlineStr">
        <is>
          <t>Brisbane</t>
        </is>
      </c>
      <c r="G451" s="2" t="inlineStr">
        <is>
          <t>Facebook</t>
        </is>
      </c>
      <c r="H451" s="2" t="inlineStr"/>
      <c r="I451" s="4" t="inlineStr">
        <is>
          <t>https://www.facebook.com/miabellascoffee</t>
        </is>
      </c>
      <c r="J451" s="2" t="inlineStr"/>
      <c r="K451" s="4" t="inlineStr">
        <is>
          <t>http://miabellascoffee.com/</t>
        </is>
      </c>
      <c r="L451" s="2" t="inlineStr">
        <is>
          <t>no HTTPS (browser shows 'Not secure'); looks outdated (copyright 2015); missing meta description</t>
        </is>
      </c>
      <c r="M451" s="2" t="inlineStr">
        <is>
          <t>Hi Mia Bella's Coffee Drive Thru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1" s="4" t="inlineStr">
        <is>
          <t>Open map</t>
        </is>
      </c>
      <c r="O451" s="2" t="inlineStr">
        <is>
          <t>Not contacted</t>
        </is>
      </c>
      <c r="P451" s="2" t="inlineStr"/>
      <c r="Q451" s="2" t="inlineStr"/>
      <c r="R451" s="2" t="inlineStr"/>
      <c r="S451" s="2" t="inlineStr"/>
    </row>
    <row r="452">
      <c r="A452" s="2" t="n">
        <v>451</v>
      </c>
      <c r="B452" s="6" t="inlineStr">
        <is>
          <t>MEDIUM</t>
        </is>
      </c>
      <c r="C452" s="2" t="inlineStr">
        <is>
          <t>Weak website</t>
        </is>
      </c>
      <c r="D452" s="2" t="inlineStr">
        <is>
          <t>Mitch and Antler</t>
        </is>
      </c>
      <c r="E452" s="2" t="inlineStr">
        <is>
          <t>cafe</t>
        </is>
      </c>
      <c r="F452" s="2" t="inlineStr">
        <is>
          <t>Brisbane</t>
        </is>
      </c>
      <c r="G452" s="2" t="inlineStr">
        <is>
          <t>Instagram</t>
        </is>
      </c>
      <c r="H452" s="4" t="inlineStr">
        <is>
          <t>https://www.instagram.com/mitch.and.antle</t>
        </is>
      </c>
      <c r="I452" s="4" t="inlineStr">
        <is>
          <t>https://www.facebook.com/mitch.and.antler</t>
        </is>
      </c>
      <c r="J452" s="2" t="inlineStr"/>
      <c r="K452" s="4" t="inlineStr">
        <is>
          <t>https://www.mitchandantler.com/</t>
        </is>
      </c>
      <c r="L452" s="2" t="inlineStr">
        <is>
          <t>missing meta description</t>
        </is>
      </c>
      <c r="M452" s="2" t="inlineStr">
        <is>
          <t>Hi Mitch and Antler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2" s="4" t="inlineStr">
        <is>
          <t>Open map</t>
        </is>
      </c>
      <c r="O452" s="2" t="inlineStr">
        <is>
          <t>Not contacted</t>
        </is>
      </c>
      <c r="P452" s="2" t="inlineStr"/>
      <c r="Q452" s="2" t="inlineStr"/>
      <c r="R452" s="2" t="inlineStr"/>
      <c r="S452" s="2" t="inlineStr"/>
    </row>
    <row r="453">
      <c r="A453" s="2" t="n">
        <v>452</v>
      </c>
      <c r="B453" s="6" t="inlineStr">
        <is>
          <t>MEDIUM</t>
        </is>
      </c>
      <c r="C453" s="2" t="inlineStr">
        <is>
          <t>Weak website</t>
        </is>
      </c>
      <c r="D453" s="2" t="inlineStr">
        <is>
          <t>Nana and Da's</t>
        </is>
      </c>
      <c r="E453" s="2" t="inlineStr">
        <is>
          <t>cafe</t>
        </is>
      </c>
      <c r="F453" s="2" t="inlineStr">
        <is>
          <t>Brisbane</t>
        </is>
      </c>
      <c r="G453" s="2" t="inlineStr">
        <is>
          <t>Instagram</t>
        </is>
      </c>
      <c r="H453" s="4" t="inlineStr">
        <is>
          <t>https://www.instagram.com/wix</t>
        </is>
      </c>
      <c r="I453" s="4" t="inlineStr">
        <is>
          <t>https://www.facebook.com/wix</t>
        </is>
      </c>
      <c r="J453" s="2" t="inlineStr"/>
      <c r="K453" s="4" t="inlineStr">
        <is>
          <t>https://www.nanaanddas.com/</t>
        </is>
      </c>
      <c r="L453" s="2" t="inlineStr">
        <is>
          <t>missing meta description</t>
        </is>
      </c>
      <c r="M453" s="2" t="inlineStr">
        <is>
          <t>Hi Nana and Da's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3" s="4" t="inlineStr">
        <is>
          <t>Open map</t>
        </is>
      </c>
      <c r="O453" s="2" t="inlineStr">
        <is>
          <t>Not contacted</t>
        </is>
      </c>
      <c r="P453" s="2" t="inlineStr"/>
      <c r="Q453" s="2" t="inlineStr"/>
      <c r="R453" s="2" t="inlineStr"/>
      <c r="S453" s="2" t="inlineStr"/>
    </row>
    <row r="454">
      <c r="A454" s="2" t="n">
        <v>453</v>
      </c>
      <c r="B454" s="6" t="inlineStr">
        <is>
          <t>MEDIUM</t>
        </is>
      </c>
      <c r="C454" s="2" t="inlineStr">
        <is>
          <t>Weak website</t>
        </is>
      </c>
      <c r="D454" s="2" t="inlineStr">
        <is>
          <t>Otti</t>
        </is>
      </c>
      <c r="E454" s="2" t="inlineStr">
        <is>
          <t>cafe</t>
        </is>
      </c>
      <c r="F454" s="2" t="inlineStr">
        <is>
          <t>Brisbane</t>
        </is>
      </c>
      <c r="G454" s="2" t="inlineStr">
        <is>
          <t>Instagram</t>
        </is>
      </c>
      <c r="H454" s="4" t="inlineStr">
        <is>
          <t>https://www.instagram.com/otti.cafe</t>
        </is>
      </c>
      <c r="I454" s="4" t="inlineStr">
        <is>
          <t>https://www.facebook.com/otti.cafe</t>
        </is>
      </c>
      <c r="J454" s="2" t="inlineStr"/>
      <c r="K454" s="4" t="inlineStr">
        <is>
          <t>https://www.otticafe.com.au</t>
        </is>
      </c>
      <c r="L454" s="2" t="inlineStr">
        <is>
          <t>looks outdated (copyright 2022); missing meta description</t>
        </is>
      </c>
      <c r="M454" s="2" t="inlineStr">
        <is>
          <t>Hi Otti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4" s="4" t="inlineStr">
        <is>
          <t>Open map</t>
        </is>
      </c>
      <c r="O454" s="2" t="inlineStr">
        <is>
          <t>Not contacted</t>
        </is>
      </c>
      <c r="P454" s="2" t="inlineStr"/>
      <c r="Q454" s="2" t="inlineStr"/>
      <c r="R454" s="2" t="inlineStr"/>
      <c r="S454" s="2" t="inlineStr"/>
    </row>
    <row r="455">
      <c r="A455" s="2" t="n">
        <v>454</v>
      </c>
      <c r="B455" s="6" t="inlineStr">
        <is>
          <t>MEDIUM</t>
        </is>
      </c>
      <c r="C455" s="2" t="inlineStr">
        <is>
          <t>Weak website</t>
        </is>
      </c>
      <c r="D455" s="2" t="inlineStr">
        <is>
          <t>Polo</t>
        </is>
      </c>
      <c r="E455" s="2" t="inlineStr">
        <is>
          <t>cafe</t>
        </is>
      </c>
      <c r="F455" s="2" t="inlineStr">
        <is>
          <t>Brisbane</t>
        </is>
      </c>
      <c r="G455" s="2" t="inlineStr">
        <is>
          <t>Instagram</t>
        </is>
      </c>
      <c r="H455" s="4" t="inlineStr">
        <is>
          <t>https://www.instagram.com/marcopolo.kitchen</t>
        </is>
      </c>
      <c r="I455" s="2" t="inlineStr"/>
      <c r="J455" s="2" t="inlineStr"/>
      <c r="K455" s="4" t="inlineStr">
        <is>
          <t>https://marcopolo.kitchen/</t>
        </is>
      </c>
      <c r="L455" s="2" t="inlineStr">
        <is>
          <t>slow to load (4.7s)</t>
        </is>
      </c>
      <c r="M455" s="2" t="inlineStr">
        <is>
          <t>Hi Polo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55" s="4" t="inlineStr">
        <is>
          <t>Open map</t>
        </is>
      </c>
      <c r="O455" s="2" t="inlineStr">
        <is>
          <t>Not contacted</t>
        </is>
      </c>
      <c r="P455" s="2" t="inlineStr"/>
      <c r="Q455" s="2" t="inlineStr"/>
      <c r="R455" s="2" t="inlineStr"/>
      <c r="S455" s="2" t="inlineStr"/>
    </row>
    <row r="456">
      <c r="A456" s="2" t="n">
        <v>455</v>
      </c>
      <c r="B456" s="6" t="inlineStr">
        <is>
          <t>MEDIUM</t>
        </is>
      </c>
      <c r="C456" s="2" t="inlineStr">
        <is>
          <t>Weak website</t>
        </is>
      </c>
      <c r="D456" s="2" t="inlineStr">
        <is>
          <t>Putzig Cafe</t>
        </is>
      </c>
      <c r="E456" s="2" t="inlineStr">
        <is>
          <t>cafe</t>
        </is>
      </c>
      <c r="F456" s="2" t="inlineStr">
        <is>
          <t>Brisbane</t>
        </is>
      </c>
      <c r="G456" s="2" t="inlineStr">
        <is>
          <t>Instagram</t>
        </is>
      </c>
      <c r="H456" s="4" t="inlineStr">
        <is>
          <t>https://www.instagram.com/putzigcafe/</t>
        </is>
      </c>
      <c r="I456" s="4" t="inlineStr">
        <is>
          <t>https://www.facebook.com/profile.php?id=61560960715280</t>
        </is>
      </c>
      <c r="J456" s="2" t="inlineStr">
        <is>
          <t>+61 425 168 483</t>
        </is>
      </c>
      <c r="K456" s="4" t="inlineStr">
        <is>
          <t>https://putzigcafe.com/</t>
        </is>
      </c>
      <c r="L456" s="2" t="inlineStr">
        <is>
          <t>missing meta description</t>
        </is>
      </c>
      <c r="M456" s="2" t="inlineStr">
        <is>
          <t>Hi Putzig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6" s="4" t="inlineStr">
        <is>
          <t>Open map</t>
        </is>
      </c>
      <c r="O456" s="2" t="inlineStr">
        <is>
          <t>Not contacted</t>
        </is>
      </c>
      <c r="P456" s="2" t="inlineStr"/>
      <c r="Q456" s="2" t="inlineStr"/>
      <c r="R456" s="2" t="inlineStr"/>
      <c r="S456" s="2" t="inlineStr"/>
    </row>
    <row r="457">
      <c r="A457" s="2" t="n">
        <v>456</v>
      </c>
      <c r="B457" s="6" t="inlineStr">
        <is>
          <t>MEDIUM</t>
        </is>
      </c>
      <c r="C457" s="2" t="inlineStr">
        <is>
          <t>Weak website</t>
        </is>
      </c>
      <c r="D457" s="2" t="inlineStr">
        <is>
          <t>Riva Kitchen and Events</t>
        </is>
      </c>
      <c r="E457" s="2" t="inlineStr">
        <is>
          <t>cafe</t>
        </is>
      </c>
      <c r="F457" s="2" t="inlineStr">
        <is>
          <t>Brisbane</t>
        </is>
      </c>
      <c r="G457" s="2" t="inlineStr">
        <is>
          <t>Instagram</t>
        </is>
      </c>
      <c r="H457" s="4" t="inlineStr">
        <is>
          <t>https://www.instagram.com/rivakitchenevents</t>
        </is>
      </c>
      <c r="I457" s="2" t="inlineStr"/>
      <c r="J457" s="2" t="inlineStr">
        <is>
          <t>+61 7 3268 2406</t>
        </is>
      </c>
      <c r="K457" s="4" t="inlineStr">
        <is>
          <t>https://rivakitchen.com.au</t>
        </is>
      </c>
      <c r="L457" s="2" t="inlineStr">
        <is>
          <t>slow to load (5.3s)</t>
        </is>
      </c>
      <c r="M457" s="2" t="inlineStr">
        <is>
          <t>Hi Riva Kitchen and Events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57" s="4" t="inlineStr">
        <is>
          <t>Open map</t>
        </is>
      </c>
      <c r="O457" s="2" t="inlineStr">
        <is>
          <t>Not contacted</t>
        </is>
      </c>
      <c r="P457" s="2" t="inlineStr"/>
      <c r="Q457" s="2" t="inlineStr"/>
      <c r="R457" s="2" t="inlineStr"/>
      <c r="S457" s="2" t="inlineStr"/>
    </row>
    <row r="458">
      <c r="A458" s="2" t="n">
        <v>457</v>
      </c>
      <c r="B458" s="6" t="inlineStr">
        <is>
          <t>MEDIUM</t>
        </is>
      </c>
      <c r="C458" s="2" t="inlineStr">
        <is>
          <t>Weak website</t>
        </is>
      </c>
      <c r="D458" s="2" t="inlineStr">
        <is>
          <t>Salud Restaurant</t>
        </is>
      </c>
      <c r="E458" s="2" t="inlineStr">
        <is>
          <t>cafe</t>
        </is>
      </c>
      <c r="F458" s="2" t="inlineStr">
        <is>
          <t>Brisbane</t>
        </is>
      </c>
      <c r="G458" s="2" t="inlineStr">
        <is>
          <t>Instagram</t>
        </is>
      </c>
      <c r="H458" s="4" t="inlineStr">
        <is>
          <t>https://www.instagram.com/salud.bne</t>
        </is>
      </c>
      <c r="I458" s="4" t="inlineStr">
        <is>
          <t>https://www.facebook.com/profile.php</t>
        </is>
      </c>
      <c r="J458" s="2" t="inlineStr">
        <is>
          <t>+61 450 964 422</t>
        </is>
      </c>
      <c r="K458" s="4" t="inlineStr">
        <is>
          <t>https://saludbne.com.au/</t>
        </is>
      </c>
      <c r="L458" s="2" t="inlineStr">
        <is>
          <t>missing meta description; slow to load (5.6s)</t>
        </is>
      </c>
      <c r="M458" s="2" t="inlineStr">
        <is>
          <t>Hi Salud Restaurant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58" s="4" t="inlineStr">
        <is>
          <t>Open map</t>
        </is>
      </c>
      <c r="O458" s="2" t="inlineStr">
        <is>
          <t>Not contacted</t>
        </is>
      </c>
      <c r="P458" s="2" t="inlineStr"/>
      <c r="Q458" s="2" t="inlineStr"/>
      <c r="R458" s="2" t="inlineStr"/>
      <c r="S458" s="2" t="inlineStr"/>
    </row>
    <row r="459">
      <c r="A459" s="2" t="n">
        <v>458</v>
      </c>
      <c r="B459" s="6" t="inlineStr">
        <is>
          <t>MEDIUM</t>
        </is>
      </c>
      <c r="C459" s="2" t="inlineStr">
        <is>
          <t>Weak website</t>
        </is>
      </c>
      <c r="D459" s="2" t="inlineStr">
        <is>
          <t>St Coco Cafe</t>
        </is>
      </c>
      <c r="E459" s="2" t="inlineStr">
        <is>
          <t>cafe</t>
        </is>
      </c>
      <c r="F459" s="2" t="inlineStr">
        <is>
          <t>Brisbane</t>
        </is>
      </c>
      <c r="G459" s="2" t="inlineStr">
        <is>
          <t>Instagram</t>
        </is>
      </c>
      <c r="H459" s="4" t="inlineStr">
        <is>
          <t>https://www.instagram.com/stcococafe</t>
        </is>
      </c>
      <c r="I459" s="4" t="inlineStr">
        <is>
          <t>https://www.facebook.com/Stcococafe</t>
        </is>
      </c>
      <c r="J459" s="2" t="inlineStr">
        <is>
          <t>+61 7 3299 3264</t>
        </is>
      </c>
      <c r="K459" s="4" t="inlineStr">
        <is>
          <t>https://www.stcococafe.com.au/</t>
        </is>
      </c>
      <c r="L459" s="2" t="inlineStr">
        <is>
          <t>looks outdated (copyright 2023); missing meta description</t>
        </is>
      </c>
      <c r="M459" s="2" t="inlineStr">
        <is>
          <t>Hi St Coco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9" s="4" t="inlineStr">
        <is>
          <t>Open map</t>
        </is>
      </c>
      <c r="O459" s="2" t="inlineStr">
        <is>
          <t>Not contacted</t>
        </is>
      </c>
      <c r="P459" s="2" t="inlineStr"/>
      <c r="Q459" s="2" t="inlineStr"/>
      <c r="R459" s="2" t="inlineStr"/>
      <c r="S459" s="2" t="inlineStr"/>
    </row>
    <row r="460">
      <c r="A460" s="2" t="n">
        <v>459</v>
      </c>
      <c r="B460" s="6" t="inlineStr">
        <is>
          <t>MEDIUM</t>
        </is>
      </c>
      <c r="C460" s="2" t="inlineStr">
        <is>
          <t>Weak website</t>
        </is>
      </c>
      <c r="D460" s="2" t="inlineStr">
        <is>
          <t>Supernumerary Coffee</t>
        </is>
      </c>
      <c r="E460" s="2" t="inlineStr">
        <is>
          <t>cafe</t>
        </is>
      </c>
      <c r="F460" s="2" t="inlineStr">
        <is>
          <t>Brisbane</t>
        </is>
      </c>
      <c r="G460" s="2" t="inlineStr">
        <is>
          <t>Instagram</t>
        </is>
      </c>
      <c r="H460" s="4" t="inlineStr">
        <is>
          <t>https://www.instagram.com/supernumerarycoffee</t>
        </is>
      </c>
      <c r="I460" s="2" t="inlineStr"/>
      <c r="J460" s="2" t="inlineStr">
        <is>
          <t>+61 413 067 162</t>
        </is>
      </c>
      <c r="K460" s="4" t="inlineStr">
        <is>
          <t>https://supernumerarycoffee.com</t>
        </is>
      </c>
      <c r="L460" s="2" t="inlineStr">
        <is>
          <t>missing meta description</t>
        </is>
      </c>
      <c r="M460" s="2" t="inlineStr">
        <is>
          <t>Hi Supernumerary Coffee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0" s="4" t="inlineStr">
        <is>
          <t>Open map</t>
        </is>
      </c>
      <c r="O460" s="2" t="inlineStr">
        <is>
          <t>Not contacted</t>
        </is>
      </c>
      <c r="P460" s="2" t="inlineStr"/>
      <c r="Q460" s="2" t="inlineStr"/>
      <c r="R460" s="2" t="inlineStr"/>
      <c r="S460" s="2" t="inlineStr"/>
    </row>
    <row r="461">
      <c r="A461" s="2" t="n">
        <v>460</v>
      </c>
      <c r="B461" s="6" t="inlineStr">
        <is>
          <t>MEDIUM</t>
        </is>
      </c>
      <c r="C461" s="2" t="inlineStr">
        <is>
          <t>Weak website</t>
        </is>
      </c>
      <c r="D461" s="2" t="inlineStr">
        <is>
          <t>The Bakeologists</t>
        </is>
      </c>
      <c r="E461" s="2" t="inlineStr">
        <is>
          <t>cafe</t>
        </is>
      </c>
      <c r="F461" s="2" t="inlineStr">
        <is>
          <t>Brisbane</t>
        </is>
      </c>
      <c r="G461" s="2" t="inlineStr">
        <is>
          <t>Instagram</t>
        </is>
      </c>
      <c r="H461" s="4" t="inlineStr">
        <is>
          <t>https://www.instagram.com/thebakeologists</t>
        </is>
      </c>
      <c r="I461" s="4" t="inlineStr">
        <is>
          <t>https://www.facebook.com/thebakeologists</t>
        </is>
      </c>
      <c r="J461" s="2" t="inlineStr"/>
      <c r="K461" s="4" t="inlineStr">
        <is>
          <t>https://thebakeologists.com.au/</t>
        </is>
      </c>
      <c r="L461" s="2" t="inlineStr">
        <is>
          <t>missing meta description</t>
        </is>
      </c>
      <c r="M461" s="2" t="inlineStr">
        <is>
          <t>Hi The Bakeologists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1" s="4" t="inlineStr">
        <is>
          <t>Open map</t>
        </is>
      </c>
      <c r="O461" s="2" t="inlineStr">
        <is>
          <t>Not contacted</t>
        </is>
      </c>
      <c r="P461" s="2" t="inlineStr"/>
      <c r="Q461" s="2" t="inlineStr"/>
      <c r="R461" s="2" t="inlineStr"/>
      <c r="S461" s="2" t="inlineStr"/>
    </row>
    <row r="462">
      <c r="A462" s="2" t="n">
        <v>461</v>
      </c>
      <c r="B462" s="6" t="inlineStr">
        <is>
          <t>MEDIUM</t>
        </is>
      </c>
      <c r="C462" s="2" t="inlineStr">
        <is>
          <t>Weak website</t>
        </is>
      </c>
      <c r="D462" s="2" t="inlineStr">
        <is>
          <t>The Hideout Coffee House</t>
        </is>
      </c>
      <c r="E462" s="2" t="inlineStr">
        <is>
          <t>cafe</t>
        </is>
      </c>
      <c r="F462" s="2" t="inlineStr">
        <is>
          <t>Brisbane</t>
        </is>
      </c>
      <c r="G462" s="2" t="inlineStr">
        <is>
          <t>Instagram</t>
        </is>
      </c>
      <c r="H462" s="4" t="inlineStr">
        <is>
          <t>https://www.instagram.com/THEHIDEOUTAUS</t>
        </is>
      </c>
      <c r="I462" s="4" t="inlineStr">
        <is>
          <t>https://www.facebook.com/TheHideoutAus</t>
        </is>
      </c>
      <c r="J462" s="2" t="inlineStr">
        <is>
          <t>+61 429 408 729</t>
        </is>
      </c>
      <c r="K462" s="4" t="inlineStr">
        <is>
          <t>https://www.thehideoutaus.com/</t>
        </is>
      </c>
      <c r="L462" s="2" t="inlineStr">
        <is>
          <t>missing meta description</t>
        </is>
      </c>
      <c r="M462" s="2" t="inlineStr">
        <is>
          <t>Hi The Hideout Coffee House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2" s="4" t="inlineStr">
        <is>
          <t>Open map</t>
        </is>
      </c>
      <c r="O462" s="2" t="inlineStr">
        <is>
          <t>Not contacted</t>
        </is>
      </c>
      <c r="P462" s="2" t="inlineStr"/>
      <c r="Q462" s="2" t="inlineStr"/>
      <c r="R462" s="2" t="inlineStr"/>
      <c r="S462" s="2" t="inlineStr"/>
    </row>
    <row r="463">
      <c r="A463" s="2" t="n">
        <v>462</v>
      </c>
      <c r="B463" s="6" t="inlineStr">
        <is>
          <t>MEDIUM</t>
        </is>
      </c>
      <c r="C463" s="2" t="inlineStr">
        <is>
          <t>Weak website</t>
        </is>
      </c>
      <c r="D463" s="2" t="inlineStr">
        <is>
          <t>The Jam Pantry</t>
        </is>
      </c>
      <c r="E463" s="2" t="inlineStr">
        <is>
          <t>cafe</t>
        </is>
      </c>
      <c r="F463" s="2" t="inlineStr">
        <is>
          <t>Brisbane</t>
        </is>
      </c>
      <c r="G463" s="2" t="inlineStr">
        <is>
          <t>Facebook</t>
        </is>
      </c>
      <c r="H463" s="2" t="inlineStr"/>
      <c r="I463" s="4" t="inlineStr">
        <is>
          <t>https://www.facebook.com/jampantry</t>
        </is>
      </c>
      <c r="J463" s="2" t="inlineStr"/>
      <c r="K463" s="4" t="inlineStr">
        <is>
          <t>http://www.thejampantry.com.au</t>
        </is>
      </c>
      <c r="L463" s="2" t="inlineStr">
        <is>
          <t>no HTTPS (browser shows 'Not secure')</t>
        </is>
      </c>
      <c r="M463" s="2" t="inlineStr">
        <is>
          <t>Hi The Jam Pantry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3" s="4" t="inlineStr">
        <is>
          <t>Open map</t>
        </is>
      </c>
      <c r="O463" s="2" t="inlineStr">
        <is>
          <t>Not contacted</t>
        </is>
      </c>
      <c r="P463" s="2" t="inlineStr"/>
      <c r="Q463" s="2" t="inlineStr"/>
      <c r="R463" s="2" t="inlineStr"/>
      <c r="S463" s="2" t="inlineStr"/>
    </row>
    <row r="464">
      <c r="A464" s="2" t="n">
        <v>463</v>
      </c>
      <c r="B464" s="6" t="inlineStr">
        <is>
          <t>MEDIUM</t>
        </is>
      </c>
      <c r="C464" s="2" t="inlineStr">
        <is>
          <t>Weak website</t>
        </is>
      </c>
      <c r="D464" s="2" t="inlineStr">
        <is>
          <t>The Lavender Cottage</t>
        </is>
      </c>
      <c r="E464" s="2" t="inlineStr">
        <is>
          <t>cafe</t>
        </is>
      </c>
      <c r="F464" s="2" t="inlineStr">
        <is>
          <t>Brisbane</t>
        </is>
      </c>
      <c r="G464" s="2" t="inlineStr">
        <is>
          <t>Facebook</t>
        </is>
      </c>
      <c r="H464" s="2" t="inlineStr"/>
      <c r="I464" s="4" t="inlineStr">
        <is>
          <t>https://www.facebook.com/thelavendercottage152/</t>
        </is>
      </c>
      <c r="J464" s="2" t="inlineStr">
        <is>
          <t>+61 7 3357 9986</t>
        </is>
      </c>
      <c r="K464" s="4" t="inlineStr">
        <is>
          <t>https://thelavendercottage.com.au/</t>
        </is>
      </c>
      <c r="L464" s="2" t="inlineStr">
        <is>
          <t>website address not working (check the business is still open)</t>
        </is>
      </c>
      <c r="M464" s="2" t="inlineStr">
        <is>
          <t>Hi The Lavender Cottage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4" s="4" t="inlineStr">
        <is>
          <t>Open map</t>
        </is>
      </c>
      <c r="O464" s="2" t="inlineStr">
        <is>
          <t>Not contacted</t>
        </is>
      </c>
      <c r="P464" s="2" t="inlineStr"/>
      <c r="Q464" s="2" t="inlineStr"/>
      <c r="R464" s="2" t="inlineStr"/>
      <c r="S464" s="2" t="inlineStr"/>
    </row>
    <row r="465">
      <c r="A465" s="2" t="n">
        <v>464</v>
      </c>
      <c r="B465" s="6" t="inlineStr">
        <is>
          <t>MEDIUM</t>
        </is>
      </c>
      <c r="C465" s="2" t="inlineStr">
        <is>
          <t>Weak website</t>
        </is>
      </c>
      <c r="D465" s="2" t="inlineStr">
        <is>
          <t>The Long Yard Larder</t>
        </is>
      </c>
      <c r="E465" s="2" t="inlineStr">
        <is>
          <t>cafe</t>
        </is>
      </c>
      <c r="F465" s="2" t="inlineStr">
        <is>
          <t>Brisbane</t>
        </is>
      </c>
      <c r="G465" s="2" t="inlineStr">
        <is>
          <t>Instagram</t>
        </is>
      </c>
      <c r="H465" s="4" t="inlineStr">
        <is>
          <t>https://www.instagram.com/longyardlarder</t>
        </is>
      </c>
      <c r="I465" s="2" t="inlineStr"/>
      <c r="J465" s="2" t="inlineStr">
        <is>
          <t>+61 7 3289 3516</t>
        </is>
      </c>
      <c r="K465" s="4" t="inlineStr">
        <is>
          <t>https://longyardlarder.com.au/</t>
        </is>
      </c>
      <c r="L465" s="2" t="inlineStr">
        <is>
          <t>missing page title; missing meta description</t>
        </is>
      </c>
      <c r="M465" s="2" t="inlineStr">
        <is>
          <t>Hi The Long Yard Larder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5" s="4" t="inlineStr">
        <is>
          <t>Open map</t>
        </is>
      </c>
      <c r="O465" s="2" t="inlineStr">
        <is>
          <t>Not contacted</t>
        </is>
      </c>
      <c r="P465" s="2" t="inlineStr"/>
      <c r="Q465" s="2" t="inlineStr"/>
      <c r="R465" s="2" t="inlineStr"/>
      <c r="S465" s="2" t="inlineStr"/>
    </row>
    <row r="466">
      <c r="A466" s="2" t="n">
        <v>465</v>
      </c>
      <c r="B466" s="6" t="inlineStr">
        <is>
          <t>MEDIUM</t>
        </is>
      </c>
      <c r="C466" s="2" t="inlineStr">
        <is>
          <t>Weak website</t>
        </is>
      </c>
      <c r="D466" s="2" t="inlineStr">
        <is>
          <t>Wrapture</t>
        </is>
      </c>
      <c r="E466" s="2" t="inlineStr">
        <is>
          <t>cafe</t>
        </is>
      </c>
      <c r="F466" s="2" t="inlineStr">
        <is>
          <t>Brisbane</t>
        </is>
      </c>
      <c r="G466" s="2" t="inlineStr">
        <is>
          <t>Instagram</t>
        </is>
      </c>
      <c r="H466" s="4" t="inlineStr">
        <is>
          <t>https://www.instagram.com/wrapture_west_end</t>
        </is>
      </c>
      <c r="I466" s="2" t="inlineStr"/>
      <c r="J466" s="2" t="inlineStr">
        <is>
          <t>+61 7 3844 4444</t>
        </is>
      </c>
      <c r="K466" s="4" t="inlineStr">
        <is>
          <t>https://wrapture.bitebusiness.com/</t>
        </is>
      </c>
      <c r="L466" s="2" t="inlineStr">
        <is>
          <t>missing meta description</t>
        </is>
      </c>
      <c r="M466" s="2" t="inlineStr">
        <is>
          <t>Hi Wrapture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6" s="4" t="inlineStr">
        <is>
          <t>Open map</t>
        </is>
      </c>
      <c r="O466" s="2" t="inlineStr">
        <is>
          <t>Not contacted</t>
        </is>
      </c>
      <c r="P466" s="2" t="inlineStr"/>
      <c r="Q466" s="2" t="inlineStr"/>
      <c r="R466" s="2" t="inlineStr"/>
      <c r="S466" s="2" t="inlineStr"/>
    </row>
    <row r="467">
      <c r="A467" s="2" t="n">
        <v>466</v>
      </c>
      <c r="B467" s="6" t="inlineStr">
        <is>
          <t>MEDIUM</t>
        </is>
      </c>
      <c r="C467" s="2" t="inlineStr">
        <is>
          <t>Weak website</t>
        </is>
      </c>
      <c r="D467" s="2" t="inlineStr">
        <is>
          <t>Autobros Wholesale</t>
        </is>
      </c>
      <c r="E467" s="2" t="inlineStr">
        <is>
          <t>car or bike shop</t>
        </is>
      </c>
      <c r="F467" s="2" t="inlineStr">
        <is>
          <t>Brisbane</t>
        </is>
      </c>
      <c r="G467" s="2" t="inlineStr">
        <is>
          <t>Instagram</t>
        </is>
      </c>
      <c r="H467" s="4" t="inlineStr">
        <is>
          <t>https://www.instagram.com/thevkbros/</t>
        </is>
      </c>
      <c r="I467" s="4" t="inlineStr">
        <is>
          <t>https://www.facebook.com/autobroswholesale</t>
        </is>
      </c>
      <c r="J467" s="2" t="inlineStr">
        <is>
          <t>+61 407 379 799</t>
        </is>
      </c>
      <c r="K467" s="4" t="inlineStr">
        <is>
          <t>https://autobros.com.au/</t>
        </is>
      </c>
      <c r="L467" s="2" t="inlineStr">
        <is>
          <t>missing meta description</t>
        </is>
      </c>
      <c r="M467" s="2" t="inlineStr">
        <is>
          <t>Hi Autobros Wholesale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7" s="4" t="inlineStr">
        <is>
          <t>Open map</t>
        </is>
      </c>
      <c r="O467" s="2" t="inlineStr">
        <is>
          <t>Not contacted</t>
        </is>
      </c>
      <c r="P467" s="2" t="inlineStr"/>
      <c r="Q467" s="2" t="inlineStr"/>
      <c r="R467" s="2" t="inlineStr"/>
      <c r="S467" s="2" t="inlineStr"/>
    </row>
    <row r="468">
      <c r="A468" s="2" t="n">
        <v>467</v>
      </c>
      <c r="B468" s="6" t="inlineStr">
        <is>
          <t>MEDIUM</t>
        </is>
      </c>
      <c r="C468" s="2" t="inlineStr">
        <is>
          <t>Weak website</t>
        </is>
      </c>
      <c r="D468" s="2" t="inlineStr">
        <is>
          <t>Cricks Highway Used Cars</t>
        </is>
      </c>
      <c r="E468" s="2" t="inlineStr">
        <is>
          <t>car or bike shop</t>
        </is>
      </c>
      <c r="F468" s="2" t="inlineStr">
        <is>
          <t>Brisbane</t>
        </is>
      </c>
      <c r="G468" s="2" t="inlineStr">
        <is>
          <t>Facebook</t>
        </is>
      </c>
      <c r="H468" s="2" t="inlineStr"/>
      <c r="I468" s="4" t="inlineStr">
        <is>
          <t>https://www.facebook.com/crickshighway</t>
        </is>
      </c>
      <c r="J468" s="2" t="inlineStr">
        <is>
          <t>+61 7 3808 1111</t>
        </is>
      </c>
      <c r="K468" s="4" t="inlineStr">
        <is>
          <t>https://crickshighway.com.au/</t>
        </is>
      </c>
      <c r="L468" s="2" t="inlineStr">
        <is>
          <t>slow to load (3.2s)</t>
        </is>
      </c>
      <c r="M468" s="2" t="inlineStr">
        <is>
          <t>Hi Cricks Highway Used Cars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68" s="4" t="inlineStr">
        <is>
          <t>Open map</t>
        </is>
      </c>
      <c r="O468" s="2" t="inlineStr">
        <is>
          <t>Not contacted</t>
        </is>
      </c>
      <c r="P468" s="2" t="inlineStr"/>
      <c r="Q468" s="2" t="inlineStr"/>
      <c r="R468" s="2" t="inlineStr"/>
      <c r="S468" s="2" t="inlineStr"/>
    </row>
    <row r="469">
      <c r="A469" s="2" t="n">
        <v>468</v>
      </c>
      <c r="B469" s="6" t="inlineStr">
        <is>
          <t>MEDIUM</t>
        </is>
      </c>
      <c r="C469" s="2" t="inlineStr">
        <is>
          <t>Weak website</t>
        </is>
      </c>
      <c r="D469" s="2" t="inlineStr">
        <is>
          <t>Epic Cycles</t>
        </is>
      </c>
      <c r="E469" s="2" t="inlineStr">
        <is>
          <t>car or bike shop</t>
        </is>
      </c>
      <c r="F469" s="2" t="inlineStr">
        <is>
          <t>Brisbane</t>
        </is>
      </c>
      <c r="G469" s="2" t="inlineStr">
        <is>
          <t>Instagram</t>
        </is>
      </c>
      <c r="H469" s="4" t="inlineStr">
        <is>
          <t>https://www.instagram.com/epic_cycles</t>
        </is>
      </c>
      <c r="I469" s="2" t="inlineStr"/>
      <c r="J469" s="2" t="inlineStr">
        <is>
          <t>+61 7 3368 2324</t>
        </is>
      </c>
      <c r="K469" s="4" t="inlineStr">
        <is>
          <t>https://www.epiccycles.com.au/</t>
        </is>
      </c>
      <c r="L469" s="2" t="inlineStr">
        <is>
          <t>slow to load (5.9s)</t>
        </is>
      </c>
      <c r="M469" s="2" t="inlineStr">
        <is>
          <t>Hi Epic Cycles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69" s="4" t="inlineStr">
        <is>
          <t>Open map</t>
        </is>
      </c>
      <c r="O469" s="2" t="inlineStr">
        <is>
          <t>Not contacted</t>
        </is>
      </c>
      <c r="P469" s="2" t="inlineStr"/>
      <c r="Q469" s="2" t="inlineStr"/>
      <c r="R469" s="2" t="inlineStr"/>
      <c r="S469" s="2" t="inlineStr"/>
    </row>
    <row r="470">
      <c r="A470" s="2" t="n">
        <v>469</v>
      </c>
      <c r="B470" s="6" t="inlineStr">
        <is>
          <t>MEDIUM</t>
        </is>
      </c>
      <c r="C470" s="2" t="inlineStr">
        <is>
          <t>Weak website</t>
        </is>
      </c>
      <c r="D470" s="2" t="inlineStr">
        <is>
          <t>Lug+Carrie</t>
        </is>
      </c>
      <c r="E470" s="2" t="inlineStr">
        <is>
          <t>car or bike shop</t>
        </is>
      </c>
      <c r="F470" s="2" t="inlineStr">
        <is>
          <t>Brisbane</t>
        </is>
      </c>
      <c r="G470" s="2" t="inlineStr">
        <is>
          <t>Instagram</t>
        </is>
      </c>
      <c r="H470" s="4" t="inlineStr">
        <is>
          <t>https://www.instagram.com/lugandcarrie</t>
        </is>
      </c>
      <c r="I470" s="4" t="inlineStr">
        <is>
          <t>https://www.facebook.com/groups/388887656648445</t>
        </is>
      </c>
      <c r="J470" s="2" t="inlineStr"/>
      <c r="K470" s="4" t="inlineStr">
        <is>
          <t>https://lug-carrie.com/contact</t>
        </is>
      </c>
      <c r="L470" s="2" t="inlineStr">
        <is>
          <t>looks outdated (copyright 2023); slow to load (4.5s)</t>
        </is>
      </c>
      <c r="M470" s="2" t="inlineStr">
        <is>
          <t>Hi Lug+Carrie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70" s="4" t="inlineStr">
        <is>
          <t>Open map</t>
        </is>
      </c>
      <c r="O470" s="2" t="inlineStr">
        <is>
          <t>Not contacted</t>
        </is>
      </c>
      <c r="P470" s="2" t="inlineStr"/>
      <c r="Q470" s="2" t="inlineStr"/>
      <c r="R470" s="2" t="inlineStr"/>
      <c r="S470" s="2" t="inlineStr"/>
    </row>
    <row r="471">
      <c r="A471" s="2" t="n">
        <v>470</v>
      </c>
      <c r="B471" s="6" t="inlineStr">
        <is>
          <t>MEDIUM</t>
        </is>
      </c>
      <c r="C471" s="2" t="inlineStr">
        <is>
          <t>Weak website</t>
        </is>
      </c>
      <c r="D471" s="2" t="inlineStr">
        <is>
          <t>MyeBike</t>
        </is>
      </c>
      <c r="E471" s="2" t="inlineStr">
        <is>
          <t>car or bike shop</t>
        </is>
      </c>
      <c r="F471" s="2" t="inlineStr">
        <is>
          <t>Brisbane</t>
        </is>
      </c>
      <c r="G471" s="2" t="inlineStr">
        <is>
          <t>Instagram</t>
        </is>
      </c>
      <c r="H471" s="4" t="inlineStr">
        <is>
          <t>https://www.instagram.com/myebikeaustralia</t>
        </is>
      </c>
      <c r="I471" s="2" t="inlineStr"/>
      <c r="J471" s="2" t="inlineStr">
        <is>
          <t>+61 7 3161 7336</t>
        </is>
      </c>
      <c r="K471" s="4" t="inlineStr">
        <is>
          <t>https://www.myebike.com.au</t>
        </is>
      </c>
      <c r="L471" s="2" t="inlineStr">
        <is>
          <t>missing meta description</t>
        </is>
      </c>
      <c r="M471" s="2" t="inlineStr">
        <is>
          <t>Hi MyeBike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1" s="4" t="inlineStr">
        <is>
          <t>Open map</t>
        </is>
      </c>
      <c r="O471" s="2" t="inlineStr">
        <is>
          <t>Not contacted</t>
        </is>
      </c>
      <c r="P471" s="2" t="inlineStr"/>
      <c r="Q471" s="2" t="inlineStr"/>
      <c r="R471" s="2" t="inlineStr"/>
      <c r="S471" s="2" t="inlineStr"/>
    </row>
    <row r="472">
      <c r="A472" s="2" t="n">
        <v>471</v>
      </c>
      <c r="B472" s="6" t="inlineStr">
        <is>
          <t>MEDIUM</t>
        </is>
      </c>
      <c r="C472" s="2" t="inlineStr">
        <is>
          <t>Weak website</t>
        </is>
      </c>
      <c r="D472" s="2" t="inlineStr">
        <is>
          <t>River City Cycles</t>
        </is>
      </c>
      <c r="E472" s="2" t="inlineStr">
        <is>
          <t>car or bike shop</t>
        </is>
      </c>
      <c r="F472" s="2" t="inlineStr">
        <is>
          <t>Brisbane</t>
        </is>
      </c>
      <c r="G472" s="2" t="inlineStr">
        <is>
          <t>Instagram</t>
        </is>
      </c>
      <c r="H472" s="4" t="inlineStr">
        <is>
          <t>https://www.instagram.com/rivercity_cycles</t>
        </is>
      </c>
      <c r="I472" s="2" t="inlineStr"/>
      <c r="J472" s="2" t="inlineStr">
        <is>
          <t>+61 7 3892 4955</t>
        </is>
      </c>
      <c r="K472" s="4" t="inlineStr">
        <is>
          <t>https://www.rivercitycycles.com.au/</t>
        </is>
      </c>
      <c r="L472" s="2" t="inlineStr">
        <is>
          <t>missing meta description; slow to load (5.4s)</t>
        </is>
      </c>
      <c r="M472" s="2" t="inlineStr">
        <is>
          <t>Hi River City Cycles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72" s="4" t="inlineStr">
        <is>
          <t>Open map</t>
        </is>
      </c>
      <c r="O472" s="2" t="inlineStr">
        <is>
          <t>Not contacted</t>
        </is>
      </c>
      <c r="P472" s="2" t="inlineStr"/>
      <c r="Q472" s="2" t="inlineStr"/>
      <c r="R472" s="2" t="inlineStr"/>
      <c r="S472" s="2" t="inlineStr"/>
    </row>
    <row r="473">
      <c r="A473" s="2" t="n">
        <v>472</v>
      </c>
      <c r="B473" s="6" t="inlineStr">
        <is>
          <t>MEDIUM</t>
        </is>
      </c>
      <c r="C473" s="2" t="inlineStr">
        <is>
          <t>Weak website</t>
        </is>
      </c>
      <c r="D473" s="2" t="inlineStr">
        <is>
          <t>Alderley Kindergarten</t>
        </is>
      </c>
      <c r="E473" s="2" t="inlineStr">
        <is>
          <t>childcare</t>
        </is>
      </c>
      <c r="F473" s="2" t="inlineStr">
        <is>
          <t>Brisbane</t>
        </is>
      </c>
      <c r="G473" s="2" t="inlineStr">
        <is>
          <t>Facebook</t>
        </is>
      </c>
      <c r="H473" s="2" t="inlineStr"/>
      <c r="I473" s="4" t="inlineStr">
        <is>
          <t>https://www.facebook.com/AlderleyKindy</t>
        </is>
      </c>
      <c r="J473" s="2" t="inlineStr"/>
      <c r="K473" s="4" t="inlineStr">
        <is>
          <t>https://alderleykindy.com.au</t>
        </is>
      </c>
      <c r="L473" s="2" t="inlineStr">
        <is>
          <t>looks outdated (copyright 2020); missing meta description</t>
        </is>
      </c>
      <c r="M473" s="2" t="inlineStr">
        <is>
          <t>Hi Alderley Kindergarten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3" s="4" t="inlineStr">
        <is>
          <t>Open map</t>
        </is>
      </c>
      <c r="O473" s="2" t="inlineStr">
        <is>
          <t>Not contacted</t>
        </is>
      </c>
      <c r="P473" s="2" t="inlineStr"/>
      <c r="Q473" s="2" t="inlineStr"/>
      <c r="R473" s="2" t="inlineStr"/>
      <c r="S473" s="2" t="inlineStr"/>
    </row>
    <row r="474">
      <c r="A474" s="2" t="n">
        <v>473</v>
      </c>
      <c r="B474" s="6" t="inlineStr">
        <is>
          <t>MEDIUM</t>
        </is>
      </c>
      <c r="C474" s="2" t="inlineStr">
        <is>
          <t>Weak website</t>
        </is>
      </c>
      <c r="D474" s="2" t="inlineStr">
        <is>
          <t>Amaze Early Education and Active Centre</t>
        </is>
      </c>
      <c r="E474" s="2" t="inlineStr">
        <is>
          <t>childcare</t>
        </is>
      </c>
      <c r="F474" s="2" t="inlineStr">
        <is>
          <t>Brisbane</t>
        </is>
      </c>
      <c r="G474" s="2" t="inlineStr">
        <is>
          <t>Instagram</t>
        </is>
      </c>
      <c r="H474" s="4" t="inlineStr">
        <is>
          <t>https://www.instagram.com/amaze_early_education</t>
        </is>
      </c>
      <c r="I474" s="4" t="inlineStr">
        <is>
          <t>https://www.facebook.com/AmazeEducation</t>
        </is>
      </c>
      <c r="J474" s="2" t="inlineStr"/>
      <c r="K474" s="4" t="inlineStr">
        <is>
          <t>https://www.amazeeducation.com.au/location/redbank-plains-child-care-centre/</t>
        </is>
      </c>
      <c r="L474" s="2" t="inlineStr">
        <is>
          <t>slow to load (6.8s)</t>
        </is>
      </c>
      <c r="M474" s="2" t="inlineStr">
        <is>
          <t>Hi Amaze Early Education and Active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74" s="4" t="inlineStr">
        <is>
          <t>Open map</t>
        </is>
      </c>
      <c r="O474" s="2" t="inlineStr">
        <is>
          <t>Not contacted</t>
        </is>
      </c>
      <c r="P474" s="2" t="inlineStr"/>
      <c r="Q474" s="2" t="inlineStr"/>
      <c r="R474" s="2" t="inlineStr"/>
      <c r="S474" s="2" t="inlineStr"/>
    </row>
    <row r="475">
      <c r="A475" s="2" t="n">
        <v>474</v>
      </c>
      <c r="B475" s="6" t="inlineStr">
        <is>
          <t>MEDIUM</t>
        </is>
      </c>
      <c r="C475" s="2" t="inlineStr">
        <is>
          <t>Weak website</t>
        </is>
      </c>
      <c r="D475" s="2" t="inlineStr">
        <is>
          <t>Bardon Community Kindy</t>
        </is>
      </c>
      <c r="E475" s="2" t="inlineStr">
        <is>
          <t>childcare</t>
        </is>
      </c>
      <c r="F475" s="2" t="inlineStr">
        <is>
          <t>Brisbane</t>
        </is>
      </c>
      <c r="G475" s="2" t="inlineStr">
        <is>
          <t>Facebook</t>
        </is>
      </c>
      <c r="H475" s="2" t="inlineStr"/>
      <c r="I475" s="4" t="inlineStr">
        <is>
          <t>https://www.facebook.com/bardonkindy</t>
        </is>
      </c>
      <c r="J475" s="2" t="inlineStr">
        <is>
          <t>+61 7 3369 4697</t>
        </is>
      </c>
      <c r="K475" s="4" t="inlineStr">
        <is>
          <t>https://bardonkindy.com.au/</t>
        </is>
      </c>
      <c r="L475" s="2" t="inlineStr">
        <is>
          <t>looks outdated (copyright 2015); missing meta description</t>
        </is>
      </c>
      <c r="M475" s="2" t="inlineStr">
        <is>
          <t>Hi Bardon Community Kindy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5" s="4" t="inlineStr">
        <is>
          <t>Open map</t>
        </is>
      </c>
      <c r="O475" s="2" t="inlineStr">
        <is>
          <t>Not contacted</t>
        </is>
      </c>
      <c r="P475" s="2" t="inlineStr"/>
      <c r="Q475" s="2" t="inlineStr"/>
      <c r="R475" s="2" t="inlineStr"/>
      <c r="S475" s="2" t="inlineStr"/>
    </row>
    <row r="476">
      <c r="A476" s="2" t="n">
        <v>475</v>
      </c>
      <c r="B476" s="6" t="inlineStr">
        <is>
          <t>MEDIUM</t>
        </is>
      </c>
      <c r="C476" s="2" t="inlineStr">
        <is>
          <t>Weak website</t>
        </is>
      </c>
      <c r="D476" s="2" t="inlineStr">
        <is>
          <t>Bright Beginnings Child Edu-Care Centre</t>
        </is>
      </c>
      <c r="E476" s="2" t="inlineStr">
        <is>
          <t>childcare</t>
        </is>
      </c>
      <c r="F476" s="2" t="inlineStr">
        <is>
          <t>Brisbane</t>
        </is>
      </c>
      <c r="G476" s="2" t="inlineStr">
        <is>
          <t>Instagram</t>
        </is>
      </c>
      <c r="H476" s="4" t="inlineStr">
        <is>
          <t>https://www.instagram.com/brightbeginningsbris</t>
        </is>
      </c>
      <c r="I476" s="4" t="inlineStr">
        <is>
          <t>https://www.facebook.com/BrightBeginningsBrisbane</t>
        </is>
      </c>
      <c r="J476" s="2" t="inlineStr"/>
      <c r="K476" s="4" t="inlineStr">
        <is>
          <t>https://bright-beginnings.com.au</t>
        </is>
      </c>
      <c r="L476" s="2" t="inlineStr">
        <is>
          <t>slow to load (3.8s)</t>
        </is>
      </c>
      <c r="M476" s="2" t="inlineStr">
        <is>
          <t>Hi Bright Beginnings Child Edu-Care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76" s="4" t="inlineStr">
        <is>
          <t>Open map</t>
        </is>
      </c>
      <c r="O476" s="2" t="inlineStr">
        <is>
          <t>Not contacted</t>
        </is>
      </c>
      <c r="P476" s="2" t="inlineStr"/>
      <c r="Q476" s="2" t="inlineStr"/>
      <c r="R476" s="2" t="inlineStr"/>
      <c r="S476" s="2" t="inlineStr"/>
    </row>
    <row r="477">
      <c r="A477" s="2" t="n">
        <v>476</v>
      </c>
      <c r="B477" s="6" t="inlineStr">
        <is>
          <t>MEDIUM</t>
        </is>
      </c>
      <c r="C477" s="2" t="inlineStr">
        <is>
          <t>Weak website</t>
        </is>
      </c>
      <c r="D477" s="2" t="inlineStr">
        <is>
          <t>Brookfield Early Childhood Centre</t>
        </is>
      </c>
      <c r="E477" s="2" t="inlineStr">
        <is>
          <t>childcare</t>
        </is>
      </c>
      <c r="F477" s="2" t="inlineStr">
        <is>
          <t>Brisbane</t>
        </is>
      </c>
      <c r="G477" s="2" t="inlineStr">
        <is>
          <t>Facebook</t>
        </is>
      </c>
      <c r="H477" s="2" t="inlineStr"/>
      <c r="I477" s="4" t="inlineStr">
        <is>
          <t>https://www.facebook.com/Brookfield-Early-Childhood-Centre-519420011485717</t>
        </is>
      </c>
      <c r="J477" s="2" t="inlineStr"/>
      <c r="K477" s="4" t="inlineStr">
        <is>
          <t>https://brookfieldecc.com.au/</t>
        </is>
      </c>
      <c r="L477" s="2" t="inlineStr">
        <is>
          <t>looks outdated (copyright 2020)</t>
        </is>
      </c>
      <c r="M477" s="2" t="inlineStr">
        <is>
          <t>Hi Brookfield Early Childhood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7" s="4" t="inlineStr">
        <is>
          <t>Open map</t>
        </is>
      </c>
      <c r="O477" s="2" t="inlineStr">
        <is>
          <t>Not contacted</t>
        </is>
      </c>
      <c r="P477" s="2" t="inlineStr"/>
      <c r="Q477" s="2" t="inlineStr"/>
      <c r="R477" s="2" t="inlineStr"/>
      <c r="S477" s="2" t="inlineStr"/>
    </row>
    <row r="478">
      <c r="A478" s="2" t="n">
        <v>477</v>
      </c>
      <c r="B478" s="6" t="inlineStr">
        <is>
          <t>MEDIUM</t>
        </is>
      </c>
      <c r="C478" s="2" t="inlineStr">
        <is>
          <t>Weak website</t>
        </is>
      </c>
      <c r="D478" s="2" t="inlineStr">
        <is>
          <t>Bulimba Community Kindergarten</t>
        </is>
      </c>
      <c r="E478" s="2" t="inlineStr">
        <is>
          <t>childcare</t>
        </is>
      </c>
      <c r="F478" s="2" t="inlineStr">
        <is>
          <t>Brisbane</t>
        </is>
      </c>
      <c r="G478" s="2" t="inlineStr">
        <is>
          <t>Instagram</t>
        </is>
      </c>
      <c r="H478" s="4" t="inlineStr">
        <is>
          <t>https://www.instagram.com/bulimbakindy</t>
        </is>
      </c>
      <c r="I478" s="4" t="inlineStr">
        <is>
          <t>http://www.facebook.com/bulimbakindy</t>
        </is>
      </c>
      <c r="J478" s="2" t="inlineStr"/>
      <c r="K478" s="4" t="inlineStr">
        <is>
          <t>https://www.bulimbakindy.com.au/</t>
        </is>
      </c>
      <c r="L478" s="2" t="inlineStr">
        <is>
          <t>missing meta description</t>
        </is>
      </c>
      <c r="M478" s="2" t="inlineStr">
        <is>
          <t>Hi Bulimba Community Kindergarten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8" s="4" t="inlineStr">
        <is>
          <t>Open map</t>
        </is>
      </c>
      <c r="O478" s="2" t="inlineStr">
        <is>
          <t>Not contacted</t>
        </is>
      </c>
      <c r="P478" s="2" t="inlineStr"/>
      <c r="Q478" s="2" t="inlineStr"/>
      <c r="R478" s="2" t="inlineStr"/>
      <c r="S478" s="2" t="inlineStr"/>
    </row>
    <row r="479">
      <c r="A479" s="2" t="n">
        <v>478</v>
      </c>
      <c r="B479" s="6" t="inlineStr">
        <is>
          <t>MEDIUM</t>
        </is>
      </c>
      <c r="C479" s="2" t="inlineStr">
        <is>
          <t>Weak website</t>
        </is>
      </c>
      <c r="D479" s="2" t="inlineStr">
        <is>
          <t>C&amp;K Mott Park Kindergarten</t>
        </is>
      </c>
      <c r="E479" s="2" t="inlineStr">
        <is>
          <t>childcare</t>
        </is>
      </c>
      <c r="F479" s="2" t="inlineStr">
        <is>
          <t>Brisbane</t>
        </is>
      </c>
      <c r="G479" s="2" t="inlineStr">
        <is>
          <t>Instagram</t>
        </is>
      </c>
      <c r="H479" s="4" t="inlineStr">
        <is>
          <t>https://www.instagram.com/mott_park_kindy</t>
        </is>
      </c>
      <c r="I479" s="4" t="inlineStr">
        <is>
          <t>https://www.facebook.com/mottparkkindy</t>
        </is>
      </c>
      <c r="J479" s="2" t="inlineStr">
        <is>
          <t>+61 7 3397 9119</t>
        </is>
      </c>
      <c r="K479" s="4" t="inlineStr">
        <is>
          <t>https://www.mottparkkindy.com/</t>
        </is>
      </c>
      <c r="L479" s="2" t="inlineStr">
        <is>
          <t>looks outdated (copyright 2021)</t>
        </is>
      </c>
      <c r="M479" s="2" t="inlineStr">
        <is>
          <t>Hi C&amp;K Mott Park Kindergarten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79" s="4" t="inlineStr">
        <is>
          <t>Open map</t>
        </is>
      </c>
      <c r="O479" s="2" t="inlineStr">
        <is>
          <t>Not contacted</t>
        </is>
      </c>
      <c r="P479" s="2" t="inlineStr"/>
      <c r="Q479" s="2" t="inlineStr"/>
      <c r="R479" s="2" t="inlineStr"/>
      <c r="S479" s="2" t="inlineStr"/>
    </row>
    <row r="480">
      <c r="A480" s="2" t="n">
        <v>479</v>
      </c>
      <c r="B480" s="6" t="inlineStr">
        <is>
          <t>MEDIUM</t>
        </is>
      </c>
      <c r="C480" s="2" t="inlineStr">
        <is>
          <t>Weak website</t>
        </is>
      </c>
      <c r="D480" s="2" t="inlineStr">
        <is>
          <t>Carina Kindergarten</t>
        </is>
      </c>
      <c r="E480" s="2" t="inlineStr">
        <is>
          <t>childcare</t>
        </is>
      </c>
      <c r="F480" s="2" t="inlineStr">
        <is>
          <t>Brisbane</t>
        </is>
      </c>
      <c r="G480" s="2" t="inlineStr">
        <is>
          <t>Facebook</t>
        </is>
      </c>
      <c r="H480" s="2" t="inlineStr"/>
      <c r="I480" s="4" t="inlineStr">
        <is>
          <t>https://www.facebook.com/Carina-CK-Kindy-1535115213431205</t>
        </is>
      </c>
      <c r="J480" s="2" t="inlineStr"/>
      <c r="K480" s="4" t="inlineStr">
        <is>
          <t>https://www.carinakindy.org.au/</t>
        </is>
      </c>
      <c r="L480" s="2" t="inlineStr">
        <is>
          <t>looks outdated (copyright 2020)</t>
        </is>
      </c>
      <c r="M480" s="2" t="inlineStr">
        <is>
          <t>Hi Carina Kindergarten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0" s="4" t="inlineStr">
        <is>
          <t>Open map</t>
        </is>
      </c>
      <c r="O480" s="2" t="inlineStr">
        <is>
          <t>Not contacted</t>
        </is>
      </c>
      <c r="P480" s="2" t="inlineStr"/>
      <c r="Q480" s="2" t="inlineStr"/>
      <c r="R480" s="2" t="inlineStr"/>
      <c r="S480" s="2" t="inlineStr"/>
    </row>
    <row r="481">
      <c r="A481" s="2" t="n">
        <v>480</v>
      </c>
      <c r="B481" s="6" t="inlineStr">
        <is>
          <t>MEDIUM</t>
        </is>
      </c>
      <c r="C481" s="2" t="inlineStr">
        <is>
          <t>Weak website</t>
        </is>
      </c>
      <c r="D481" s="2" t="inlineStr">
        <is>
          <t>Centenary Childcare &amp; Early Education Centre</t>
        </is>
      </c>
      <c r="E481" s="2" t="inlineStr">
        <is>
          <t>childcare</t>
        </is>
      </c>
      <c r="F481" s="2" t="inlineStr">
        <is>
          <t>Brisbane</t>
        </is>
      </c>
      <c r="G481" s="2" t="inlineStr">
        <is>
          <t>Instagram</t>
        </is>
      </c>
      <c r="H481" s="4" t="inlineStr">
        <is>
          <t>https://www.instagram.com/centenary_childcare</t>
        </is>
      </c>
      <c r="I481" s="4" t="inlineStr">
        <is>
          <t>https://www.facebook.com/Centenarychildcareandearlyeducationcentre</t>
        </is>
      </c>
      <c r="J481" s="2" t="inlineStr"/>
      <c r="K481" s="4" t="inlineStr">
        <is>
          <t>https://www.centenarychildcare.com.au/</t>
        </is>
      </c>
      <c r="L481" s="2" t="inlineStr">
        <is>
          <t>slow to load (3.5s)</t>
        </is>
      </c>
      <c r="M481" s="2" t="inlineStr">
        <is>
          <t>Hi Centenary Childcare &amp; Early Education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81" s="4" t="inlineStr">
        <is>
          <t>Open map</t>
        </is>
      </c>
      <c r="O481" s="2" t="inlineStr">
        <is>
          <t>Not contacted</t>
        </is>
      </c>
      <c r="P481" s="2" t="inlineStr"/>
      <c r="Q481" s="2" t="inlineStr"/>
      <c r="R481" s="2" t="inlineStr"/>
      <c r="S481" s="2" t="inlineStr"/>
    </row>
    <row r="482">
      <c r="A482" s="2" t="n">
        <v>481</v>
      </c>
      <c r="B482" s="6" t="inlineStr">
        <is>
          <t>MEDIUM</t>
        </is>
      </c>
      <c r="C482" s="2" t="inlineStr">
        <is>
          <t>Weak website</t>
        </is>
      </c>
      <c r="D482" s="2" t="inlineStr">
        <is>
          <t>Cottage Academy Early Learning &amp; Childcare Centre</t>
        </is>
      </c>
      <c r="E482" s="2" t="inlineStr">
        <is>
          <t>childcare</t>
        </is>
      </c>
      <c r="F482" s="2" t="inlineStr">
        <is>
          <t>Brisbane</t>
        </is>
      </c>
      <c r="G482" s="2" t="inlineStr">
        <is>
          <t>Instagram</t>
        </is>
      </c>
      <c r="H482" s="4" t="inlineStr">
        <is>
          <t>https://www.instagram.com/cottageacademy_earlylearning</t>
        </is>
      </c>
      <c r="I482" s="4" t="inlineStr">
        <is>
          <t>https://www.facebook.com/cottageacademy</t>
        </is>
      </c>
      <c r="J482" s="2" t="inlineStr"/>
      <c r="K482" s="4" t="inlineStr">
        <is>
          <t>https://cottageacademy.com.au/</t>
        </is>
      </c>
      <c r="L482" s="2" t="inlineStr">
        <is>
          <t>missing meta description</t>
        </is>
      </c>
      <c r="M482" s="2" t="inlineStr">
        <is>
          <t>Hi Cottage Academy Early Learning &amp; Childcare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2" s="4" t="inlineStr">
        <is>
          <t>Open map</t>
        </is>
      </c>
      <c r="O482" s="2" t="inlineStr">
        <is>
          <t>Not contacted</t>
        </is>
      </c>
      <c r="P482" s="2" t="inlineStr"/>
      <c r="Q482" s="2" t="inlineStr"/>
      <c r="R482" s="2" t="inlineStr"/>
      <c r="S482" s="2" t="inlineStr"/>
    </row>
    <row r="483">
      <c r="A483" s="2" t="n">
        <v>482</v>
      </c>
      <c r="B483" s="6" t="inlineStr">
        <is>
          <t>MEDIUM</t>
        </is>
      </c>
      <c r="C483" s="2" t="inlineStr">
        <is>
          <t>Weak website</t>
        </is>
      </c>
      <c r="D483" s="2" t="inlineStr">
        <is>
          <t>Crestmead Early Education Centre</t>
        </is>
      </c>
      <c r="E483" s="2" t="inlineStr">
        <is>
          <t>childcare</t>
        </is>
      </c>
      <c r="F483" s="2" t="inlineStr">
        <is>
          <t>Brisbane</t>
        </is>
      </c>
      <c r="G483" s="2" t="inlineStr">
        <is>
          <t>Instagram</t>
        </is>
      </c>
      <c r="H483" s="4" t="inlineStr">
        <is>
          <t>https://instagram.com/queenslandchildcareservices</t>
        </is>
      </c>
      <c r="I483" s="4" t="inlineStr">
        <is>
          <t>https://www.facebook.com/QCCS.1</t>
        </is>
      </c>
      <c r="J483" s="2" t="inlineStr"/>
      <c r="K483" s="4" t="inlineStr">
        <is>
          <t>https://www.qccs.com.au/centre/crestmead/</t>
        </is>
      </c>
      <c r="L483" s="2" t="inlineStr">
        <is>
          <t>missing meta description</t>
        </is>
      </c>
      <c r="M483" s="2" t="inlineStr">
        <is>
          <t>Hi Crestmead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3" s="4" t="inlineStr">
        <is>
          <t>Open map</t>
        </is>
      </c>
      <c r="O483" s="2" t="inlineStr">
        <is>
          <t>Not contacted</t>
        </is>
      </c>
      <c r="P483" s="2" t="inlineStr"/>
      <c r="Q483" s="2" t="inlineStr"/>
      <c r="R483" s="2" t="inlineStr"/>
      <c r="S483" s="2" t="inlineStr"/>
    </row>
    <row r="484">
      <c r="A484" s="2" t="n">
        <v>483</v>
      </c>
      <c r="B484" s="6" t="inlineStr">
        <is>
          <t>MEDIUM</t>
        </is>
      </c>
      <c r="C484" s="2" t="inlineStr">
        <is>
          <t>Weak website</t>
        </is>
      </c>
      <c r="D484" s="2" t="inlineStr">
        <is>
          <t>Daisy Hill Early Learning Centre</t>
        </is>
      </c>
      <c r="E484" s="2" t="inlineStr">
        <is>
          <t>childcare</t>
        </is>
      </c>
      <c r="F484" s="2" t="inlineStr">
        <is>
          <t>Brisbane</t>
        </is>
      </c>
      <c r="G484" s="2" t="inlineStr">
        <is>
          <t>Facebook</t>
        </is>
      </c>
      <c r="H484" s="2" t="inlineStr"/>
      <c r="I484" s="4" t="inlineStr">
        <is>
          <t>https://www.facebook.com/KAlDaisyHill</t>
        </is>
      </c>
      <c r="J484" s="2" t="inlineStr"/>
      <c r="K484" s="4" t="inlineStr">
        <is>
          <t>https://yourelc.com.au/daisy-hill/</t>
        </is>
      </c>
      <c r="L484" s="2" t="inlineStr">
        <is>
          <t>slow to load (3.0s)</t>
        </is>
      </c>
      <c r="M484" s="2" t="inlineStr">
        <is>
          <t>Hi Daisy Hill Early Learning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84" s="4" t="inlineStr">
        <is>
          <t>Open map</t>
        </is>
      </c>
      <c r="O484" s="2" t="inlineStr">
        <is>
          <t>Not contacted</t>
        </is>
      </c>
      <c r="P484" s="2" t="inlineStr"/>
      <c r="Q484" s="2" t="inlineStr"/>
      <c r="R484" s="2" t="inlineStr"/>
      <c r="S484" s="2" t="inlineStr"/>
    </row>
    <row r="485">
      <c r="A485" s="2" t="n">
        <v>484</v>
      </c>
      <c r="B485" s="6" t="inlineStr">
        <is>
          <t>MEDIUM</t>
        </is>
      </c>
      <c r="C485" s="2" t="inlineStr">
        <is>
          <t>Weak website</t>
        </is>
      </c>
      <c r="D485" s="2" t="inlineStr">
        <is>
          <t>Everton Park Child Care &amp; Development Centre</t>
        </is>
      </c>
      <c r="E485" s="2" t="inlineStr">
        <is>
          <t>childcare</t>
        </is>
      </c>
      <c r="F485" s="2" t="inlineStr">
        <is>
          <t>Brisbane</t>
        </is>
      </c>
      <c r="G485" s="2" t="inlineStr">
        <is>
          <t>Facebook</t>
        </is>
      </c>
      <c r="H485" s="2" t="inlineStr"/>
      <c r="I485" s="4" t="inlineStr">
        <is>
          <t>https://www.facebook.com/EvertonParkChildCare</t>
        </is>
      </c>
      <c r="J485" s="2" t="inlineStr"/>
      <c r="K485" s="4" t="inlineStr">
        <is>
          <t>https://www.evertonparkchildcare.com.au</t>
        </is>
      </c>
      <c r="L485" s="2" t="inlineStr">
        <is>
          <t>missing meta description; slow to load (3.1s)</t>
        </is>
      </c>
      <c r="M485" s="2" t="inlineStr">
        <is>
          <t>Hi Everton Park Child Care &amp; Development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85" s="4" t="inlineStr">
        <is>
          <t>Open map</t>
        </is>
      </c>
      <c r="O485" s="2" t="inlineStr">
        <is>
          <t>Not contacted</t>
        </is>
      </c>
      <c r="P485" s="2" t="inlineStr"/>
      <c r="Q485" s="2" t="inlineStr"/>
      <c r="R485" s="2" t="inlineStr"/>
      <c r="S485" s="2" t="inlineStr"/>
    </row>
    <row r="486">
      <c r="A486" s="2" t="n">
        <v>485</v>
      </c>
      <c r="B486" s="6" t="inlineStr">
        <is>
          <t>MEDIUM</t>
        </is>
      </c>
      <c r="C486" s="2" t="inlineStr">
        <is>
          <t>Weak website</t>
        </is>
      </c>
      <c r="D486" s="2" t="inlineStr">
        <is>
          <t>Flutterbys Childcare</t>
        </is>
      </c>
      <c r="E486" s="2" t="inlineStr">
        <is>
          <t>childcare</t>
        </is>
      </c>
      <c r="F486" s="2" t="inlineStr">
        <is>
          <t>Brisbane</t>
        </is>
      </c>
      <c r="G486" s="2" t="inlineStr">
        <is>
          <t>Instagram</t>
        </is>
      </c>
      <c r="H486" s="4" t="inlineStr">
        <is>
          <t>https://www.instagram.com/flutterbys_edc</t>
        </is>
      </c>
      <c r="I486" s="4" t="inlineStr">
        <is>
          <t>https://www.facebook.com/Flutterbyschild</t>
        </is>
      </c>
      <c r="J486" s="2" t="inlineStr"/>
      <c r="K486" s="4" t="inlineStr">
        <is>
          <t>https://www.flutterbyschildcare.com.au</t>
        </is>
      </c>
      <c r="L486" s="2" t="inlineStr">
        <is>
          <t>looks outdated (copyright 2023); missing meta description</t>
        </is>
      </c>
      <c r="M486" s="2" t="inlineStr">
        <is>
          <t>Hi Flutterbys Childcare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6" s="4" t="inlineStr">
        <is>
          <t>Open map</t>
        </is>
      </c>
      <c r="O486" s="2" t="inlineStr">
        <is>
          <t>Not contacted</t>
        </is>
      </c>
      <c r="P486" s="2" t="inlineStr"/>
      <c r="Q486" s="2" t="inlineStr"/>
      <c r="R486" s="2" t="inlineStr"/>
      <c r="S486" s="2" t="inlineStr"/>
    </row>
    <row r="487">
      <c r="A487" s="2" t="n">
        <v>486</v>
      </c>
      <c r="B487" s="6" t="inlineStr">
        <is>
          <t>MEDIUM</t>
        </is>
      </c>
      <c r="C487" s="2" t="inlineStr">
        <is>
          <t>Weak website</t>
        </is>
      </c>
      <c r="D487" s="2" t="inlineStr">
        <is>
          <t>Green Eggs Early Childhood Centre</t>
        </is>
      </c>
      <c r="E487" s="2" t="inlineStr">
        <is>
          <t>childcare</t>
        </is>
      </c>
      <c r="F487" s="2" t="inlineStr">
        <is>
          <t>Brisbane</t>
        </is>
      </c>
      <c r="G487" s="2" t="inlineStr">
        <is>
          <t>Facebook</t>
        </is>
      </c>
      <c r="H487" s="2" t="inlineStr"/>
      <c r="I487" s="4" t="inlineStr">
        <is>
          <t>https://www.facebook.com/GreenEggsChildCare</t>
        </is>
      </c>
      <c r="J487" s="2" t="inlineStr">
        <is>
          <t>+61 2 3349 3233</t>
        </is>
      </c>
      <c r="K487" s="4" t="inlineStr">
        <is>
          <t>https://greeneggschildcare.com.au/</t>
        </is>
      </c>
      <c r="L487" s="2" t="inlineStr">
        <is>
          <t>looks outdated (copyright 2015); missing meta description</t>
        </is>
      </c>
      <c r="M487" s="2" t="inlineStr">
        <is>
          <t>Hi Green Eggs Early Childhood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7" s="4" t="inlineStr">
        <is>
          <t>Open map</t>
        </is>
      </c>
      <c r="O487" s="2" t="inlineStr">
        <is>
          <t>Not contacted</t>
        </is>
      </c>
      <c r="P487" s="2" t="inlineStr"/>
      <c r="Q487" s="2" t="inlineStr"/>
      <c r="R487" s="2" t="inlineStr"/>
      <c r="S487" s="2" t="inlineStr"/>
    </row>
    <row r="488">
      <c r="A488" s="2" t="n">
        <v>487</v>
      </c>
      <c r="B488" s="6" t="inlineStr">
        <is>
          <t>MEDIUM</t>
        </is>
      </c>
      <c r="C488" s="2" t="inlineStr">
        <is>
          <t>Weak website</t>
        </is>
      </c>
      <c r="D488" s="2" t="inlineStr">
        <is>
          <t>Guppy's Early Learning Centre</t>
        </is>
      </c>
      <c r="E488" s="2" t="inlineStr">
        <is>
          <t>childcare</t>
        </is>
      </c>
      <c r="F488" s="2" t="inlineStr">
        <is>
          <t>Brisbane</t>
        </is>
      </c>
      <c r="G488" s="2" t="inlineStr">
        <is>
          <t>Instagram</t>
        </is>
      </c>
      <c r="H488" s="4" t="inlineStr">
        <is>
          <t>https://www.instagram.com/guppysearlylearning</t>
        </is>
      </c>
      <c r="I488" s="4" t="inlineStr">
        <is>
          <t>https://www.facebook.com/pages/Guppys-Early-Learning-Centre/964521513576728</t>
        </is>
      </c>
      <c r="J488" s="2" t="inlineStr">
        <is>
          <t>+61 7 3861 4675</t>
        </is>
      </c>
      <c r="K488" s="4" t="inlineStr">
        <is>
          <t>https://guppys.com.au/centres/chermside-west/</t>
        </is>
      </c>
      <c r="L488" s="2" t="inlineStr">
        <is>
          <t>looks outdated (copyright 2019)</t>
        </is>
      </c>
      <c r="M488" s="2" t="inlineStr">
        <is>
          <t>Hi Guppy's Early Learning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8" s="4" t="inlineStr">
        <is>
          <t>Open map</t>
        </is>
      </c>
      <c r="O488" s="2" t="inlineStr">
        <is>
          <t>Not contacted</t>
        </is>
      </c>
      <c r="P488" s="2" t="inlineStr"/>
      <c r="Q488" s="2" t="inlineStr"/>
      <c r="R488" s="2" t="inlineStr"/>
      <c r="S488" s="2" t="inlineStr"/>
    </row>
    <row r="489">
      <c r="A489" s="2" t="n">
        <v>488</v>
      </c>
      <c r="B489" s="6" t="inlineStr">
        <is>
          <t>MEDIUM</t>
        </is>
      </c>
      <c r="C489" s="2" t="inlineStr">
        <is>
          <t>Weak website</t>
        </is>
      </c>
      <c r="D489" s="2" t="inlineStr">
        <is>
          <t>Guppy's Early Learning Centre - Acacia Ridge</t>
        </is>
      </c>
      <c r="E489" s="2" t="inlineStr">
        <is>
          <t>childcare</t>
        </is>
      </c>
      <c r="F489" s="2" t="inlineStr">
        <is>
          <t>Brisbane</t>
        </is>
      </c>
      <c r="G489" s="2" t="inlineStr">
        <is>
          <t>Instagram</t>
        </is>
      </c>
      <c r="H489" s="4" t="inlineStr">
        <is>
          <t>https://www.instagram.com/guppysearlylearning</t>
        </is>
      </c>
      <c r="I489" s="4" t="inlineStr">
        <is>
          <t>https://www.facebook.com/pages/Guppys-Early-Learning-Centre/964521513576728</t>
        </is>
      </c>
      <c r="J489" s="2" t="inlineStr"/>
      <c r="K489" s="4" t="inlineStr">
        <is>
          <t>https://guppys.com.au/centres/acacia-ridge/</t>
        </is>
      </c>
      <c r="L489" s="2" t="inlineStr">
        <is>
          <t>looks outdated (copyright 2019)</t>
        </is>
      </c>
      <c r="M489" s="2" t="inlineStr">
        <is>
          <t>Hi Guppy's Early Learning Centre - Acacia Ridge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9" s="4" t="inlineStr">
        <is>
          <t>Open map</t>
        </is>
      </c>
      <c r="O489" s="2" t="inlineStr">
        <is>
          <t>Not contacted</t>
        </is>
      </c>
      <c r="P489" s="2" t="inlineStr"/>
      <c r="Q489" s="2" t="inlineStr"/>
      <c r="R489" s="2" t="inlineStr"/>
      <c r="S489" s="2" t="inlineStr"/>
    </row>
    <row r="490">
      <c r="A490" s="2" t="n">
        <v>489</v>
      </c>
      <c r="B490" s="6" t="inlineStr">
        <is>
          <t>MEDIUM</t>
        </is>
      </c>
      <c r="C490" s="2" t="inlineStr">
        <is>
          <t>Weak website</t>
        </is>
      </c>
      <c r="D490" s="2" t="inlineStr">
        <is>
          <t>Harmony Early Education Griffin</t>
        </is>
      </c>
      <c r="E490" s="2" t="inlineStr">
        <is>
          <t>childcare</t>
        </is>
      </c>
      <c r="F490" s="2" t="inlineStr">
        <is>
          <t>Brisbane</t>
        </is>
      </c>
      <c r="G490" s="2" t="inlineStr">
        <is>
          <t>Instagram</t>
        </is>
      </c>
      <c r="H490" s="4" t="inlineStr">
        <is>
          <t>https://www.instagram.com/harmony.griffin_</t>
        </is>
      </c>
      <c r="I490" s="4" t="inlineStr">
        <is>
          <t>https://www.facebook.com/profile.php</t>
        </is>
      </c>
      <c r="J490" s="2" t="inlineStr">
        <is>
          <t>+61 7 3606 0231</t>
        </is>
      </c>
      <c r="K490" s="4" t="inlineStr">
        <is>
          <t>https://harmonylearning.com.au/our-centres/griffin/</t>
        </is>
      </c>
      <c r="L490" s="2" t="inlineStr">
        <is>
          <t>missing meta description</t>
        </is>
      </c>
      <c r="M490" s="2" t="inlineStr">
        <is>
          <t>Hi Harmony Early Education Griffin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0" s="4" t="inlineStr">
        <is>
          <t>Open map</t>
        </is>
      </c>
      <c r="O490" s="2" t="inlineStr">
        <is>
          <t>Not contacted</t>
        </is>
      </c>
      <c r="P490" s="2" t="inlineStr"/>
      <c r="Q490" s="2" t="inlineStr"/>
      <c r="R490" s="2" t="inlineStr"/>
      <c r="S490" s="2" t="inlineStr"/>
    </row>
    <row r="491">
      <c r="A491" s="2" t="n">
        <v>490</v>
      </c>
      <c r="B491" s="6" t="inlineStr">
        <is>
          <t>MEDIUM</t>
        </is>
      </c>
      <c r="C491" s="2" t="inlineStr">
        <is>
          <t>Weak website</t>
        </is>
      </c>
      <c r="D491" s="2" t="inlineStr">
        <is>
          <t>Harmony Early Learning Coorparoo</t>
        </is>
      </c>
      <c r="E491" s="2" t="inlineStr">
        <is>
          <t>childcare</t>
        </is>
      </c>
      <c r="F491" s="2" t="inlineStr">
        <is>
          <t>Brisbane</t>
        </is>
      </c>
      <c r="G491" s="2" t="inlineStr">
        <is>
          <t>Instagram</t>
        </is>
      </c>
      <c r="H491" s="4" t="inlineStr">
        <is>
          <t>https://www.instagram.com/harmony.coorparoo</t>
        </is>
      </c>
      <c r="I491" s="4" t="inlineStr">
        <is>
          <t>https://www.facebook.com/harmonyearlyeducation</t>
        </is>
      </c>
      <c r="J491" s="2" t="inlineStr"/>
      <c r="K491" s="4" t="inlineStr">
        <is>
          <t>http://harmonylearning.com.au/centres/coorparoo/</t>
        </is>
      </c>
      <c r="L491" s="2" t="inlineStr">
        <is>
          <t>no HTTPS (browser shows 'Not secure'); missing meta description</t>
        </is>
      </c>
      <c r="M491" s="2" t="inlineStr">
        <is>
          <t>Hi Harmony Early Learning Coorparoo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1" s="4" t="inlineStr">
        <is>
          <t>Open map</t>
        </is>
      </c>
      <c r="O491" s="2" t="inlineStr">
        <is>
          <t>Not contacted</t>
        </is>
      </c>
      <c r="P491" s="2" t="inlineStr"/>
      <c r="Q491" s="2" t="inlineStr"/>
      <c r="R491" s="2" t="inlineStr"/>
      <c r="S491" s="2" t="inlineStr"/>
    </row>
    <row r="492">
      <c r="A492" s="2" t="n">
        <v>491</v>
      </c>
      <c r="B492" s="6" t="inlineStr">
        <is>
          <t>MEDIUM</t>
        </is>
      </c>
      <c r="C492" s="2" t="inlineStr">
        <is>
          <t>Weak website</t>
        </is>
      </c>
      <c r="D492" s="2" t="inlineStr">
        <is>
          <t>Harmony Early Learning Journey</t>
        </is>
      </c>
      <c r="E492" s="2" t="inlineStr">
        <is>
          <t>childcare</t>
        </is>
      </c>
      <c r="F492" s="2" t="inlineStr">
        <is>
          <t>Brisbane</t>
        </is>
      </c>
      <c r="G492" s="2" t="inlineStr">
        <is>
          <t>Instagram</t>
        </is>
      </c>
      <c r="H492" s="4" t="inlineStr">
        <is>
          <t>https://www.instagram.com/harmony.greenslopes</t>
        </is>
      </c>
      <c r="I492" s="4" t="inlineStr">
        <is>
          <t>https://www.facebook.com/harmonyearlyeducationgreenslopes</t>
        </is>
      </c>
      <c r="J492" s="2" t="inlineStr"/>
      <c r="K492" s="4" t="inlineStr">
        <is>
          <t>http://harmonylearning.com.au/centres/greenslopes/</t>
        </is>
      </c>
      <c r="L492" s="2" t="inlineStr">
        <is>
          <t>no HTTPS (browser shows 'Not secure'); missing meta description</t>
        </is>
      </c>
      <c r="M492" s="2" t="inlineStr">
        <is>
          <t>Hi Harmony Early Learning Journey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2" s="4" t="inlineStr">
        <is>
          <t>Open map</t>
        </is>
      </c>
      <c r="O492" s="2" t="inlineStr">
        <is>
          <t>Not contacted</t>
        </is>
      </c>
      <c r="P492" s="2" t="inlineStr"/>
      <c r="Q492" s="2" t="inlineStr"/>
      <c r="R492" s="2" t="inlineStr"/>
      <c r="S492" s="2" t="inlineStr"/>
    </row>
    <row r="493">
      <c r="A493" s="2" t="n">
        <v>492</v>
      </c>
      <c r="B493" s="6" t="inlineStr">
        <is>
          <t>MEDIUM</t>
        </is>
      </c>
      <c r="C493" s="2" t="inlineStr">
        <is>
          <t>Weak website</t>
        </is>
      </c>
      <c r="D493" s="2" t="inlineStr">
        <is>
          <t>Harty Street Kindergarten C&amp;K</t>
        </is>
      </c>
      <c r="E493" s="2" t="inlineStr">
        <is>
          <t>childcare</t>
        </is>
      </c>
      <c r="F493" s="2" t="inlineStr">
        <is>
          <t>Brisbane</t>
        </is>
      </c>
      <c r="G493" s="2" t="inlineStr">
        <is>
          <t>Instagram</t>
        </is>
      </c>
      <c r="H493" s="4" t="inlineStr">
        <is>
          <t>https://www.instagram.com/hartystreetkindy</t>
        </is>
      </c>
      <c r="I493" s="2" t="inlineStr"/>
      <c r="J493" s="2" t="inlineStr"/>
      <c r="K493" s="4" t="inlineStr">
        <is>
          <t>https://www.hartyst.org.au/</t>
        </is>
      </c>
      <c r="L493" s="2" t="inlineStr">
        <is>
          <t>missing meta description</t>
        </is>
      </c>
      <c r="M493" s="2" t="inlineStr">
        <is>
          <t>Hi Harty Street Kindergarten C&amp;K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3" s="4" t="inlineStr">
        <is>
          <t>Open map</t>
        </is>
      </c>
      <c r="O493" s="2" t="inlineStr">
        <is>
          <t>Not contacted</t>
        </is>
      </c>
      <c r="P493" s="2" t="inlineStr"/>
      <c r="Q493" s="2" t="inlineStr"/>
      <c r="R493" s="2" t="inlineStr"/>
      <c r="S493" s="2" t="inlineStr"/>
    </row>
    <row r="494">
      <c r="A494" s="2" t="n">
        <v>493</v>
      </c>
      <c r="B494" s="6" t="inlineStr">
        <is>
          <t>MEDIUM</t>
        </is>
      </c>
      <c r="C494" s="2" t="inlineStr">
        <is>
          <t>Weak website</t>
        </is>
      </c>
      <c r="D494" s="2" t="inlineStr">
        <is>
          <t>Kids Capers Childcare Samford</t>
        </is>
      </c>
      <c r="E494" s="2" t="inlineStr">
        <is>
          <t>childcare</t>
        </is>
      </c>
      <c r="F494" s="2" t="inlineStr">
        <is>
          <t>Brisbane</t>
        </is>
      </c>
      <c r="G494" s="2" t="inlineStr">
        <is>
          <t>Instagram</t>
        </is>
      </c>
      <c r="H494" s="4" t="inlineStr">
        <is>
          <t>https://www.instagram.com/capersearlylearning</t>
        </is>
      </c>
      <c r="I494" s="4" t="inlineStr">
        <is>
          <t>https://www.facebook.com/CapersEarlyLearning</t>
        </is>
      </c>
      <c r="J494" s="2" t="inlineStr"/>
      <c r="K494" s="4" t="inlineStr">
        <is>
          <t>https://www.caperschildcare.com.au/</t>
        </is>
      </c>
      <c r="L494" s="2" t="inlineStr">
        <is>
          <t>missing meta description</t>
        </is>
      </c>
      <c r="M494" s="2" t="inlineStr">
        <is>
          <t>Hi Kids Capers Childcare Samford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4" s="4" t="inlineStr">
        <is>
          <t>Open map</t>
        </is>
      </c>
      <c r="O494" s="2" t="inlineStr">
        <is>
          <t>Not contacted</t>
        </is>
      </c>
      <c r="P494" s="2" t="inlineStr"/>
      <c r="Q494" s="2" t="inlineStr"/>
      <c r="R494" s="2" t="inlineStr"/>
      <c r="S494" s="2" t="inlineStr"/>
    </row>
    <row r="495">
      <c r="A495" s="2" t="n">
        <v>494</v>
      </c>
      <c r="B495" s="6" t="inlineStr">
        <is>
          <t>MEDIUM</t>
        </is>
      </c>
      <c r="C495" s="2" t="inlineStr">
        <is>
          <t>Weak website</t>
        </is>
      </c>
      <c r="D495" s="2" t="inlineStr">
        <is>
          <t>Kids Capers Childcare Sandgate</t>
        </is>
      </c>
      <c r="E495" s="2" t="inlineStr">
        <is>
          <t>childcare</t>
        </is>
      </c>
      <c r="F495" s="2" t="inlineStr">
        <is>
          <t>Brisbane</t>
        </is>
      </c>
      <c r="G495" s="2" t="inlineStr">
        <is>
          <t>Instagram</t>
        </is>
      </c>
      <c r="H495" s="4" t="inlineStr">
        <is>
          <t>https://www.instagram.com/capersearlylearning</t>
        </is>
      </c>
      <c r="I495" s="4" t="inlineStr">
        <is>
          <t>https://www.facebook.com/CapersEarlyLearning</t>
        </is>
      </c>
      <c r="J495" s="2" t="inlineStr">
        <is>
          <t>+61 7 3269 1754</t>
        </is>
      </c>
      <c r="K495" s="4" t="inlineStr">
        <is>
          <t>https://www.caperschildcare.com.au/</t>
        </is>
      </c>
      <c r="L495" s="2" t="inlineStr">
        <is>
          <t>missing meta description</t>
        </is>
      </c>
      <c r="M495" s="2" t="inlineStr">
        <is>
          <t>Hi Kids Capers Childcare Sandgate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5" s="4" t="inlineStr">
        <is>
          <t>Open map</t>
        </is>
      </c>
      <c r="O495" s="2" t="inlineStr">
        <is>
          <t>Not contacted</t>
        </is>
      </c>
      <c r="P495" s="2" t="inlineStr"/>
      <c r="Q495" s="2" t="inlineStr"/>
      <c r="R495" s="2" t="inlineStr"/>
      <c r="S495" s="2" t="inlineStr"/>
    </row>
    <row r="496">
      <c r="A496" s="2" t="n">
        <v>495</v>
      </c>
      <c r="B496" s="6" t="inlineStr">
        <is>
          <t>MEDIUM</t>
        </is>
      </c>
      <c r="C496" s="2" t="inlineStr">
        <is>
          <t>Weak website</t>
        </is>
      </c>
      <c r="D496" s="2" t="inlineStr">
        <is>
          <t>Kids Capers Clayfield</t>
        </is>
      </c>
      <c r="E496" s="2" t="inlineStr">
        <is>
          <t>childcare</t>
        </is>
      </c>
      <c r="F496" s="2" t="inlineStr">
        <is>
          <t>Brisbane</t>
        </is>
      </c>
      <c r="G496" s="2" t="inlineStr">
        <is>
          <t>Instagram</t>
        </is>
      </c>
      <c r="H496" s="4" t="inlineStr">
        <is>
          <t>https://www.instagram.com/capersearlylearning</t>
        </is>
      </c>
      <c r="I496" s="4" t="inlineStr">
        <is>
          <t>https://www.facebook.com/CapersEarlyLearning</t>
        </is>
      </c>
      <c r="J496" s="2" t="inlineStr"/>
      <c r="K496" s="4" t="inlineStr">
        <is>
          <t>https://www.caperschildcare.com.au/clayfield</t>
        </is>
      </c>
      <c r="L496" s="2" t="inlineStr">
        <is>
          <t>missing meta description</t>
        </is>
      </c>
      <c r="M496" s="2" t="inlineStr">
        <is>
          <t>Hi Kids Capers Clayfield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6" s="4" t="inlineStr">
        <is>
          <t>Open map</t>
        </is>
      </c>
      <c r="O496" s="2" t="inlineStr">
        <is>
          <t>Not contacted</t>
        </is>
      </c>
      <c r="P496" s="2" t="inlineStr"/>
      <c r="Q496" s="2" t="inlineStr"/>
      <c r="R496" s="2" t="inlineStr"/>
      <c r="S496" s="2" t="inlineStr"/>
    </row>
    <row r="497">
      <c r="A497" s="2" t="n">
        <v>496</v>
      </c>
      <c r="B497" s="6" t="inlineStr">
        <is>
          <t>MEDIUM</t>
        </is>
      </c>
      <c r="C497" s="2" t="inlineStr">
        <is>
          <t>Weak website</t>
        </is>
      </c>
      <c r="D497" s="2" t="inlineStr">
        <is>
          <t>LEAD Childcare Riverview</t>
        </is>
      </c>
      <c r="E497" s="2" t="inlineStr">
        <is>
          <t>childcare</t>
        </is>
      </c>
      <c r="F497" s="2" t="inlineStr">
        <is>
          <t>Brisbane</t>
        </is>
      </c>
      <c r="G497" s="2" t="inlineStr">
        <is>
          <t>Instagram</t>
        </is>
      </c>
      <c r="H497" s="4" t="inlineStr">
        <is>
          <t>https://www.instagram.com/leadchildcare</t>
        </is>
      </c>
      <c r="I497" s="4" t="inlineStr">
        <is>
          <t>https://www.facebook.com/LEADChildcare</t>
        </is>
      </c>
      <c r="J497" s="2" t="inlineStr"/>
      <c r="K497" s="4" t="inlineStr">
        <is>
          <t>https://www.leadchildcare.com.au/center-details/?sl-store=38</t>
        </is>
      </c>
      <c r="L497" s="2" t="inlineStr">
        <is>
          <t>missing meta description</t>
        </is>
      </c>
      <c r="M497" s="2" t="inlineStr">
        <is>
          <t>Hi LEAD Childcare Riverview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7" s="4" t="inlineStr">
        <is>
          <t>Open map</t>
        </is>
      </c>
      <c r="O497" s="2" t="inlineStr">
        <is>
          <t>Not contacted</t>
        </is>
      </c>
      <c r="P497" s="2" t="inlineStr"/>
      <c r="Q497" s="2" t="inlineStr"/>
      <c r="R497" s="2" t="inlineStr"/>
      <c r="S497" s="2" t="inlineStr"/>
    </row>
    <row r="498">
      <c r="A498" s="2" t="n">
        <v>497</v>
      </c>
      <c r="B498" s="6" t="inlineStr">
        <is>
          <t>MEDIUM</t>
        </is>
      </c>
      <c r="C498" s="2" t="inlineStr">
        <is>
          <t>Weak website</t>
        </is>
      </c>
      <c r="D498" s="2" t="inlineStr">
        <is>
          <t>Lead Childcare</t>
        </is>
      </c>
      <c r="E498" s="2" t="inlineStr">
        <is>
          <t>childcare</t>
        </is>
      </c>
      <c r="F498" s="2" t="inlineStr">
        <is>
          <t>Brisbane</t>
        </is>
      </c>
      <c r="G498" s="2" t="inlineStr">
        <is>
          <t>Instagram</t>
        </is>
      </c>
      <c r="H498" s="4" t="inlineStr">
        <is>
          <t>https://www.instagram.com/leadchildcare</t>
        </is>
      </c>
      <c r="I498" s="4" t="inlineStr">
        <is>
          <t>https://www.facebook.com/LEADChildcare</t>
        </is>
      </c>
      <c r="J498" s="2" t="inlineStr">
        <is>
          <t>+61 7 3188 0216</t>
        </is>
      </c>
      <c r="K498" s="4" t="inlineStr">
        <is>
          <t>https://www.leadchildcare.com.au/locations/mango-hill/</t>
        </is>
      </c>
      <c r="L498" s="2" t="inlineStr">
        <is>
          <t>slow to load (3.7s)</t>
        </is>
      </c>
      <c r="M498" s="2" t="inlineStr">
        <is>
          <t>Hi Lead Childcare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98" s="4" t="inlineStr">
        <is>
          <t>Open map</t>
        </is>
      </c>
      <c r="O498" s="2" t="inlineStr">
        <is>
          <t>Not contacted</t>
        </is>
      </c>
      <c r="P498" s="2" t="inlineStr"/>
      <c r="Q498" s="2" t="inlineStr"/>
      <c r="R498" s="2" t="inlineStr"/>
      <c r="S498" s="2" t="inlineStr"/>
    </row>
    <row r="499">
      <c r="A499" s="2" t="n">
        <v>498</v>
      </c>
      <c r="B499" s="6" t="inlineStr">
        <is>
          <t>MEDIUM</t>
        </is>
      </c>
      <c r="C499" s="2" t="inlineStr">
        <is>
          <t>Weak website</t>
        </is>
      </c>
      <c r="D499" s="2" t="inlineStr">
        <is>
          <t>Little Bouncing Bears Early Learning Centre</t>
        </is>
      </c>
      <c r="E499" s="2" t="inlineStr">
        <is>
          <t>childcare</t>
        </is>
      </c>
      <c r="F499" s="2" t="inlineStr">
        <is>
          <t>Brisbane</t>
        </is>
      </c>
      <c r="G499" s="2" t="inlineStr">
        <is>
          <t>Facebook</t>
        </is>
      </c>
      <c r="H499" s="2" t="inlineStr"/>
      <c r="I499" s="4" t="inlineStr">
        <is>
          <t>https://www.facebook.com/littlebouncingbears</t>
        </is>
      </c>
      <c r="J499" s="2" t="inlineStr"/>
      <c r="K499" s="4" t="inlineStr">
        <is>
          <t>https://littlebouncingbears.com.au/</t>
        </is>
      </c>
      <c r="L499" s="2" t="inlineStr">
        <is>
          <t>looks outdated (copyright 2023); missing meta description; slow to load (3.1s)</t>
        </is>
      </c>
      <c r="M499" s="2" t="inlineStr">
        <is>
          <t>Hi Little Bouncing Bears Early Learning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99" s="4" t="inlineStr">
        <is>
          <t>Open map</t>
        </is>
      </c>
      <c r="O499" s="2" t="inlineStr">
        <is>
          <t>Not contacted</t>
        </is>
      </c>
      <c r="P499" s="2" t="inlineStr"/>
      <c r="Q499" s="2" t="inlineStr"/>
      <c r="R499" s="2" t="inlineStr"/>
      <c r="S499" s="2" t="inlineStr"/>
    </row>
    <row r="500">
      <c r="A500" s="2" t="n">
        <v>499</v>
      </c>
      <c r="B500" s="6" t="inlineStr">
        <is>
          <t>MEDIUM</t>
        </is>
      </c>
      <c r="C500" s="2" t="inlineStr">
        <is>
          <t>Weak website</t>
        </is>
      </c>
      <c r="D500" s="2" t="inlineStr">
        <is>
          <t>Little Ducks Childcare</t>
        </is>
      </c>
      <c r="E500" s="2" t="inlineStr">
        <is>
          <t>childcare</t>
        </is>
      </c>
      <c r="F500" s="2" t="inlineStr">
        <is>
          <t>Brisbane</t>
        </is>
      </c>
      <c r="G500" s="2" t="inlineStr">
        <is>
          <t>Facebook</t>
        </is>
      </c>
      <c r="H500" s="2" t="inlineStr"/>
      <c r="I500" s="4" t="inlineStr">
        <is>
          <t>https://www.facebook.com/LittleDucksChildcare</t>
        </is>
      </c>
      <c r="J500" s="2" t="inlineStr">
        <is>
          <t>+61 7 3356 8100</t>
        </is>
      </c>
      <c r="K500" s="4" t="inlineStr">
        <is>
          <t>https://www.littleducks.com.au/news/wilston/</t>
        </is>
      </c>
      <c r="L500" s="2" t="inlineStr">
        <is>
          <t>missing meta description</t>
        </is>
      </c>
      <c r="M500" s="2" t="inlineStr">
        <is>
          <t>Hi Little Ducks Childcare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0" s="4" t="inlineStr">
        <is>
          <t>Open map</t>
        </is>
      </c>
      <c r="O500" s="2" t="inlineStr">
        <is>
          <t>Not contacted</t>
        </is>
      </c>
      <c r="P500" s="2" t="inlineStr"/>
      <c r="Q500" s="2" t="inlineStr"/>
      <c r="R500" s="2" t="inlineStr"/>
      <c r="S500" s="2" t="inlineStr"/>
    </row>
    <row r="501">
      <c r="A501" s="2" t="n">
        <v>500</v>
      </c>
      <c r="B501" s="6" t="inlineStr">
        <is>
          <t>MEDIUM</t>
        </is>
      </c>
      <c r="C501" s="2" t="inlineStr">
        <is>
          <t>Weak website</t>
        </is>
      </c>
      <c r="D501" s="2" t="inlineStr">
        <is>
          <t>Little Gems Child Care &amp; Early Learning Centre</t>
        </is>
      </c>
      <c r="E501" s="2" t="inlineStr">
        <is>
          <t>childcare</t>
        </is>
      </c>
      <c r="F501" s="2" t="inlineStr">
        <is>
          <t>Brisbane</t>
        </is>
      </c>
      <c r="G501" s="2" t="inlineStr">
        <is>
          <t>Facebook</t>
        </is>
      </c>
      <c r="H501" s="2" t="inlineStr"/>
      <c r="I501" s="4" t="inlineStr">
        <is>
          <t>https://www.facebook.com/218761771617261</t>
        </is>
      </c>
      <c r="J501" s="2" t="inlineStr"/>
      <c r="K501" s="4" t="inlineStr">
        <is>
          <t>https://littlegemsearlylearning.com.au/centres/albany-creek/</t>
        </is>
      </c>
      <c r="L501" s="2" t="inlineStr">
        <is>
          <t>missing meta description; slow to load (7.8s)</t>
        </is>
      </c>
      <c r="M501" s="2" t="inlineStr">
        <is>
          <t>Hi Little Gems Child Care &amp; Early Learning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01" s="4" t="inlineStr">
        <is>
          <t>Open map</t>
        </is>
      </c>
      <c r="O501" s="2" t="inlineStr">
        <is>
          <t>Not contacted</t>
        </is>
      </c>
      <c r="P501" s="2" t="inlineStr"/>
      <c r="Q501" s="2" t="inlineStr"/>
      <c r="R501" s="2" t="inlineStr"/>
      <c r="S501" s="2" t="inlineStr"/>
    </row>
    <row r="502">
      <c r="A502" s="2" t="n">
        <v>501</v>
      </c>
      <c r="B502" s="6" t="inlineStr">
        <is>
          <t>MEDIUM</t>
        </is>
      </c>
      <c r="C502" s="2" t="inlineStr">
        <is>
          <t>Weak website</t>
        </is>
      </c>
      <c r="D502" s="2" t="inlineStr">
        <is>
          <t>Little School Loganholme</t>
        </is>
      </c>
      <c r="E502" s="2" t="inlineStr">
        <is>
          <t>childcare</t>
        </is>
      </c>
      <c r="F502" s="2" t="inlineStr">
        <is>
          <t>Brisbane</t>
        </is>
      </c>
      <c r="G502" s="2" t="inlineStr">
        <is>
          <t>Instagram</t>
        </is>
      </c>
      <c r="H502" s="4" t="inlineStr">
        <is>
          <t>https://www.instagram.com/littleschoolhighlandpark</t>
        </is>
      </c>
      <c r="I502" s="4" t="inlineStr">
        <is>
          <t>https://www.facebook.com/littleschoolhighlandpark</t>
        </is>
      </c>
      <c r="J502" s="2" t="inlineStr"/>
      <c r="K502" s="4" t="inlineStr">
        <is>
          <t>https://littleschoolelc.com.au/loganholme/</t>
        </is>
      </c>
      <c r="L502" s="2" t="inlineStr">
        <is>
          <t>looks outdated (copyright 2015); missing meta description</t>
        </is>
      </c>
      <c r="M502" s="2" t="inlineStr">
        <is>
          <t>Hi Little School Loganholme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2" s="4" t="inlineStr">
        <is>
          <t>Open map</t>
        </is>
      </c>
      <c r="O502" s="2" t="inlineStr">
        <is>
          <t>Not contacted</t>
        </is>
      </c>
      <c r="P502" s="2" t="inlineStr"/>
      <c r="Q502" s="2" t="inlineStr"/>
      <c r="R502" s="2" t="inlineStr"/>
      <c r="S502" s="2" t="inlineStr"/>
    </row>
    <row r="503">
      <c r="A503" s="2" t="n">
        <v>502</v>
      </c>
      <c r="B503" s="6" t="inlineStr">
        <is>
          <t>MEDIUM</t>
        </is>
      </c>
      <c r="C503" s="2" t="inlineStr">
        <is>
          <t>Weak website</t>
        </is>
      </c>
      <c r="D503" s="2" t="inlineStr">
        <is>
          <t>Nurseryland Child Care</t>
        </is>
      </c>
      <c r="E503" s="2" t="inlineStr">
        <is>
          <t>childcare</t>
        </is>
      </c>
      <c r="F503" s="2" t="inlineStr">
        <is>
          <t>Brisbane</t>
        </is>
      </c>
      <c r="G503" s="2" t="inlineStr">
        <is>
          <t>Instagram</t>
        </is>
      </c>
      <c r="H503" s="4" t="inlineStr">
        <is>
          <t>https://www.instagram.com/daisycottage.au</t>
        </is>
      </c>
      <c r="I503" s="4" t="inlineStr">
        <is>
          <t>https://www.facebook.com/DaisyCottageEarlyLearning</t>
        </is>
      </c>
      <c r="J503" s="2" t="inlineStr"/>
      <c r="K503" s="4" t="inlineStr">
        <is>
          <t>https://nurserylandchildcare.com.au/</t>
        </is>
      </c>
      <c r="L503" s="2" t="inlineStr">
        <is>
          <t>missing meta description</t>
        </is>
      </c>
      <c r="M503" s="2" t="inlineStr">
        <is>
          <t>Hi Nurseryland Child 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3" s="4" t="inlineStr">
        <is>
          <t>Open map</t>
        </is>
      </c>
      <c r="O503" s="2" t="inlineStr">
        <is>
          <t>Not contacted</t>
        </is>
      </c>
      <c r="P503" s="2" t="inlineStr"/>
      <c r="Q503" s="2" t="inlineStr"/>
      <c r="R503" s="2" t="inlineStr"/>
      <c r="S503" s="2" t="inlineStr"/>
    </row>
    <row r="504">
      <c r="A504" s="2" t="n">
        <v>503</v>
      </c>
      <c r="B504" s="6" t="inlineStr">
        <is>
          <t>MEDIUM</t>
        </is>
      </c>
      <c r="C504" s="2" t="inlineStr">
        <is>
          <t>Weak website</t>
        </is>
      </c>
      <c r="D504" s="2" t="inlineStr">
        <is>
          <t>Piptree Early Learning</t>
        </is>
      </c>
      <c r="E504" s="2" t="inlineStr">
        <is>
          <t>childcare</t>
        </is>
      </c>
      <c r="F504" s="2" t="inlineStr">
        <is>
          <t>Brisbane</t>
        </is>
      </c>
      <c r="G504" s="2" t="inlineStr">
        <is>
          <t>Instagram</t>
        </is>
      </c>
      <c r="H504" s="4" t="inlineStr">
        <is>
          <t>https://www.instagram.com/piptree.early.learning</t>
        </is>
      </c>
      <c r="I504" s="4" t="inlineStr">
        <is>
          <t>https://www.facebook.com/piptreeHQ</t>
        </is>
      </c>
      <c r="J504" s="2" t="inlineStr"/>
      <c r="K504" s="4" t="inlineStr">
        <is>
          <t>https://www.piptree.com.au/eight-mile-plains/</t>
        </is>
      </c>
      <c r="L504" s="2" t="inlineStr">
        <is>
          <t>slow to load (3.8s)</t>
        </is>
      </c>
      <c r="M504" s="2" t="inlineStr">
        <is>
          <t>Hi Piptree Early Learning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04" s="4" t="inlineStr">
        <is>
          <t>Open map</t>
        </is>
      </c>
      <c r="O504" s="2" t="inlineStr">
        <is>
          <t>Not contacted</t>
        </is>
      </c>
      <c r="P504" s="2" t="inlineStr"/>
      <c r="Q504" s="2" t="inlineStr"/>
      <c r="R504" s="2" t="inlineStr"/>
      <c r="S504" s="2" t="inlineStr"/>
    </row>
    <row r="505">
      <c r="A505" s="2" t="n">
        <v>504</v>
      </c>
      <c r="B505" s="6" t="inlineStr">
        <is>
          <t>MEDIUM</t>
        </is>
      </c>
      <c r="C505" s="2" t="inlineStr">
        <is>
          <t>Weak website</t>
        </is>
      </c>
      <c r="D505" s="2" t="inlineStr">
        <is>
          <t>Play and Learn Thornlands</t>
        </is>
      </c>
      <c r="E505" s="2" t="inlineStr">
        <is>
          <t>childcare</t>
        </is>
      </c>
      <c r="F505" s="2" t="inlineStr">
        <is>
          <t>Brisbane</t>
        </is>
      </c>
      <c r="G505" s="2" t="inlineStr">
        <is>
          <t>Instagram</t>
        </is>
      </c>
      <c r="H505" s="4" t="inlineStr">
        <is>
          <t>https://www.instagram.com/playandlearnthegap</t>
        </is>
      </c>
      <c r="I505" s="4" t="inlineStr">
        <is>
          <t>https://www.facebook.com/playandlearnthornlands</t>
        </is>
      </c>
      <c r="J505" s="2" t="inlineStr"/>
      <c r="K505" s="4" t="inlineStr">
        <is>
          <t>http://thornlands.playandlearn.net.au/</t>
        </is>
      </c>
      <c r="L505" s="2" t="inlineStr">
        <is>
          <t>slow to load (3.5s)</t>
        </is>
      </c>
      <c r="M505" s="2" t="inlineStr">
        <is>
          <t>Hi Play and Learn Thornlands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05" s="4" t="inlineStr">
        <is>
          <t>Open map</t>
        </is>
      </c>
      <c r="O505" s="2" t="inlineStr">
        <is>
          <t>Not contacted</t>
        </is>
      </c>
      <c r="P505" s="2" t="inlineStr"/>
      <c r="Q505" s="2" t="inlineStr"/>
      <c r="R505" s="2" t="inlineStr"/>
      <c r="S505" s="2" t="inlineStr"/>
    </row>
    <row r="506">
      <c r="A506" s="2" t="n">
        <v>505</v>
      </c>
      <c r="B506" s="6" t="inlineStr">
        <is>
          <t>MEDIUM</t>
        </is>
      </c>
      <c r="C506" s="2" t="inlineStr">
        <is>
          <t>Weak website</t>
        </is>
      </c>
      <c r="D506" s="2" t="inlineStr">
        <is>
          <t>Redbank Plains Early Education Centre</t>
        </is>
      </c>
      <c r="E506" s="2" t="inlineStr">
        <is>
          <t>childcare</t>
        </is>
      </c>
      <c r="F506" s="2" t="inlineStr">
        <is>
          <t>Brisbane</t>
        </is>
      </c>
      <c r="G506" s="2" t="inlineStr">
        <is>
          <t>Instagram</t>
        </is>
      </c>
      <c r="H506" s="4" t="inlineStr">
        <is>
          <t>https://instagram.com/queenslandchildcareservices</t>
        </is>
      </c>
      <c r="I506" s="4" t="inlineStr">
        <is>
          <t>https://www.facebook.com/QCCS.1</t>
        </is>
      </c>
      <c r="J506" s="2" t="inlineStr"/>
      <c r="K506" s="4" t="inlineStr">
        <is>
          <t>https://www.qccs.com.au/centre/redbank-plains/</t>
        </is>
      </c>
      <c r="L506" s="2" t="inlineStr">
        <is>
          <t>missing meta description</t>
        </is>
      </c>
      <c r="M506" s="2" t="inlineStr">
        <is>
          <t>Hi Redbank Plains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6" s="4" t="inlineStr">
        <is>
          <t>Open map</t>
        </is>
      </c>
      <c r="O506" s="2" t="inlineStr">
        <is>
          <t>Not contacted</t>
        </is>
      </c>
      <c r="P506" s="2" t="inlineStr"/>
      <c r="Q506" s="2" t="inlineStr"/>
      <c r="R506" s="2" t="inlineStr"/>
      <c r="S506" s="2" t="inlineStr"/>
    </row>
    <row r="507">
      <c r="A507" s="2" t="n">
        <v>506</v>
      </c>
      <c r="B507" s="6" t="inlineStr">
        <is>
          <t>MEDIUM</t>
        </is>
      </c>
      <c r="C507" s="2" t="inlineStr">
        <is>
          <t>Weak website</t>
        </is>
      </c>
      <c r="D507" s="2" t="inlineStr">
        <is>
          <t>Seedlings Early Learning Mitchelton</t>
        </is>
      </c>
      <c r="E507" s="2" t="inlineStr">
        <is>
          <t>childcare</t>
        </is>
      </c>
      <c r="F507" s="2" t="inlineStr">
        <is>
          <t>Brisbane</t>
        </is>
      </c>
      <c r="G507" s="2" t="inlineStr">
        <is>
          <t>Facebook</t>
        </is>
      </c>
      <c r="H507" s="2" t="inlineStr"/>
      <c r="I507" s="4" t="inlineStr">
        <is>
          <t>https://www.facebook.com/seedlingsmitchelton</t>
        </is>
      </c>
      <c r="J507" s="2" t="inlineStr">
        <is>
          <t>+61 7 3354 1853</t>
        </is>
      </c>
      <c r="K507" s="4" t="inlineStr">
        <is>
          <t>https://seedlingsel.com.au/mitchelton-early-learning-centre/</t>
        </is>
      </c>
      <c r="L507" s="2" t="inlineStr">
        <is>
          <t>slow to load (7.0s)</t>
        </is>
      </c>
      <c r="M507" s="2" t="inlineStr">
        <is>
          <t>Hi Seedlings Early Learning Mitchelton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07" s="4" t="inlineStr">
        <is>
          <t>Open map</t>
        </is>
      </c>
      <c r="O507" s="2" t="inlineStr">
        <is>
          <t>Not contacted</t>
        </is>
      </c>
      <c r="P507" s="2" t="inlineStr"/>
      <c r="Q507" s="2" t="inlineStr"/>
      <c r="R507" s="2" t="inlineStr"/>
      <c r="S507" s="2" t="inlineStr"/>
    </row>
    <row r="508">
      <c r="A508" s="2" t="n">
        <v>507</v>
      </c>
      <c r="B508" s="6" t="inlineStr">
        <is>
          <t>MEDIUM</t>
        </is>
      </c>
      <c r="C508" s="2" t="inlineStr">
        <is>
          <t>Weak website</t>
        </is>
      </c>
      <c r="D508" s="2" t="inlineStr">
        <is>
          <t>Seedlings Early Learning Rochedale</t>
        </is>
      </c>
      <c r="E508" s="2" t="inlineStr">
        <is>
          <t>childcare</t>
        </is>
      </c>
      <c r="F508" s="2" t="inlineStr">
        <is>
          <t>Brisbane</t>
        </is>
      </c>
      <c r="G508" s="2" t="inlineStr">
        <is>
          <t>Facebook</t>
        </is>
      </c>
      <c r="H508" s="2" t="inlineStr"/>
      <c r="I508" s="4" t="inlineStr">
        <is>
          <t>https://www.facebook.com/SeedlingsRochedale</t>
        </is>
      </c>
      <c r="J508" s="2" t="inlineStr"/>
      <c r="K508" s="4" t="inlineStr">
        <is>
          <t>https://seedlingsel.com.au/rochedale-early-learning/</t>
        </is>
      </c>
      <c r="L508" s="2" t="inlineStr">
        <is>
          <t>slow to load (6.7s)</t>
        </is>
      </c>
      <c r="M508" s="2" t="inlineStr">
        <is>
          <t>Hi Seedlings Early Learning Rochedale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08" s="4" t="inlineStr">
        <is>
          <t>Open map</t>
        </is>
      </c>
      <c r="O508" s="2" t="inlineStr">
        <is>
          <t>Not contacted</t>
        </is>
      </c>
      <c r="P508" s="2" t="inlineStr"/>
      <c r="Q508" s="2" t="inlineStr"/>
      <c r="R508" s="2" t="inlineStr"/>
      <c r="S508" s="2" t="inlineStr"/>
    </row>
    <row r="509">
      <c r="A509" s="2" t="n">
        <v>508</v>
      </c>
      <c r="B509" s="6" t="inlineStr">
        <is>
          <t>MEDIUM</t>
        </is>
      </c>
      <c r="C509" s="2" t="inlineStr">
        <is>
          <t>Weak website</t>
        </is>
      </c>
      <c r="D509" s="2" t="inlineStr">
        <is>
          <t>Smart Tots Childcare</t>
        </is>
      </c>
      <c r="E509" s="2" t="inlineStr">
        <is>
          <t>childcare</t>
        </is>
      </c>
      <c r="F509" s="2" t="inlineStr">
        <is>
          <t>Brisbane</t>
        </is>
      </c>
      <c r="G509" s="2" t="inlineStr">
        <is>
          <t>Instagram</t>
        </is>
      </c>
      <c r="H509" s="4" t="inlineStr">
        <is>
          <t>https://www.instagram.com/smarttots_childcare</t>
        </is>
      </c>
      <c r="I509" s="4" t="inlineStr">
        <is>
          <t>https://www.facebook.com/smarttotschildcare</t>
        </is>
      </c>
      <c r="J509" s="2" t="inlineStr"/>
      <c r="K509" s="4" t="inlineStr">
        <is>
          <t>https://smarttots.com.au/</t>
        </is>
      </c>
      <c r="L509" s="2" t="inlineStr">
        <is>
          <t>looks outdated (copyright 2022)</t>
        </is>
      </c>
      <c r="M509" s="2" t="inlineStr">
        <is>
          <t>Hi Smart Tots Childcare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9" s="4" t="inlineStr">
        <is>
          <t>Open map</t>
        </is>
      </c>
      <c r="O509" s="2" t="inlineStr">
        <is>
          <t>Not contacted</t>
        </is>
      </c>
      <c r="P509" s="2" t="inlineStr"/>
      <c r="Q509" s="2" t="inlineStr"/>
      <c r="R509" s="2" t="inlineStr"/>
      <c r="S509" s="2" t="inlineStr"/>
    </row>
    <row r="510">
      <c r="A510" s="2" t="n">
        <v>509</v>
      </c>
      <c r="B510" s="6" t="inlineStr">
        <is>
          <t>MEDIUM</t>
        </is>
      </c>
      <c r="C510" s="2" t="inlineStr">
        <is>
          <t>Weak website</t>
        </is>
      </c>
      <c r="D510" s="2" t="inlineStr">
        <is>
          <t>Springwood Early Education Centre</t>
        </is>
      </c>
      <c r="E510" s="2" t="inlineStr">
        <is>
          <t>childcare</t>
        </is>
      </c>
      <c r="F510" s="2" t="inlineStr">
        <is>
          <t>Brisbane</t>
        </is>
      </c>
      <c r="G510" s="2" t="inlineStr">
        <is>
          <t>Instagram</t>
        </is>
      </c>
      <c r="H510" s="4" t="inlineStr">
        <is>
          <t>https://instagram.com/queenslandchildcareservices</t>
        </is>
      </c>
      <c r="I510" s="4" t="inlineStr">
        <is>
          <t>https://www.facebook.com/QCCS.1</t>
        </is>
      </c>
      <c r="J510" s="2" t="inlineStr">
        <is>
          <t>+61 7 3808 3733</t>
        </is>
      </c>
      <c r="K510" s="4" t="inlineStr">
        <is>
          <t>https://www.qccs.com.au</t>
        </is>
      </c>
      <c r="L510" s="2" t="inlineStr">
        <is>
          <t>missing meta description</t>
        </is>
      </c>
      <c r="M510" s="2" t="inlineStr">
        <is>
          <t>Hi Springwood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10" s="4" t="inlineStr">
        <is>
          <t>Open map</t>
        </is>
      </c>
      <c r="O510" s="2" t="inlineStr">
        <is>
          <t>Not contacted</t>
        </is>
      </c>
      <c r="P510" s="2" t="inlineStr"/>
      <c r="Q510" s="2" t="inlineStr"/>
      <c r="R510" s="2" t="inlineStr"/>
      <c r="S510" s="2" t="inlineStr"/>
    </row>
    <row r="511">
      <c r="A511" s="2" t="n">
        <v>510</v>
      </c>
      <c r="B511" s="6" t="inlineStr">
        <is>
          <t>MEDIUM</t>
        </is>
      </c>
      <c r="C511" s="2" t="inlineStr">
        <is>
          <t>Weak website</t>
        </is>
      </c>
      <c r="D511" s="2" t="inlineStr">
        <is>
          <t>Stones Corner Community Kindergarten</t>
        </is>
      </c>
      <c r="E511" s="2" t="inlineStr">
        <is>
          <t>childcare</t>
        </is>
      </c>
      <c r="F511" s="2" t="inlineStr">
        <is>
          <t>Brisbane</t>
        </is>
      </c>
      <c r="G511" s="2" t="inlineStr">
        <is>
          <t>Instagram</t>
        </is>
      </c>
      <c r="H511" s="4" t="inlineStr">
        <is>
          <t>https://www.instagram.com/stonescornerkindy</t>
        </is>
      </c>
      <c r="I511" s="4" t="inlineStr">
        <is>
          <t>https://www.facebook.com/stonescornerkindy</t>
        </is>
      </c>
      <c r="J511" s="2" t="inlineStr">
        <is>
          <t>+61 7 3397 9469</t>
        </is>
      </c>
      <c r="K511" s="4" t="inlineStr">
        <is>
          <t>http://www.stonescornerkindergarten.com.au/</t>
        </is>
      </c>
      <c r="L511" s="2" t="inlineStr">
        <is>
          <t>missing meta description; slow to load (4.2s)</t>
        </is>
      </c>
      <c r="M511" s="2" t="inlineStr">
        <is>
          <t>Hi Stones Corner Community Kindergarten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1" s="4" t="inlineStr">
        <is>
          <t>Open map</t>
        </is>
      </c>
      <c r="O511" s="2" t="inlineStr">
        <is>
          <t>Not contacted</t>
        </is>
      </c>
      <c r="P511" s="2" t="inlineStr"/>
      <c r="Q511" s="2" t="inlineStr"/>
      <c r="R511" s="2" t="inlineStr"/>
      <c r="S511" s="2" t="inlineStr"/>
    </row>
    <row r="512">
      <c r="A512" s="2" t="n">
        <v>511</v>
      </c>
      <c r="B512" s="6" t="inlineStr">
        <is>
          <t>MEDIUM</t>
        </is>
      </c>
      <c r="C512" s="2" t="inlineStr">
        <is>
          <t>Weak website</t>
        </is>
      </c>
      <c r="D512" s="2" t="inlineStr">
        <is>
          <t>Sunkids Calamvale Central</t>
        </is>
      </c>
      <c r="E512" s="2" t="inlineStr">
        <is>
          <t>childcare</t>
        </is>
      </c>
      <c r="F512" s="2" t="inlineStr">
        <is>
          <t>Brisbane</t>
        </is>
      </c>
      <c r="G512" s="2" t="inlineStr">
        <is>
          <t>Instagram</t>
        </is>
      </c>
      <c r="H512" s="4" t="inlineStr">
        <is>
          <t>https://www.instagram.com/SunkidsChildrensCentres</t>
        </is>
      </c>
      <c r="I512" s="4" t="inlineStr">
        <is>
          <t>https://www.facebook.com/SunkidsChildrensCentres</t>
        </is>
      </c>
      <c r="J512" s="2" t="inlineStr"/>
      <c r="K512" s="4" t="inlineStr">
        <is>
          <t>https://sunkids.com.au/centres/calamvale-central/</t>
        </is>
      </c>
      <c r="L512" s="2" t="inlineStr">
        <is>
          <t>slow to load (3.1s)</t>
        </is>
      </c>
      <c r="M512" s="2" t="inlineStr">
        <is>
          <t>Hi Sunkids Calamvale Central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2" s="4" t="inlineStr">
        <is>
          <t>Open map</t>
        </is>
      </c>
      <c r="O512" s="2" t="inlineStr">
        <is>
          <t>Not contacted</t>
        </is>
      </c>
      <c r="P512" s="2" t="inlineStr"/>
      <c r="Q512" s="2" t="inlineStr"/>
      <c r="R512" s="2" t="inlineStr"/>
      <c r="S512" s="2" t="inlineStr"/>
    </row>
    <row r="513">
      <c r="A513" s="2" t="n">
        <v>512</v>
      </c>
      <c r="B513" s="6" t="inlineStr">
        <is>
          <t>MEDIUM</t>
        </is>
      </c>
      <c r="C513" s="2" t="inlineStr">
        <is>
          <t>Weak website</t>
        </is>
      </c>
      <c r="D513" s="2" t="inlineStr">
        <is>
          <t>Sunkids Oxley</t>
        </is>
      </c>
      <c r="E513" s="2" t="inlineStr">
        <is>
          <t>childcare</t>
        </is>
      </c>
      <c r="F513" s="2" t="inlineStr">
        <is>
          <t>Brisbane</t>
        </is>
      </c>
      <c r="G513" s="2" t="inlineStr">
        <is>
          <t>Instagram</t>
        </is>
      </c>
      <c r="H513" s="4" t="inlineStr">
        <is>
          <t>https://www.instagram.com/SunkidsChildrensCentres</t>
        </is>
      </c>
      <c r="I513" s="4" t="inlineStr">
        <is>
          <t>https://www.facebook.com/SunkidsChildrensCentres</t>
        </is>
      </c>
      <c r="J513" s="2" t="inlineStr"/>
      <c r="K513" s="4" t="inlineStr">
        <is>
          <t>https://sunkids.com.au/centres/oxley/</t>
        </is>
      </c>
      <c r="L513" s="2" t="inlineStr">
        <is>
          <t>slow to load (3.7s)</t>
        </is>
      </c>
      <c r="M513" s="2" t="inlineStr">
        <is>
          <t>Hi Sunkids Oxley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3" s="4" t="inlineStr">
        <is>
          <t>Open map</t>
        </is>
      </c>
      <c r="O513" s="2" t="inlineStr">
        <is>
          <t>Not contacted</t>
        </is>
      </c>
      <c r="P513" s="2" t="inlineStr"/>
      <c r="Q513" s="2" t="inlineStr"/>
      <c r="R513" s="2" t="inlineStr"/>
      <c r="S513" s="2" t="inlineStr"/>
    </row>
    <row r="514">
      <c r="A514" s="2" t="n">
        <v>513</v>
      </c>
      <c r="B514" s="6" t="inlineStr">
        <is>
          <t>MEDIUM</t>
        </is>
      </c>
      <c r="C514" s="2" t="inlineStr">
        <is>
          <t>Weak website</t>
        </is>
      </c>
      <c r="D514" s="2" t="inlineStr">
        <is>
          <t>Taigum Child Care Center</t>
        </is>
      </c>
      <c r="E514" s="2" t="inlineStr">
        <is>
          <t>childcare</t>
        </is>
      </c>
      <c r="F514" s="2" t="inlineStr">
        <is>
          <t>Brisbane</t>
        </is>
      </c>
      <c r="G514" s="2" t="inlineStr">
        <is>
          <t>Facebook</t>
        </is>
      </c>
      <c r="H514" s="2" t="inlineStr"/>
      <c r="I514" s="4" t="inlineStr">
        <is>
          <t>https://www.facebook.com/TaigumChildCareCentre241ChurchRd</t>
        </is>
      </c>
      <c r="J514" s="2" t="inlineStr">
        <is>
          <t>+61 7 3865 4000</t>
        </is>
      </c>
      <c r="K514" s="4" t="inlineStr">
        <is>
          <t>https://taigumchildcarecentre.com.au</t>
        </is>
      </c>
      <c r="L514" s="2" t="inlineStr">
        <is>
          <t>missing meta description</t>
        </is>
      </c>
      <c r="M514" s="2" t="inlineStr">
        <is>
          <t>Hi Taigum Child Care Center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14" s="4" t="inlineStr">
        <is>
          <t>Open map</t>
        </is>
      </c>
      <c r="O514" s="2" t="inlineStr">
        <is>
          <t>Not contacted</t>
        </is>
      </c>
      <c r="P514" s="2" t="inlineStr"/>
      <c r="Q514" s="2" t="inlineStr"/>
      <c r="R514" s="2" t="inlineStr"/>
      <c r="S514" s="2" t="inlineStr"/>
    </row>
    <row r="515">
      <c r="A515" s="2" t="n">
        <v>514</v>
      </c>
      <c r="B515" s="6" t="inlineStr">
        <is>
          <t>MEDIUM</t>
        </is>
      </c>
      <c r="C515" s="2" t="inlineStr">
        <is>
          <t>Weak website</t>
        </is>
      </c>
      <c r="D515" s="2" t="inlineStr">
        <is>
          <t>Tarragindi War Memorial Kindergarden</t>
        </is>
      </c>
      <c r="E515" s="2" t="inlineStr">
        <is>
          <t>childcare</t>
        </is>
      </c>
      <c r="F515" s="2" t="inlineStr">
        <is>
          <t>Brisbane</t>
        </is>
      </c>
      <c r="G515" s="2" t="inlineStr">
        <is>
          <t>Instagram</t>
        </is>
      </c>
      <c r="H515" s="4" t="inlineStr">
        <is>
          <t>https://instagram.com/wix</t>
        </is>
      </c>
      <c r="I515" s="4" t="inlineStr">
        <is>
          <t>https://www.facebook.com/TarragindiKindy</t>
        </is>
      </c>
      <c r="J515" s="2" t="inlineStr"/>
      <c r="K515" s="4" t="inlineStr">
        <is>
          <t>https://www.tarragindikindy.com.au/</t>
        </is>
      </c>
      <c r="L515" s="2" t="inlineStr">
        <is>
          <t>looks outdated (copyright 2020)</t>
        </is>
      </c>
      <c r="M515" s="2" t="inlineStr">
        <is>
          <t>Hi Tarragindi War Memorial Kindergarden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15" s="4" t="inlineStr">
        <is>
          <t>Open map</t>
        </is>
      </c>
      <c r="O515" s="2" t="inlineStr">
        <is>
          <t>Not contacted</t>
        </is>
      </c>
      <c r="P515" s="2" t="inlineStr"/>
      <c r="Q515" s="2" t="inlineStr"/>
      <c r="R515" s="2" t="inlineStr"/>
      <c r="S515" s="2" t="inlineStr"/>
    </row>
    <row r="516">
      <c r="A516" s="2" t="n">
        <v>515</v>
      </c>
      <c r="B516" s="6" t="inlineStr">
        <is>
          <t>MEDIUM</t>
        </is>
      </c>
      <c r="C516" s="2" t="inlineStr">
        <is>
          <t>Weak website</t>
        </is>
      </c>
      <c r="D516" s="2" t="inlineStr">
        <is>
          <t>The Cottage</t>
        </is>
      </c>
      <c r="E516" s="2" t="inlineStr">
        <is>
          <t>childcare</t>
        </is>
      </c>
      <c r="F516" s="2" t="inlineStr">
        <is>
          <t>Brisbane</t>
        </is>
      </c>
      <c r="G516" s="2" t="inlineStr">
        <is>
          <t>Instagram</t>
        </is>
      </c>
      <c r="H516" s="4" t="inlineStr">
        <is>
          <t>https://www.instagram.com/oaklands_child_care/</t>
        </is>
      </c>
      <c r="I516" s="4" t="inlineStr">
        <is>
          <t>https://www.facebook.com/oaklandschildcare/</t>
        </is>
      </c>
      <c r="J516" s="2" t="inlineStr">
        <is>
          <t>+61 7 3896 2285</t>
        </is>
      </c>
      <c r="K516" s="4" t="inlineStr">
        <is>
          <t>https://oaklands.churchie.com.au/oshc/</t>
        </is>
      </c>
      <c r="L516" s="2" t="inlineStr">
        <is>
          <t>slow to load (3.0s)</t>
        </is>
      </c>
      <c r="M516" s="2" t="inlineStr">
        <is>
          <t>Hi The Cottage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6" s="4" t="inlineStr">
        <is>
          <t>Open map</t>
        </is>
      </c>
      <c r="O516" s="2" t="inlineStr">
        <is>
          <t>Not contacted</t>
        </is>
      </c>
      <c r="P516" s="2" t="inlineStr"/>
      <c r="Q516" s="2" t="inlineStr"/>
      <c r="R516" s="2" t="inlineStr"/>
      <c r="S516" s="2" t="inlineStr"/>
    </row>
    <row r="517">
      <c r="A517" s="2" t="n">
        <v>516</v>
      </c>
      <c r="B517" s="6" t="inlineStr">
        <is>
          <t>MEDIUM</t>
        </is>
      </c>
      <c r="C517" s="2" t="inlineStr">
        <is>
          <t>Weak website</t>
        </is>
      </c>
      <c r="D517" s="2" t="inlineStr">
        <is>
          <t>The Woods Early Education Centre</t>
        </is>
      </c>
      <c r="E517" s="2" t="inlineStr">
        <is>
          <t>childcare</t>
        </is>
      </c>
      <c r="F517" s="2" t="inlineStr">
        <is>
          <t>Brisbane</t>
        </is>
      </c>
      <c r="G517" s="2" t="inlineStr">
        <is>
          <t>Instagram</t>
        </is>
      </c>
      <c r="H517" s="4" t="inlineStr">
        <is>
          <t>https://instagram.com/queenslandchildcareservices</t>
        </is>
      </c>
      <c r="I517" s="4" t="inlineStr">
        <is>
          <t>https://www.facebook.com/QCCS.1</t>
        </is>
      </c>
      <c r="J517" s="2" t="inlineStr"/>
      <c r="K517" s="4" t="inlineStr">
        <is>
          <t>https://www.qccs.com.au/centre/the-woods/</t>
        </is>
      </c>
      <c r="L517" s="2" t="inlineStr">
        <is>
          <t>missing meta description</t>
        </is>
      </c>
      <c r="M517" s="2" t="inlineStr">
        <is>
          <t>Hi The Woods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17" s="4" t="inlineStr">
        <is>
          <t>Open map</t>
        </is>
      </c>
      <c r="O517" s="2" t="inlineStr">
        <is>
          <t>Not contacted</t>
        </is>
      </c>
      <c r="P517" s="2" t="inlineStr"/>
      <c r="Q517" s="2" t="inlineStr"/>
      <c r="R517" s="2" t="inlineStr"/>
      <c r="S517" s="2" t="inlineStr"/>
    </row>
    <row r="518">
      <c r="A518" s="2" t="n">
        <v>517</v>
      </c>
      <c r="B518" s="6" t="inlineStr">
        <is>
          <t>MEDIUM</t>
        </is>
      </c>
      <c r="C518" s="2" t="inlineStr">
        <is>
          <t>Weak website</t>
        </is>
      </c>
      <c r="D518" s="2" t="inlineStr">
        <is>
          <t>Tugulawa Early Education</t>
        </is>
      </c>
      <c r="E518" s="2" t="inlineStr">
        <is>
          <t>childcare</t>
        </is>
      </c>
      <c r="F518" s="2" t="inlineStr">
        <is>
          <t>Brisbane</t>
        </is>
      </c>
      <c r="G518" s="2" t="inlineStr">
        <is>
          <t>Instagram</t>
        </is>
      </c>
      <c r="H518" s="4" t="inlineStr">
        <is>
          <t>https://www.instagram.com/tugulawaearlyeducation_bulimba</t>
        </is>
      </c>
      <c r="I518" s="4" t="inlineStr">
        <is>
          <t>https://www.facebook.com/Tugulawa</t>
        </is>
      </c>
      <c r="J518" s="2" t="inlineStr"/>
      <c r="K518" s="4" t="inlineStr">
        <is>
          <t>https://www.tugulawa.com.au/</t>
        </is>
      </c>
      <c r="L518" s="2" t="inlineStr">
        <is>
          <t>slow to load (3.2s)</t>
        </is>
      </c>
      <c r="M518" s="2" t="inlineStr">
        <is>
          <t>Hi Tugulawa Early Education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8" s="4" t="inlineStr">
        <is>
          <t>Open map</t>
        </is>
      </c>
      <c r="O518" s="2" t="inlineStr">
        <is>
          <t>Not contacted</t>
        </is>
      </c>
      <c r="P518" s="2" t="inlineStr"/>
      <c r="Q518" s="2" t="inlineStr"/>
      <c r="R518" s="2" t="inlineStr"/>
      <c r="S518" s="2" t="inlineStr"/>
    </row>
    <row r="519">
      <c r="A519" s="2" t="n">
        <v>518</v>
      </c>
      <c r="B519" s="6" t="inlineStr">
        <is>
          <t>MEDIUM</t>
        </is>
      </c>
      <c r="C519" s="2" t="inlineStr">
        <is>
          <t>Weak website</t>
        </is>
      </c>
      <c r="D519" s="2" t="inlineStr">
        <is>
          <t>Carina North Quality Meats</t>
        </is>
      </c>
      <c r="E519" s="2" t="inlineStr">
        <is>
          <t>deli or specialty food</t>
        </is>
      </c>
      <c r="F519" s="2" t="inlineStr">
        <is>
          <t>Brisbane</t>
        </is>
      </c>
      <c r="G519" s="2" t="inlineStr">
        <is>
          <t>Instagram</t>
        </is>
      </c>
      <c r="H519" s="4" t="inlineStr">
        <is>
          <t>https://www.instagram.com/carinanorthqualitymeats</t>
        </is>
      </c>
      <c r="I519" s="4" t="inlineStr">
        <is>
          <t>https://www.facebook.com/CarinaNorthQualityMeat</t>
        </is>
      </c>
      <c r="J519" s="2" t="inlineStr"/>
      <c r="K519" s="4" t="inlineStr">
        <is>
          <t>https://carinanorthqualitymeats.com.au</t>
        </is>
      </c>
      <c r="L519" s="2" t="inlineStr">
        <is>
          <t>missing meta description</t>
        </is>
      </c>
      <c r="M519" s="2" t="inlineStr">
        <is>
          <t>Hi Carina North Quality Meats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19" s="4" t="inlineStr">
        <is>
          <t>Open map</t>
        </is>
      </c>
      <c r="O519" s="2" t="inlineStr">
        <is>
          <t>Not contacted</t>
        </is>
      </c>
      <c r="P519" s="2" t="inlineStr"/>
      <c r="Q519" s="2" t="inlineStr"/>
      <c r="R519" s="2" t="inlineStr"/>
      <c r="S519" s="2" t="inlineStr"/>
    </row>
    <row r="520">
      <c r="A520" s="2" t="n">
        <v>519</v>
      </c>
      <c r="B520" s="6" t="inlineStr">
        <is>
          <t>MEDIUM</t>
        </is>
      </c>
      <c r="C520" s="2" t="inlineStr">
        <is>
          <t>Weak website</t>
        </is>
      </c>
      <c r="D520" s="2" t="inlineStr">
        <is>
          <t>Renegade Roasters</t>
        </is>
      </c>
      <c r="E520" s="2" t="inlineStr">
        <is>
          <t>deli or specialty food</t>
        </is>
      </c>
      <c r="F520" s="2" t="inlineStr">
        <is>
          <t>Brisbane</t>
        </is>
      </c>
      <c r="G520" s="2" t="inlineStr">
        <is>
          <t>Instagram</t>
        </is>
      </c>
      <c r="H520" s="4" t="inlineStr">
        <is>
          <t>http://instagram.com/renegaderoasters</t>
        </is>
      </c>
      <c r="I520" s="4" t="inlineStr">
        <is>
          <t>https://www.facebook.com/renegaderoasters</t>
        </is>
      </c>
      <c r="J520" s="2" t="inlineStr">
        <is>
          <t>+61 468 674 103</t>
        </is>
      </c>
      <c r="K520" s="4" t="inlineStr">
        <is>
          <t>https://www.renegaderoasters.com.au</t>
        </is>
      </c>
      <c r="L520" s="2" t="inlineStr">
        <is>
          <t>slow to load (6.7s)</t>
        </is>
      </c>
      <c r="M520" s="2" t="inlineStr">
        <is>
          <t>Hi Renegade Roasters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0" s="4" t="inlineStr">
        <is>
          <t>Open map</t>
        </is>
      </c>
      <c r="O520" s="2" t="inlineStr">
        <is>
          <t>Not contacted</t>
        </is>
      </c>
      <c r="P520" s="2" t="inlineStr"/>
      <c r="Q520" s="2" t="inlineStr"/>
      <c r="R520" s="2" t="inlineStr"/>
      <c r="S520" s="2" t="inlineStr"/>
    </row>
    <row r="521">
      <c r="A521" s="2" t="n">
        <v>520</v>
      </c>
      <c r="B521" s="6" t="inlineStr">
        <is>
          <t>MEDIUM</t>
        </is>
      </c>
      <c r="C521" s="2" t="inlineStr">
        <is>
          <t>Weak website</t>
        </is>
      </c>
      <c r="D521" s="2" t="inlineStr">
        <is>
          <t>AI Dental Rochedale</t>
        </is>
      </c>
      <c r="E521" s="2" t="inlineStr">
        <is>
          <t>dentist</t>
        </is>
      </c>
      <c r="F521" s="2" t="inlineStr">
        <is>
          <t>Brisbane</t>
        </is>
      </c>
      <c r="G521" s="2" t="inlineStr">
        <is>
          <t>Instagram</t>
        </is>
      </c>
      <c r="H521" s="4" t="inlineStr">
        <is>
          <t>https://www.instagram.com/aidentalormeau</t>
        </is>
      </c>
      <c r="I521" s="4" t="inlineStr">
        <is>
          <t>https://www.facebook.com/aidentalormeau</t>
        </is>
      </c>
      <c r="J521" s="2" t="inlineStr"/>
      <c r="K521" s="4" t="inlineStr">
        <is>
          <t>https://www.aidental.com.au/ai-dental-rochedale/</t>
        </is>
      </c>
      <c r="L521" s="2" t="inlineStr">
        <is>
          <t>slow to load (4.3s)</t>
        </is>
      </c>
      <c r="M521" s="2" t="inlineStr">
        <is>
          <t>Hi AI Dental Rochedale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1" s="4" t="inlineStr">
        <is>
          <t>Open map</t>
        </is>
      </c>
      <c r="O521" s="2" t="inlineStr">
        <is>
          <t>Not contacted</t>
        </is>
      </c>
      <c r="P521" s="2" t="inlineStr"/>
      <c r="Q521" s="2" t="inlineStr"/>
      <c r="R521" s="2" t="inlineStr"/>
      <c r="S521" s="2" t="inlineStr"/>
    </row>
    <row r="522">
      <c r="A522" s="2" t="n">
        <v>521</v>
      </c>
      <c r="B522" s="6" t="inlineStr">
        <is>
          <t>MEDIUM</t>
        </is>
      </c>
      <c r="C522" s="2" t="inlineStr">
        <is>
          <t>Weak website</t>
        </is>
      </c>
      <c r="D522" s="2" t="inlineStr">
        <is>
          <t>Alderly Dental</t>
        </is>
      </c>
      <c r="E522" s="2" t="inlineStr">
        <is>
          <t>dentist</t>
        </is>
      </c>
      <c r="F522" s="2" t="inlineStr">
        <is>
          <t>Brisbane</t>
        </is>
      </c>
      <c r="G522" s="2" t="inlineStr">
        <is>
          <t>Instagram</t>
        </is>
      </c>
      <c r="H522" s="4" t="inlineStr">
        <is>
          <t>https://www.instagram.com/alderleydental</t>
        </is>
      </c>
      <c r="I522" s="4" t="inlineStr">
        <is>
          <t>https://www.facebook.com/AlderleyDental</t>
        </is>
      </c>
      <c r="J522" s="2" t="inlineStr"/>
      <c r="K522" s="4" t="inlineStr">
        <is>
          <t>https://www.alderleydental.com.au/</t>
        </is>
      </c>
      <c r="L522" s="2" t="inlineStr">
        <is>
          <t>slow to load (4.5s)</t>
        </is>
      </c>
      <c r="M522" s="2" t="inlineStr">
        <is>
          <t>Hi Alderly Dental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2" s="4" t="inlineStr">
        <is>
          <t>Open map</t>
        </is>
      </c>
      <c r="O522" s="2" t="inlineStr">
        <is>
          <t>Not contacted</t>
        </is>
      </c>
      <c r="P522" s="2" t="inlineStr"/>
      <c r="Q522" s="2" t="inlineStr"/>
      <c r="R522" s="2" t="inlineStr"/>
      <c r="S522" s="2" t="inlineStr"/>
    </row>
    <row r="523">
      <c r="A523" s="2" t="n">
        <v>522</v>
      </c>
      <c r="B523" s="6" t="inlineStr">
        <is>
          <t>MEDIUM</t>
        </is>
      </c>
      <c r="C523" s="2" t="inlineStr">
        <is>
          <t>Weak website</t>
        </is>
      </c>
      <c r="D523" s="2" t="inlineStr">
        <is>
          <t>Bulimba Dental</t>
        </is>
      </c>
      <c r="E523" s="2" t="inlineStr">
        <is>
          <t>dentist</t>
        </is>
      </c>
      <c r="F523" s="2" t="inlineStr">
        <is>
          <t>Brisbane</t>
        </is>
      </c>
      <c r="G523" s="2" t="inlineStr">
        <is>
          <t>Instagram</t>
        </is>
      </c>
      <c r="H523" s="4" t="inlineStr">
        <is>
          <t>https://www.instagram.com/smileperfectiondentalaspley</t>
        </is>
      </c>
      <c r="I523" s="4" t="inlineStr">
        <is>
          <t>https://www.facebook.com/smileperfectdental</t>
        </is>
      </c>
      <c r="J523" s="2" t="inlineStr">
        <is>
          <t>+61 7 3399 2388</t>
        </is>
      </c>
      <c r="K523" s="4" t="inlineStr">
        <is>
          <t>https://www.bulimbadental.com.au/</t>
        </is>
      </c>
      <c r="L523" s="2" t="inlineStr">
        <is>
          <t>slow to load (3.3s)</t>
        </is>
      </c>
      <c r="M523" s="2" t="inlineStr">
        <is>
          <t>Hi Bulimba Dental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3" s="4" t="inlineStr">
        <is>
          <t>Open map</t>
        </is>
      </c>
      <c r="O523" s="2" t="inlineStr">
        <is>
          <t>Not contacted</t>
        </is>
      </c>
      <c r="P523" s="2" t="inlineStr"/>
      <c r="Q523" s="2" t="inlineStr"/>
      <c r="R523" s="2" t="inlineStr"/>
      <c r="S523" s="2" t="inlineStr"/>
    </row>
    <row r="524">
      <c r="A524" s="2" t="n">
        <v>523</v>
      </c>
      <c r="B524" s="6" t="inlineStr">
        <is>
          <t>MEDIUM</t>
        </is>
      </c>
      <c r="C524" s="2" t="inlineStr">
        <is>
          <t>Weak website</t>
        </is>
      </c>
      <c r="D524" s="2" t="inlineStr">
        <is>
          <t>Dr Martin Jest Dental Surgery</t>
        </is>
      </c>
      <c r="E524" s="2" t="inlineStr">
        <is>
          <t>dentist</t>
        </is>
      </c>
      <c r="F524" s="2" t="inlineStr">
        <is>
          <t>Brisbane</t>
        </is>
      </c>
      <c r="G524" s="2" t="inlineStr">
        <is>
          <t>Facebook</t>
        </is>
      </c>
      <c r="H524" s="2" t="inlineStr"/>
      <c r="I524" s="4" t="inlineStr">
        <is>
          <t>https://www.facebook.com/drmartinjestdentist</t>
        </is>
      </c>
      <c r="J524" s="2" t="inlineStr">
        <is>
          <t>+61 7 3359 1996</t>
        </is>
      </c>
      <c r="K524" s="4" t="inlineStr">
        <is>
          <t>https://drmartinjestdentist.com.au/</t>
        </is>
      </c>
      <c r="L524" s="2" t="inlineStr">
        <is>
          <t>slow to load (3.6s)</t>
        </is>
      </c>
      <c r="M524" s="2" t="inlineStr">
        <is>
          <t>Hi Dr Martin Jest Dental Surgery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4" s="4" t="inlineStr">
        <is>
          <t>Open map</t>
        </is>
      </c>
      <c r="O524" s="2" t="inlineStr">
        <is>
          <t>Not contacted</t>
        </is>
      </c>
      <c r="P524" s="2" t="inlineStr"/>
      <c r="Q524" s="2" t="inlineStr"/>
      <c r="R524" s="2" t="inlineStr"/>
      <c r="S524" s="2" t="inlineStr"/>
    </row>
    <row r="525">
      <c r="A525" s="2" t="n">
        <v>524</v>
      </c>
      <c r="B525" s="6" t="inlineStr">
        <is>
          <t>MEDIUM</t>
        </is>
      </c>
      <c r="C525" s="2" t="inlineStr">
        <is>
          <t>Weak website</t>
        </is>
      </c>
      <c r="D525" s="2" t="inlineStr">
        <is>
          <t>Graceville Dental Surgery</t>
        </is>
      </c>
      <c r="E525" s="2" t="inlineStr">
        <is>
          <t>dentist</t>
        </is>
      </c>
      <c r="F525" s="2" t="inlineStr">
        <is>
          <t>Brisbane</t>
        </is>
      </c>
      <c r="G525" s="2" t="inlineStr">
        <is>
          <t>Facebook</t>
        </is>
      </c>
      <c r="H525" s="2" t="inlineStr"/>
      <c r="I525" s="4" t="inlineStr">
        <is>
          <t>https://www.facebook.com/gracevilledentalsurgery</t>
        </is>
      </c>
      <c r="J525" s="2" t="inlineStr">
        <is>
          <t>+61 7 3379 1328</t>
        </is>
      </c>
      <c r="K525" s="4" t="inlineStr">
        <is>
          <t>https://gracevilledentalsurgery.com.au/</t>
        </is>
      </c>
      <c r="L525" s="2" t="inlineStr">
        <is>
          <t>looks outdated (copyright 2020); missing meta description</t>
        </is>
      </c>
      <c r="M525" s="2" t="inlineStr">
        <is>
          <t>Hi Graceville Dental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25" s="4" t="inlineStr">
        <is>
          <t>Open map</t>
        </is>
      </c>
      <c r="O525" s="2" t="inlineStr">
        <is>
          <t>Not contacted</t>
        </is>
      </c>
      <c r="P525" s="2" t="inlineStr"/>
      <c r="Q525" s="2" t="inlineStr"/>
      <c r="R525" s="2" t="inlineStr"/>
      <c r="S525" s="2" t="inlineStr"/>
    </row>
    <row r="526">
      <c r="A526" s="2" t="n">
        <v>525</v>
      </c>
      <c r="B526" s="6" t="inlineStr">
        <is>
          <t>MEDIUM</t>
        </is>
      </c>
      <c r="C526" s="2" t="inlineStr">
        <is>
          <t>Weak website</t>
        </is>
      </c>
      <c r="D526" s="2" t="inlineStr">
        <is>
          <t>Grange Family Dental</t>
        </is>
      </c>
      <c r="E526" s="2" t="inlineStr">
        <is>
          <t>dentist</t>
        </is>
      </c>
      <c r="F526" s="2" t="inlineStr">
        <is>
          <t>Brisbane</t>
        </is>
      </c>
      <c r="G526" s="2" t="inlineStr">
        <is>
          <t>Instagram</t>
        </is>
      </c>
      <c r="H526" s="4" t="inlineStr">
        <is>
          <t>https://www.instagram.com/grangefamilydental_</t>
        </is>
      </c>
      <c r="I526" s="4" t="inlineStr">
        <is>
          <t>https://facebook.com/grangefamilydental</t>
        </is>
      </c>
      <c r="J526" s="2" t="inlineStr">
        <is>
          <t>+61 7 3356 0166</t>
        </is>
      </c>
      <c r="K526" s="4" t="inlineStr">
        <is>
          <t>https://grangefamilydental.com.au/</t>
        </is>
      </c>
      <c r="L526" s="2" t="inlineStr">
        <is>
          <t>slow to load (5.4s)</t>
        </is>
      </c>
      <c r="M526" s="2" t="inlineStr">
        <is>
          <t>Hi Grange Family Dental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26" s="4" t="inlineStr">
        <is>
          <t>Open map</t>
        </is>
      </c>
      <c r="O526" s="2" t="inlineStr">
        <is>
          <t>Not contacted</t>
        </is>
      </c>
      <c r="P526" s="2" t="inlineStr"/>
      <c r="Q526" s="2" t="inlineStr"/>
      <c r="R526" s="2" t="inlineStr"/>
      <c r="S526" s="2" t="inlineStr"/>
    </row>
    <row r="527">
      <c r="A527" s="2" t="n">
        <v>526</v>
      </c>
      <c r="B527" s="6" t="inlineStr">
        <is>
          <t>MEDIUM</t>
        </is>
      </c>
      <c r="C527" s="2" t="inlineStr">
        <is>
          <t>Weak website</t>
        </is>
      </c>
      <c r="D527" s="2" t="inlineStr">
        <is>
          <t>Queensland Veneers &amp; Aligners</t>
        </is>
      </c>
      <c r="E527" s="2" t="inlineStr">
        <is>
          <t>dentist</t>
        </is>
      </c>
      <c r="F527" s="2" t="inlineStr">
        <is>
          <t>Brisbane</t>
        </is>
      </c>
      <c r="G527" s="2" t="inlineStr">
        <is>
          <t>Facebook</t>
        </is>
      </c>
      <c r="H527" s="2" t="inlineStr"/>
      <c r="I527" s="4" t="inlineStr">
        <is>
          <t>https://www.facebook.com/QueenslandVeneersandAligners/</t>
        </is>
      </c>
      <c r="J527" s="2" t="inlineStr">
        <is>
          <t>+61 7 3667 7677</t>
        </is>
      </c>
      <c r="K527" s="4" t="inlineStr">
        <is>
          <t>https://qldva.com.au/</t>
        </is>
      </c>
      <c r="L527" s="2" t="inlineStr">
        <is>
          <t>looks outdated (copyright 2023)</t>
        </is>
      </c>
      <c r="M527" s="2" t="inlineStr">
        <is>
          <t>Hi Queensland Veneers &amp; Aligners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27" s="4" t="inlineStr">
        <is>
          <t>Open map</t>
        </is>
      </c>
      <c r="O527" s="2" t="inlineStr">
        <is>
          <t>Not contacted</t>
        </is>
      </c>
      <c r="P527" s="2" t="inlineStr"/>
      <c r="Q527" s="2" t="inlineStr"/>
      <c r="R527" s="2" t="inlineStr"/>
      <c r="S527" s="2" t="inlineStr"/>
    </row>
    <row r="528">
      <c r="A528" s="2" t="n">
        <v>527</v>
      </c>
      <c r="B528" s="6" t="inlineStr">
        <is>
          <t>MEDIUM</t>
        </is>
      </c>
      <c r="C528" s="2" t="inlineStr">
        <is>
          <t>Weak website</t>
        </is>
      </c>
      <c r="D528" s="2" t="inlineStr">
        <is>
          <t>Stafford Dental Studio</t>
        </is>
      </c>
      <c r="E528" s="2" t="inlineStr">
        <is>
          <t>dentist</t>
        </is>
      </c>
      <c r="F528" s="2" t="inlineStr">
        <is>
          <t>Brisbane</t>
        </is>
      </c>
      <c r="G528" s="2" t="inlineStr">
        <is>
          <t>Facebook</t>
        </is>
      </c>
      <c r="H528" s="2" t="inlineStr"/>
      <c r="I528" s="4" t="inlineStr">
        <is>
          <t>https://www.facebook.com/StaffordDentalStudio?fref=ts</t>
        </is>
      </c>
      <c r="J528" s="2" t="inlineStr">
        <is>
          <t>+61 7 3352 7177</t>
        </is>
      </c>
      <c r="K528" s="4" t="inlineStr">
        <is>
          <t>https://stafforddentalstudio.com.au/</t>
        </is>
      </c>
      <c r="L528" s="2" t="inlineStr">
        <is>
          <t>looks outdated (copyright 2015); missing meta description</t>
        </is>
      </c>
      <c r="M528" s="2" t="inlineStr">
        <is>
          <t>Hi Stafford Dental Studio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28" s="4" t="inlineStr">
        <is>
          <t>Open map</t>
        </is>
      </c>
      <c r="O528" s="2" t="inlineStr">
        <is>
          <t>Not contacted</t>
        </is>
      </c>
      <c r="P528" s="2" t="inlineStr"/>
      <c r="Q528" s="2" t="inlineStr"/>
      <c r="R528" s="2" t="inlineStr"/>
      <c r="S528" s="2" t="inlineStr"/>
    </row>
    <row r="529">
      <c r="A529" s="2" t="n">
        <v>528</v>
      </c>
      <c r="B529" s="6" t="inlineStr">
        <is>
          <t>MEDIUM</t>
        </is>
      </c>
      <c r="C529" s="2" t="inlineStr">
        <is>
          <t>Weak website</t>
        </is>
      </c>
      <c r="D529" s="2" t="inlineStr">
        <is>
          <t>The Avenues Family Dental</t>
        </is>
      </c>
      <c r="E529" s="2" t="inlineStr">
        <is>
          <t>dentist</t>
        </is>
      </c>
      <c r="F529" s="2" t="inlineStr">
        <is>
          <t>Brisbane</t>
        </is>
      </c>
      <c r="G529" s="2" t="inlineStr">
        <is>
          <t>Facebook</t>
        </is>
      </c>
      <c r="H529" s="2" t="inlineStr"/>
      <c r="I529" s="4" t="inlineStr">
        <is>
          <t>https://www.facebook.com/avenuesfamilydental</t>
        </is>
      </c>
      <c r="J529" s="2" t="inlineStr"/>
      <c r="K529" s="4" t="inlineStr">
        <is>
          <t>https://www.avenuesfamilydental.com.au/</t>
        </is>
      </c>
      <c r="L529" s="2" t="inlineStr">
        <is>
          <t>missing meta description</t>
        </is>
      </c>
      <c r="M529" s="2" t="inlineStr">
        <is>
          <t>Hi The Avenues Family Dental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29" s="4" t="inlineStr">
        <is>
          <t>Open map</t>
        </is>
      </c>
      <c r="O529" s="2" t="inlineStr">
        <is>
          <t>Not contacted</t>
        </is>
      </c>
      <c r="P529" s="2" t="inlineStr"/>
      <c r="Q529" s="2" t="inlineStr"/>
      <c r="R529" s="2" t="inlineStr"/>
      <c r="S529" s="2" t="inlineStr"/>
    </row>
    <row r="530">
      <c r="A530" s="2" t="n">
        <v>529</v>
      </c>
      <c r="B530" s="6" t="inlineStr">
        <is>
          <t>MEDIUM</t>
        </is>
      </c>
      <c r="C530" s="2" t="inlineStr">
        <is>
          <t>Weak website</t>
        </is>
      </c>
      <c r="D530" s="2" t="inlineStr">
        <is>
          <t>Underwood Dental Care</t>
        </is>
      </c>
      <c r="E530" s="2" t="inlineStr">
        <is>
          <t>dentist</t>
        </is>
      </c>
      <c r="F530" s="2" t="inlineStr">
        <is>
          <t>Brisbane</t>
        </is>
      </c>
      <c r="G530" s="2" t="inlineStr">
        <is>
          <t>Instagram</t>
        </is>
      </c>
      <c r="H530" s="4" t="inlineStr">
        <is>
          <t>https://www.instagram.com/underwooddentalcare</t>
        </is>
      </c>
      <c r="I530" s="4" t="inlineStr">
        <is>
          <t>https://www.facebook.com/underwooddentalcare</t>
        </is>
      </c>
      <c r="J530" s="2" t="inlineStr">
        <is>
          <t>+61 7 3341 9770</t>
        </is>
      </c>
      <c r="K530" s="4" t="inlineStr">
        <is>
          <t>https://underwooddentalcare.com.au/</t>
        </is>
      </c>
      <c r="L530" s="2" t="inlineStr">
        <is>
          <t>looks outdated (copyright 2023)</t>
        </is>
      </c>
      <c r="M530" s="2" t="inlineStr">
        <is>
          <t>Hi Underwood Dental 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0" s="4" t="inlineStr">
        <is>
          <t>Open map</t>
        </is>
      </c>
      <c r="O530" s="2" t="inlineStr">
        <is>
          <t>Not contacted</t>
        </is>
      </c>
      <c r="P530" s="2" t="inlineStr"/>
      <c r="Q530" s="2" t="inlineStr"/>
      <c r="R530" s="2" t="inlineStr"/>
      <c r="S530" s="2" t="inlineStr"/>
    </row>
    <row r="531">
      <c r="A531" s="2" t="n">
        <v>530</v>
      </c>
      <c r="B531" s="6" t="inlineStr">
        <is>
          <t>MEDIUM</t>
        </is>
      </c>
      <c r="C531" s="2" t="inlineStr">
        <is>
          <t>Weak website</t>
        </is>
      </c>
      <c r="D531" s="2" t="inlineStr">
        <is>
          <t>Auswire Electrical and Air</t>
        </is>
      </c>
      <c r="E531" s="2" t="inlineStr">
        <is>
          <t>electrician</t>
        </is>
      </c>
      <c r="F531" s="2" t="inlineStr">
        <is>
          <t>Brisbane</t>
        </is>
      </c>
      <c r="G531" s="2" t="inlineStr">
        <is>
          <t>Instagram</t>
        </is>
      </c>
      <c r="H531" s="4" t="inlineStr">
        <is>
          <t>https://Instagram.com/auswire_electrical</t>
        </is>
      </c>
      <c r="I531" s="4" t="inlineStr">
        <is>
          <t>https://www.facebook.com/auswireelectrical</t>
        </is>
      </c>
      <c r="J531" s="2" t="inlineStr">
        <is>
          <t>+61 439 144 279</t>
        </is>
      </c>
      <c r="K531" s="4" t="inlineStr">
        <is>
          <t>https://www.auswireelectricalandair.com/</t>
        </is>
      </c>
      <c r="L531" s="2" t="inlineStr">
        <is>
          <t>looks outdated (copyright 2022)</t>
        </is>
      </c>
      <c r="M531" s="2" t="inlineStr">
        <is>
          <t>Hi Auswire Electrical and Air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1" s="4" t="inlineStr">
        <is>
          <t>Open map</t>
        </is>
      </c>
      <c r="O531" s="2" t="inlineStr">
        <is>
          <t>Not contacted</t>
        </is>
      </c>
      <c r="P531" s="2" t="inlineStr"/>
      <c r="Q531" s="2" t="inlineStr"/>
      <c r="R531" s="2" t="inlineStr"/>
      <c r="S531" s="2" t="inlineStr"/>
    </row>
    <row r="532">
      <c r="A532" s="2" t="n">
        <v>531</v>
      </c>
      <c r="B532" s="6" t="inlineStr">
        <is>
          <t>MEDIUM</t>
        </is>
      </c>
      <c r="C532" s="2" t="inlineStr">
        <is>
          <t>Weak website</t>
        </is>
      </c>
      <c r="D532" s="2" t="inlineStr">
        <is>
          <t>Electra Care</t>
        </is>
      </c>
      <c r="E532" s="2" t="inlineStr">
        <is>
          <t>electrician</t>
        </is>
      </c>
      <c r="F532" s="2" t="inlineStr">
        <is>
          <t>Brisbane</t>
        </is>
      </c>
      <c r="G532" s="2" t="inlineStr">
        <is>
          <t>Instagram</t>
        </is>
      </c>
      <c r="H532" s="4" t="inlineStr">
        <is>
          <t>https://www.instagram.com/electracare/</t>
        </is>
      </c>
      <c r="I532" s="4" t="inlineStr">
        <is>
          <t>https://www.facebook.com/pages/category/Electrician/Electracare-317137778700535/</t>
        </is>
      </c>
      <c r="J532" s="2" t="inlineStr"/>
      <c r="K532" s="4" t="inlineStr">
        <is>
          <t>https://www.electracare.com.au/</t>
        </is>
      </c>
      <c r="L532" s="2" t="inlineStr">
        <is>
          <t>looks outdated (copyright 2018)</t>
        </is>
      </c>
      <c r="M532" s="2" t="inlineStr">
        <is>
          <t>Hi Electra Care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2" s="4" t="inlineStr">
        <is>
          <t>Open map</t>
        </is>
      </c>
      <c r="O532" s="2" t="inlineStr">
        <is>
          <t>Not contacted</t>
        </is>
      </c>
      <c r="P532" s="2" t="inlineStr"/>
      <c r="Q532" s="2" t="inlineStr"/>
      <c r="R532" s="2" t="inlineStr"/>
      <c r="S532" s="2" t="inlineStr"/>
    </row>
    <row r="533">
      <c r="A533" s="2" t="n">
        <v>532</v>
      </c>
      <c r="B533" s="6" t="inlineStr">
        <is>
          <t>MEDIUM</t>
        </is>
      </c>
      <c r="C533" s="2" t="inlineStr">
        <is>
          <t>Weak website</t>
        </is>
      </c>
      <c r="D533" s="2" t="inlineStr">
        <is>
          <t>Redlands Fresh Flowers</t>
        </is>
      </c>
      <c r="E533" s="2" t="inlineStr">
        <is>
          <t>florist</t>
        </is>
      </c>
      <c r="F533" s="2" t="inlineStr">
        <is>
          <t>Brisbane</t>
        </is>
      </c>
      <c r="G533" s="2" t="inlineStr">
        <is>
          <t>Instagram</t>
        </is>
      </c>
      <c r="H533" s="4" t="inlineStr">
        <is>
          <t>https://www.instagram.com/redlandsfreshflowers/</t>
        </is>
      </c>
      <c r="I533" s="4" t="inlineStr">
        <is>
          <t>https://www.facebook.com/people/Redlands-Fresh-Flowers-Thornlands/100063716316111/</t>
        </is>
      </c>
      <c r="J533" s="2" t="inlineStr"/>
      <c r="K533" s="4" t="inlineStr">
        <is>
          <t>https://shop.redlandsfreshflowers.com.au/</t>
        </is>
      </c>
      <c r="L533" s="2" t="inlineStr">
        <is>
          <t>could not check (site refused automated visit, HTTP 403)</t>
        </is>
      </c>
      <c r="M533" s="2" t="inlineStr">
        <is>
          <t>Hi Redlands Fresh Flowers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3" s="4" t="inlineStr">
        <is>
          <t>Open map</t>
        </is>
      </c>
      <c r="O533" s="2" t="inlineStr">
        <is>
          <t>Not contacted</t>
        </is>
      </c>
      <c r="P533" s="2" t="inlineStr"/>
      <c r="Q533" s="2" t="inlineStr"/>
      <c r="R533" s="2" t="inlineStr"/>
      <c r="S533" s="2" t="inlineStr"/>
    </row>
    <row r="534">
      <c r="A534" s="2" t="n">
        <v>533</v>
      </c>
      <c r="B534" s="6" t="inlineStr">
        <is>
          <t>MEDIUM</t>
        </is>
      </c>
      <c r="C534" s="2" t="inlineStr">
        <is>
          <t>Weak website</t>
        </is>
      </c>
      <c r="D534" s="2" t="inlineStr">
        <is>
          <t>Eureka Furniture</t>
        </is>
      </c>
      <c r="E534" s="2" t="inlineStr">
        <is>
          <t>gift or homewares</t>
        </is>
      </c>
      <c r="F534" s="2" t="inlineStr">
        <is>
          <t>Brisbane</t>
        </is>
      </c>
      <c r="G534" s="2" t="inlineStr">
        <is>
          <t>Instagram</t>
        </is>
      </c>
      <c r="H534" s="4" t="inlineStr">
        <is>
          <t>https://www.instagram.com/eurekafurniture_</t>
        </is>
      </c>
      <c r="I534" s="4" t="inlineStr">
        <is>
          <t>https://www.facebook.com/ShopEurekaFurniture</t>
        </is>
      </c>
      <c r="J534" s="2" t="inlineStr">
        <is>
          <t>+61 7 3265 6066</t>
        </is>
      </c>
      <c r="K534" s="4" t="inlineStr">
        <is>
          <t>https://www.eurekafurniture.com.au/store-locator/03/</t>
        </is>
      </c>
      <c r="L534" s="2" t="inlineStr">
        <is>
          <t>missing meta description</t>
        </is>
      </c>
      <c r="M534" s="2" t="inlineStr">
        <is>
          <t>Hi Eureka Furniture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4" s="4" t="inlineStr">
        <is>
          <t>Open map</t>
        </is>
      </c>
      <c r="O534" s="2" t="inlineStr">
        <is>
          <t>Not contacted</t>
        </is>
      </c>
      <c r="P534" s="2" t="inlineStr"/>
      <c r="Q534" s="2" t="inlineStr"/>
      <c r="R534" s="2" t="inlineStr"/>
      <c r="S534" s="2" t="inlineStr"/>
    </row>
    <row r="535">
      <c r="A535" s="2" t="n">
        <v>534</v>
      </c>
      <c r="B535" s="6" t="inlineStr">
        <is>
          <t>MEDIUM</t>
        </is>
      </c>
      <c r="C535" s="2" t="inlineStr">
        <is>
          <t>Weak website</t>
        </is>
      </c>
      <c r="D535" s="2" t="inlineStr">
        <is>
          <t>Folk-Story</t>
        </is>
      </c>
      <c r="E535" s="2" t="inlineStr">
        <is>
          <t>gift or homewares</t>
        </is>
      </c>
      <c r="F535" s="2" t="inlineStr">
        <is>
          <t>Brisbane</t>
        </is>
      </c>
      <c r="G535" s="2" t="inlineStr">
        <is>
          <t>Instagram</t>
        </is>
      </c>
      <c r="H535" s="4" t="inlineStr">
        <is>
          <t>https://www.instagram.com/folkstory.com.au</t>
        </is>
      </c>
      <c r="I535" s="4" t="inlineStr">
        <is>
          <t>https://www.facebook.com/folkstory.com.au</t>
        </is>
      </c>
      <c r="J535" s="2" t="inlineStr"/>
      <c r="K535" s="4" t="inlineStr">
        <is>
          <t>https://folk-story.com.au</t>
        </is>
      </c>
      <c r="L535" s="2" t="inlineStr">
        <is>
          <t>missing meta description</t>
        </is>
      </c>
      <c r="M535" s="2" t="inlineStr">
        <is>
          <t>Hi Folk-Story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5" s="4" t="inlineStr">
        <is>
          <t>Open map</t>
        </is>
      </c>
      <c r="O535" s="2" t="inlineStr">
        <is>
          <t>Not contacted</t>
        </is>
      </c>
      <c r="P535" s="2" t="inlineStr"/>
      <c r="Q535" s="2" t="inlineStr"/>
      <c r="R535" s="2" t="inlineStr"/>
      <c r="S535" s="2" t="inlineStr"/>
    </row>
    <row r="536">
      <c r="A536" s="2" t="n">
        <v>535</v>
      </c>
      <c r="B536" s="6" t="inlineStr">
        <is>
          <t>MEDIUM</t>
        </is>
      </c>
      <c r="C536" s="2" t="inlineStr">
        <is>
          <t>Weak website</t>
        </is>
      </c>
      <c r="D536" s="2" t="inlineStr">
        <is>
          <t>Meer Tile Market</t>
        </is>
      </c>
      <c r="E536" s="2" t="inlineStr">
        <is>
          <t>gift or homewares</t>
        </is>
      </c>
      <c r="F536" s="2" t="inlineStr">
        <is>
          <t>Brisbane</t>
        </is>
      </c>
      <c r="G536" s="2" t="inlineStr">
        <is>
          <t>Instagram</t>
        </is>
      </c>
      <c r="H536" s="4" t="inlineStr">
        <is>
          <t>https://www.instagram.com/meertilemarket</t>
        </is>
      </c>
      <c r="I536" s="4" t="inlineStr">
        <is>
          <t>https://www.facebook.com/meertilemarket</t>
        </is>
      </c>
      <c r="J536" s="2" t="inlineStr">
        <is>
          <t>+61 7 3341 7811</t>
        </is>
      </c>
      <c r="K536" s="4" t="inlineStr">
        <is>
          <t>https://meer.com.au/</t>
        </is>
      </c>
      <c r="L536" s="2" t="inlineStr">
        <is>
          <t>missing meta description</t>
        </is>
      </c>
      <c r="M536" s="2" t="inlineStr">
        <is>
          <t>Hi Meer Tile Market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6" s="4" t="inlineStr">
        <is>
          <t>Open map</t>
        </is>
      </c>
      <c r="O536" s="2" t="inlineStr">
        <is>
          <t>Not contacted</t>
        </is>
      </c>
      <c r="P536" s="2" t="inlineStr"/>
      <c r="Q536" s="2" t="inlineStr"/>
      <c r="R536" s="2" t="inlineStr"/>
      <c r="S536" s="2" t="inlineStr"/>
    </row>
    <row r="537">
      <c r="A537" s="2" t="n">
        <v>536</v>
      </c>
      <c r="B537" s="6" t="inlineStr">
        <is>
          <t>MEDIUM</t>
        </is>
      </c>
      <c r="C537" s="2" t="inlineStr">
        <is>
          <t>Weak website</t>
        </is>
      </c>
      <c r="D537" s="2" t="inlineStr">
        <is>
          <t>Zealsea Timber Flooring Brisbane Underwood</t>
        </is>
      </c>
      <c r="E537" s="2" t="inlineStr">
        <is>
          <t>gift or homewares</t>
        </is>
      </c>
      <c r="F537" s="2" t="inlineStr">
        <is>
          <t>Brisbane</t>
        </is>
      </c>
      <c r="G537" s="2" t="inlineStr">
        <is>
          <t>Instagram</t>
        </is>
      </c>
      <c r="H537" s="4" t="inlineStr">
        <is>
          <t>https://www.instagram.com/zealseatimberflooring</t>
        </is>
      </c>
      <c r="I537" s="4" t="inlineStr">
        <is>
          <t>https://www.facebook.com/ZealseaTimberFlooring</t>
        </is>
      </c>
      <c r="J537" s="2" t="inlineStr">
        <is>
          <t>+61 7 3808 2778</t>
        </is>
      </c>
      <c r="K537" s="4" t="inlineStr">
        <is>
          <t>https://www.zealseaflooring.com/</t>
        </is>
      </c>
      <c r="L537" s="2" t="inlineStr">
        <is>
          <t>slow to load (5.0s)</t>
        </is>
      </c>
      <c r="M537" s="2" t="inlineStr">
        <is>
          <t>Hi Zealsea Timber Flooring Brisbane Underwood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37" s="4" t="inlineStr">
        <is>
          <t>Open map</t>
        </is>
      </c>
      <c r="O537" s="2" t="inlineStr">
        <is>
          <t>Not contacted</t>
        </is>
      </c>
      <c r="P537" s="2" t="inlineStr"/>
      <c r="Q537" s="2" t="inlineStr"/>
      <c r="R537" s="2" t="inlineStr"/>
      <c r="S537" s="2" t="inlineStr"/>
    </row>
    <row r="538">
      <c r="A538" s="2" t="n">
        <v>537</v>
      </c>
      <c r="B538" s="6" t="inlineStr">
        <is>
          <t>MEDIUM</t>
        </is>
      </c>
      <c r="C538" s="2" t="inlineStr">
        <is>
          <t>Weak website</t>
        </is>
      </c>
      <c r="D538" s="2" t="inlineStr">
        <is>
          <t>Fiera</t>
        </is>
      </c>
      <c r="E538" s="2" t="inlineStr">
        <is>
          <t>jeweller</t>
        </is>
      </c>
      <c r="F538" s="2" t="inlineStr">
        <is>
          <t>Brisbane</t>
        </is>
      </c>
      <c r="G538" s="2" t="inlineStr">
        <is>
          <t>Instagram</t>
        </is>
      </c>
      <c r="H538" s="4" t="inlineStr">
        <is>
          <t>https://www.instagram.com/fieraboutique</t>
        </is>
      </c>
      <c r="I538" s="4" t="inlineStr">
        <is>
          <t>https://www.facebook.com/Fiera.com.au</t>
        </is>
      </c>
      <c r="J538" s="2" t="inlineStr">
        <is>
          <t>+61 7 3899 3365</t>
        </is>
      </c>
      <c r="K538" s="4" t="inlineStr">
        <is>
          <t>https://www.fiera.com.au/</t>
        </is>
      </c>
      <c r="L538" s="2" t="inlineStr">
        <is>
          <t>looks outdated (copyright 2018); missing meta description</t>
        </is>
      </c>
      <c r="M538" s="2" t="inlineStr">
        <is>
          <t>Hi Fiera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8" s="4" t="inlineStr">
        <is>
          <t>Open map</t>
        </is>
      </c>
      <c r="O538" s="2" t="inlineStr">
        <is>
          <t>Not contacted</t>
        </is>
      </c>
      <c r="P538" s="2" t="inlineStr"/>
      <c r="Q538" s="2" t="inlineStr"/>
      <c r="R538" s="2" t="inlineStr"/>
      <c r="S538" s="2" t="inlineStr"/>
    </row>
    <row r="539">
      <c r="A539" s="2" t="n">
        <v>538</v>
      </c>
      <c r="B539" s="6" t="inlineStr">
        <is>
          <t>MEDIUM</t>
        </is>
      </c>
      <c r="C539" s="2" t="inlineStr">
        <is>
          <t>Weak website</t>
        </is>
      </c>
      <c r="D539" s="2" t="inlineStr">
        <is>
          <t>Secrets Shhh</t>
        </is>
      </c>
      <c r="E539" s="2" t="inlineStr">
        <is>
          <t>jeweller</t>
        </is>
      </c>
      <c r="F539" s="2" t="inlineStr">
        <is>
          <t>Brisbane</t>
        </is>
      </c>
      <c r="G539" s="2" t="inlineStr">
        <is>
          <t>Instagram</t>
        </is>
      </c>
      <c r="H539" s="4" t="inlineStr">
        <is>
          <t>https://www.instagram.com/secretsbyamaar</t>
        </is>
      </c>
      <c r="I539" s="4" t="inlineStr">
        <is>
          <t>https://www.facebook.com/secretsbyamaar</t>
        </is>
      </c>
      <c r="J539" s="2" t="inlineStr">
        <is>
          <t>+61 7 3343 5885</t>
        </is>
      </c>
      <c r="K539" s="4" t="inlineStr">
        <is>
          <t>https://www.secrets-shhh.com/</t>
        </is>
      </c>
      <c r="L539" s="2" t="inlineStr">
        <is>
          <t>missing meta description</t>
        </is>
      </c>
      <c r="M539" s="2" t="inlineStr">
        <is>
          <t>Hi Secrets Shhh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9" s="4" t="inlineStr">
        <is>
          <t>Open map</t>
        </is>
      </c>
      <c r="O539" s="2" t="inlineStr">
        <is>
          <t>Not contacted</t>
        </is>
      </c>
      <c r="P539" s="2" t="inlineStr"/>
      <c r="Q539" s="2" t="inlineStr"/>
      <c r="R539" s="2" t="inlineStr"/>
      <c r="S539" s="2" t="inlineStr"/>
    </row>
    <row r="540">
      <c r="A540" s="2" t="n">
        <v>539</v>
      </c>
      <c r="B540" s="6" t="inlineStr">
        <is>
          <t>MEDIUM</t>
        </is>
      </c>
      <c r="C540" s="2" t="inlineStr">
        <is>
          <t>Weak website</t>
        </is>
      </c>
      <c r="D540" s="2" t="inlineStr">
        <is>
          <t>Brian Grant Kitchens &amp; Bathrooms</t>
        </is>
      </c>
      <c r="E540" s="2" t="inlineStr">
        <is>
          <t>joinery or kitchens</t>
        </is>
      </c>
      <c r="F540" s="2" t="inlineStr">
        <is>
          <t>Brisbane</t>
        </is>
      </c>
      <c r="G540" s="2" t="inlineStr">
        <is>
          <t>Instagram</t>
        </is>
      </c>
      <c r="H540" s="4" t="inlineStr">
        <is>
          <t>https://www.instagram.com/briangrantkitchensandbathrooms/</t>
        </is>
      </c>
      <c r="I540" s="4" t="inlineStr">
        <is>
          <t>https://www.facebook.com/BrianGrants/</t>
        </is>
      </c>
      <c r="J540" s="2" t="inlineStr">
        <is>
          <t>+61 7 3051 5800</t>
        </is>
      </c>
      <c r="K540" s="4" t="inlineStr">
        <is>
          <t>https://briangrants.com.au/</t>
        </is>
      </c>
      <c r="L540" s="2" t="inlineStr">
        <is>
          <t>website address not working (check the business is still open)</t>
        </is>
      </c>
      <c r="M540" s="2" t="inlineStr">
        <is>
          <t>Hi Brian Grant Kitchens &amp; Bathrooms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0" s="4" t="inlineStr">
        <is>
          <t>Open map</t>
        </is>
      </c>
      <c r="O540" s="2" t="inlineStr">
        <is>
          <t>Not contacted</t>
        </is>
      </c>
      <c r="P540" s="2" t="inlineStr"/>
      <c r="Q540" s="2" t="inlineStr"/>
      <c r="R540" s="2" t="inlineStr"/>
      <c r="S540" s="2" t="inlineStr"/>
    </row>
    <row r="541">
      <c r="A541" s="2" t="n">
        <v>540</v>
      </c>
      <c r="B541" s="6" t="inlineStr">
        <is>
          <t>MEDIUM</t>
        </is>
      </c>
      <c r="C541" s="2" t="inlineStr">
        <is>
          <t>Weak website</t>
        </is>
      </c>
      <c r="D541" s="2" t="inlineStr">
        <is>
          <t>Hammertime Kitchens</t>
        </is>
      </c>
      <c r="E541" s="2" t="inlineStr">
        <is>
          <t>joinery or kitchens</t>
        </is>
      </c>
      <c r="F541" s="2" t="inlineStr">
        <is>
          <t>Brisbane</t>
        </is>
      </c>
      <c r="G541" s="2" t="inlineStr">
        <is>
          <t>Instagram</t>
        </is>
      </c>
      <c r="H541" s="4" t="inlineStr">
        <is>
          <t>https://www.instagram.com/hammertimekitchens</t>
        </is>
      </c>
      <c r="I541" s="4" t="inlineStr">
        <is>
          <t>https://www.facebook.com/hammertimekitchens</t>
        </is>
      </c>
      <c r="J541" s="2" t="inlineStr">
        <is>
          <t>+61 7 3881 1552</t>
        </is>
      </c>
      <c r="K541" s="4" t="inlineStr">
        <is>
          <t>https://www.hammertimekitchens.com.au/</t>
        </is>
      </c>
      <c r="L541" s="2" t="inlineStr">
        <is>
          <t>missing meta description</t>
        </is>
      </c>
      <c r="M541" s="2" t="inlineStr">
        <is>
          <t>Hi Hammertime Kitchens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1" s="4" t="inlineStr">
        <is>
          <t>Open map</t>
        </is>
      </c>
      <c r="O541" s="2" t="inlineStr">
        <is>
          <t>Not contacted</t>
        </is>
      </c>
      <c r="P541" s="2" t="inlineStr"/>
      <c r="Q541" s="2" t="inlineStr"/>
      <c r="R541" s="2" t="inlineStr"/>
      <c r="S541" s="2" t="inlineStr"/>
    </row>
    <row r="542">
      <c r="A542" s="2" t="n">
        <v>541</v>
      </c>
      <c r="B542" s="6" t="inlineStr">
        <is>
          <t>MEDIUM</t>
        </is>
      </c>
      <c r="C542" s="2" t="inlineStr">
        <is>
          <t>Weak website</t>
        </is>
      </c>
      <c r="D542" s="2" t="inlineStr">
        <is>
          <t>MKN Kitchens &amp; Laundries</t>
        </is>
      </c>
      <c r="E542" s="2" t="inlineStr">
        <is>
          <t>joinery or kitchens</t>
        </is>
      </c>
      <c r="F542" s="2" t="inlineStr">
        <is>
          <t>Brisbane</t>
        </is>
      </c>
      <c r="G542" s="2" t="inlineStr">
        <is>
          <t>Instagram</t>
        </is>
      </c>
      <c r="H542" s="4" t="inlineStr">
        <is>
          <t>https://www.instagram.com/mkn_modernkitchensnorthside</t>
        </is>
      </c>
      <c r="I542" s="4" t="inlineStr">
        <is>
          <t>https://www.facebook.com/MKN-564392520337278</t>
        </is>
      </c>
      <c r="J542" s="2" t="inlineStr">
        <is>
          <t>+61 7 3889 9054</t>
        </is>
      </c>
      <c r="K542" s="4" t="inlineStr">
        <is>
          <t>https://modernkitchensnorthside.com.au/</t>
        </is>
      </c>
      <c r="L542" s="2" t="inlineStr">
        <is>
          <t>looks outdated (copyright 2021)</t>
        </is>
      </c>
      <c r="M542" s="2" t="inlineStr">
        <is>
          <t>Hi MKN Kitchens &amp; Laundries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2" s="4" t="inlineStr">
        <is>
          <t>Open map</t>
        </is>
      </c>
      <c r="O542" s="2" t="inlineStr">
        <is>
          <t>Not contacted</t>
        </is>
      </c>
      <c r="P542" s="2" t="inlineStr"/>
      <c r="Q542" s="2" t="inlineStr"/>
      <c r="R542" s="2" t="inlineStr"/>
      <c r="S542" s="2" t="inlineStr"/>
    </row>
    <row r="543">
      <c r="A543" s="2" t="n">
        <v>542</v>
      </c>
      <c r="B543" s="6" t="inlineStr">
        <is>
          <t>MEDIUM</t>
        </is>
      </c>
      <c r="C543" s="2" t="inlineStr">
        <is>
          <t>Weak website</t>
        </is>
      </c>
      <c r="D543" s="2" t="inlineStr">
        <is>
          <t>CSG Landscape Supplies &amp; Garden Centre</t>
        </is>
      </c>
      <c r="E543" s="2" t="inlineStr">
        <is>
          <t>landscaper</t>
        </is>
      </c>
      <c r="F543" s="2" t="inlineStr">
        <is>
          <t>Brisbane</t>
        </is>
      </c>
      <c r="G543" s="2" t="inlineStr">
        <is>
          <t>Instagram</t>
        </is>
      </c>
      <c r="H543" s="4" t="inlineStr">
        <is>
          <t>https://www.instagram.com/csg_landscape_supplies</t>
        </is>
      </c>
      <c r="I543" s="4" t="inlineStr">
        <is>
          <t>https://www.facebook.com/CSGLandscapeGardens</t>
        </is>
      </c>
      <c r="J543" s="2" t="inlineStr"/>
      <c r="K543" s="4" t="inlineStr">
        <is>
          <t>https://csglandscapes.com.au/</t>
        </is>
      </c>
      <c r="L543" s="2" t="inlineStr">
        <is>
          <t>slow to load (5.2s)</t>
        </is>
      </c>
      <c r="M543" s="2" t="inlineStr">
        <is>
          <t>Hi CSG Landscape Supplies &amp; Garden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43" s="4" t="inlineStr">
        <is>
          <t>Open map</t>
        </is>
      </c>
      <c r="O543" s="2" t="inlineStr">
        <is>
          <t>Not contacted</t>
        </is>
      </c>
      <c r="P543" s="2" t="inlineStr"/>
      <c r="Q543" s="2" t="inlineStr"/>
      <c r="R543" s="2" t="inlineStr"/>
      <c r="S543" s="2" t="inlineStr"/>
    </row>
    <row r="544">
      <c r="A544" s="2" t="n">
        <v>543</v>
      </c>
      <c r="B544" s="6" t="inlineStr">
        <is>
          <t>MEDIUM</t>
        </is>
      </c>
      <c r="C544" s="2" t="inlineStr">
        <is>
          <t>Weak website</t>
        </is>
      </c>
      <c r="D544" s="2" t="inlineStr">
        <is>
          <t>Fame Orchids</t>
        </is>
      </c>
      <c r="E544" s="2" t="inlineStr">
        <is>
          <t>landscaper</t>
        </is>
      </c>
      <c r="F544" s="2" t="inlineStr">
        <is>
          <t>Brisbane</t>
        </is>
      </c>
      <c r="G544" s="2" t="inlineStr">
        <is>
          <t>Facebook</t>
        </is>
      </c>
      <c r="H544" s="2" t="inlineStr"/>
      <c r="I544" s="4" t="inlineStr">
        <is>
          <t>https://www.facebook.com/fameorchidsnursery/</t>
        </is>
      </c>
      <c r="J544" s="2" t="inlineStr">
        <is>
          <t>+61 7 3206 4385</t>
        </is>
      </c>
      <c r="K544" s="4" t="inlineStr">
        <is>
          <t>https://fameorchids.au/</t>
        </is>
      </c>
      <c r="L544" s="2" t="inlineStr">
        <is>
          <t>not mobile-friendly (no viewport tag)</t>
        </is>
      </c>
      <c r="M544" s="2" t="inlineStr">
        <is>
          <t>Hi Fame Orchids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544" s="4" t="inlineStr">
        <is>
          <t>Open map</t>
        </is>
      </c>
      <c r="O544" s="2" t="inlineStr">
        <is>
          <t>Not contacted</t>
        </is>
      </c>
      <c r="P544" s="2" t="inlineStr"/>
      <c r="Q544" s="2" t="inlineStr"/>
      <c r="R544" s="2" t="inlineStr"/>
      <c r="S544" s="2" t="inlineStr"/>
    </row>
    <row r="545">
      <c r="A545" s="2" t="n">
        <v>544</v>
      </c>
      <c r="B545" s="6" t="inlineStr">
        <is>
          <t>MEDIUM</t>
        </is>
      </c>
      <c r="C545" s="2" t="inlineStr">
        <is>
          <t>Weak website</t>
        </is>
      </c>
      <c r="D545" s="2" t="inlineStr">
        <is>
          <t>Samford Valley Garden Centre</t>
        </is>
      </c>
      <c r="E545" s="2" t="inlineStr">
        <is>
          <t>landscaper</t>
        </is>
      </c>
      <c r="F545" s="2" t="inlineStr">
        <is>
          <t>Brisbane</t>
        </is>
      </c>
      <c r="G545" s="2" t="inlineStr">
        <is>
          <t>Instagram</t>
        </is>
      </c>
      <c r="H545" s="4" t="inlineStr">
        <is>
          <t>https://www.instagram.com/samfordvalleygarden</t>
        </is>
      </c>
      <c r="I545" s="4" t="inlineStr">
        <is>
          <t>https://www.facebook.com/samfordvalleygardencentre/events</t>
        </is>
      </c>
      <c r="J545" s="2" t="inlineStr">
        <is>
          <t>+61 7 3289 3577</t>
        </is>
      </c>
      <c r="K545" s="4" t="inlineStr">
        <is>
          <t>https://www.samfordvalleygardencentre.com/</t>
        </is>
      </c>
      <c r="L545" s="2" t="inlineStr">
        <is>
          <t>slow to load (4.9s)</t>
        </is>
      </c>
      <c r="M545" s="2" t="inlineStr">
        <is>
          <t>Hi Samford Valley Garden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45" s="4" t="inlineStr">
        <is>
          <t>Open map</t>
        </is>
      </c>
      <c r="O545" s="2" t="inlineStr">
        <is>
          <t>Not contacted</t>
        </is>
      </c>
      <c r="P545" s="2" t="inlineStr"/>
      <c r="Q545" s="2" t="inlineStr"/>
      <c r="R545" s="2" t="inlineStr"/>
      <c r="S545" s="2" t="inlineStr"/>
    </row>
    <row r="546">
      <c r="A546" s="2" t="n">
        <v>545</v>
      </c>
      <c r="B546" s="6" t="inlineStr">
        <is>
          <t>MEDIUM</t>
        </is>
      </c>
      <c r="C546" s="2" t="inlineStr">
        <is>
          <t>Weak website</t>
        </is>
      </c>
      <c r="D546" s="2" t="inlineStr">
        <is>
          <t>Sapar Landscaping Supplies</t>
        </is>
      </c>
      <c r="E546" s="2" t="inlineStr">
        <is>
          <t>landscaper</t>
        </is>
      </c>
      <c r="F546" s="2" t="inlineStr">
        <is>
          <t>Brisbane</t>
        </is>
      </c>
      <c r="G546" s="2" t="inlineStr">
        <is>
          <t>Facebook</t>
        </is>
      </c>
      <c r="H546" s="2" t="inlineStr"/>
      <c r="I546" s="4" t="inlineStr">
        <is>
          <t>https://www.facebook.com/saparlandscapingsupplies</t>
        </is>
      </c>
      <c r="J546" s="2" t="inlineStr">
        <is>
          <t>+61 7 3814 3602</t>
        </is>
      </c>
      <c r="K546" s="4" t="inlineStr">
        <is>
          <t>http://sapar.com.au/</t>
        </is>
      </c>
      <c r="L546" s="2" t="inlineStr">
        <is>
          <t>no HTTPS (browser shows 'Not secure'); missing meta description</t>
        </is>
      </c>
      <c r="M546" s="2" t="inlineStr">
        <is>
          <t>Hi Sapar Landscaping Supplies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6" s="4" t="inlineStr">
        <is>
          <t>Open map</t>
        </is>
      </c>
      <c r="O546" s="2" t="inlineStr">
        <is>
          <t>Not contacted</t>
        </is>
      </c>
      <c r="P546" s="2" t="inlineStr"/>
      <c r="Q546" s="2" t="inlineStr"/>
      <c r="R546" s="2" t="inlineStr"/>
      <c r="S546" s="2" t="inlineStr"/>
    </row>
    <row r="547">
      <c r="A547" s="2" t="n">
        <v>546</v>
      </c>
      <c r="B547" s="6" t="inlineStr">
        <is>
          <t>MEDIUM</t>
        </is>
      </c>
      <c r="C547" s="2" t="inlineStr">
        <is>
          <t>Weak website</t>
        </is>
      </c>
      <c r="D547" s="2" t="inlineStr">
        <is>
          <t>Scuderi Services</t>
        </is>
      </c>
      <c r="E547" s="2" t="inlineStr">
        <is>
          <t>landscaper</t>
        </is>
      </c>
      <c r="F547" s="2" t="inlineStr">
        <is>
          <t>Brisbane</t>
        </is>
      </c>
      <c r="G547" s="2" t="inlineStr">
        <is>
          <t>Instagram</t>
        </is>
      </c>
      <c r="H547" s="4" t="inlineStr">
        <is>
          <t>https://www.instagram.com/scuderiservices</t>
        </is>
      </c>
      <c r="I547" s="2" t="inlineStr"/>
      <c r="J547" s="2" t="inlineStr">
        <is>
          <t>+61 7 3855 4177</t>
        </is>
      </c>
      <c r="K547" s="4" t="inlineStr">
        <is>
          <t>https://scuderiservices.com.au/</t>
        </is>
      </c>
      <c r="L547" s="2" t="inlineStr">
        <is>
          <t>looks outdated (copyright 2022)</t>
        </is>
      </c>
      <c r="M547" s="2" t="inlineStr">
        <is>
          <t>Hi Scuderi Services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7" s="4" t="inlineStr">
        <is>
          <t>Open map</t>
        </is>
      </c>
      <c r="O547" s="2" t="inlineStr">
        <is>
          <t>Not contacted</t>
        </is>
      </c>
      <c r="P547" s="2" t="inlineStr"/>
      <c r="Q547" s="2" t="inlineStr"/>
      <c r="R547" s="2" t="inlineStr"/>
      <c r="S547" s="2" t="inlineStr"/>
    </row>
    <row r="548">
      <c r="A548" s="2" t="n">
        <v>547</v>
      </c>
      <c r="B548" s="6" t="inlineStr">
        <is>
          <t>MEDIUM</t>
        </is>
      </c>
      <c r="C548" s="2" t="inlineStr">
        <is>
          <t>Weak website</t>
        </is>
      </c>
      <c r="D548" s="2" t="inlineStr">
        <is>
          <t>The Nurso</t>
        </is>
      </c>
      <c r="E548" s="2" t="inlineStr">
        <is>
          <t>landscaper</t>
        </is>
      </c>
      <c r="F548" s="2" t="inlineStr">
        <is>
          <t>Brisbane</t>
        </is>
      </c>
      <c r="G548" s="2" t="inlineStr">
        <is>
          <t>Instagram</t>
        </is>
      </c>
      <c r="H548" s="4" t="inlineStr">
        <is>
          <t>https://www.instagram.com/thenursochandler/</t>
        </is>
      </c>
      <c r="I548" s="4" t="inlineStr">
        <is>
          <t>https://www.facebook.com/thenursochandler/</t>
        </is>
      </c>
      <c r="J548" s="2" t="inlineStr"/>
      <c r="K548" s="4" t="inlineStr">
        <is>
          <t>https://www.thenurso.au/</t>
        </is>
      </c>
      <c r="L548" s="2" t="inlineStr">
        <is>
          <t>missing meta description</t>
        </is>
      </c>
      <c r="M548" s="2" t="inlineStr">
        <is>
          <t>Hi The Nurso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8" s="4" t="inlineStr">
        <is>
          <t>Open map</t>
        </is>
      </c>
      <c r="O548" s="2" t="inlineStr">
        <is>
          <t>Not contacted</t>
        </is>
      </c>
      <c r="P548" s="2" t="inlineStr"/>
      <c r="Q548" s="2" t="inlineStr"/>
      <c r="R548" s="2" t="inlineStr"/>
      <c r="S548" s="2" t="inlineStr"/>
    </row>
    <row r="549">
      <c r="A549" s="2" t="n">
        <v>548</v>
      </c>
      <c r="B549" s="6" t="inlineStr">
        <is>
          <t>MEDIUM</t>
        </is>
      </c>
      <c r="C549" s="2" t="inlineStr">
        <is>
          <t>Weak website</t>
        </is>
      </c>
      <c r="D549" s="2" t="inlineStr">
        <is>
          <t>Timbara Garden Centre</t>
        </is>
      </c>
      <c r="E549" s="2" t="inlineStr">
        <is>
          <t>landscaper</t>
        </is>
      </c>
      <c r="F549" s="2" t="inlineStr">
        <is>
          <t>Brisbane</t>
        </is>
      </c>
      <c r="G549" s="2" t="inlineStr">
        <is>
          <t>Instagram</t>
        </is>
      </c>
      <c r="H549" s="4" t="inlineStr">
        <is>
          <t>https://www.instagram.com/timbara_nursery</t>
        </is>
      </c>
      <c r="I549" s="4" t="inlineStr">
        <is>
          <t>https://www.facebook.com/Timbara-Plants-Plus-Garden-Centre-418336324961795</t>
        </is>
      </c>
      <c r="J549" s="2" t="inlineStr"/>
      <c r="K549" s="4" t="inlineStr">
        <is>
          <t>https://www.timbaranursery.com.au/</t>
        </is>
      </c>
      <c r="L549" s="2" t="inlineStr">
        <is>
          <t>looks outdated (copyright 2021)</t>
        </is>
      </c>
      <c r="M549" s="2" t="inlineStr">
        <is>
          <t>Hi Timbara Garden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9" s="4" t="inlineStr">
        <is>
          <t>Open map</t>
        </is>
      </c>
      <c r="O549" s="2" t="inlineStr">
        <is>
          <t>Not contacted</t>
        </is>
      </c>
      <c r="P549" s="2" t="inlineStr"/>
      <c r="Q549" s="2" t="inlineStr"/>
      <c r="R549" s="2" t="inlineStr"/>
      <c r="S549" s="2" t="inlineStr"/>
    </row>
    <row r="550">
      <c r="A550" s="2" t="n">
        <v>549</v>
      </c>
      <c r="B550" s="6" t="inlineStr">
        <is>
          <t>MEDIUM</t>
        </is>
      </c>
      <c r="C550" s="2" t="inlineStr">
        <is>
          <t>Weak website</t>
        </is>
      </c>
      <c r="D550" s="2" t="inlineStr">
        <is>
          <t>Craft</t>
        </is>
      </c>
      <c r="E550" s="2" t="inlineStr">
        <is>
          <t>liquor or wine</t>
        </is>
      </c>
      <c r="F550" s="2" t="inlineStr">
        <is>
          <t>Brisbane</t>
        </is>
      </c>
      <c r="G550" s="2" t="inlineStr">
        <is>
          <t>Instagram</t>
        </is>
      </c>
      <c r="H550" s="4" t="inlineStr">
        <is>
          <t>https://www.instagram.com/craftwinestore</t>
        </is>
      </c>
      <c r="I550" s="4" t="inlineStr">
        <is>
          <t>https://www.facebook.com/craftredhill</t>
        </is>
      </c>
      <c r="J550" s="2" t="inlineStr">
        <is>
          <t>+61 7 3367 1383</t>
        </is>
      </c>
      <c r="K550" s="4" t="inlineStr">
        <is>
          <t>https://craftwinestore.com.au/pages/stores</t>
        </is>
      </c>
      <c r="L550" s="2" t="inlineStr">
        <is>
          <t>missing meta description</t>
        </is>
      </c>
      <c r="M550" s="2" t="inlineStr">
        <is>
          <t>Hi Craft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0" s="4" t="inlineStr">
        <is>
          <t>Open map</t>
        </is>
      </c>
      <c r="O550" s="2" t="inlineStr">
        <is>
          <t>Not contacted</t>
        </is>
      </c>
      <c r="P550" s="2" t="inlineStr"/>
      <c r="Q550" s="2" t="inlineStr"/>
      <c r="R550" s="2" t="inlineStr"/>
      <c r="S550" s="2" t="inlineStr"/>
    </row>
    <row r="551">
      <c r="A551" s="2" t="n">
        <v>550</v>
      </c>
      <c r="B551" s="6" t="inlineStr">
        <is>
          <t>MEDIUM</t>
        </is>
      </c>
      <c r="C551" s="2" t="inlineStr">
        <is>
          <t>Weak website</t>
        </is>
      </c>
      <c r="D551" s="2" t="inlineStr">
        <is>
          <t>Liquor Legends</t>
        </is>
      </c>
      <c r="E551" s="2" t="inlineStr">
        <is>
          <t>liquor or wine</t>
        </is>
      </c>
      <c r="F551" s="2" t="inlineStr">
        <is>
          <t>Brisbane</t>
        </is>
      </c>
      <c r="G551" s="2" t="inlineStr">
        <is>
          <t>Instagram</t>
        </is>
      </c>
      <c r="H551" s="4" t="inlineStr">
        <is>
          <t>https://www.instagram.com/thealexandrahillshotel</t>
        </is>
      </c>
      <c r="I551" s="4" t="inlineStr">
        <is>
          <t>https://www.facebook.com/alexandra.hillshotel</t>
        </is>
      </c>
      <c r="J551" s="2" t="inlineStr"/>
      <c r="K551" s="4" t="inlineStr">
        <is>
          <t>https://thealexandrahillshotel.com.au/bottle-shop/</t>
        </is>
      </c>
      <c r="L551" s="2" t="inlineStr">
        <is>
          <t>missing meta description</t>
        </is>
      </c>
      <c r="M551" s="2" t="inlineStr">
        <is>
          <t>Hi Liquor Legends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1" s="4" t="inlineStr">
        <is>
          <t>Open map</t>
        </is>
      </c>
      <c r="O551" s="2" t="inlineStr">
        <is>
          <t>Not contacted</t>
        </is>
      </c>
      <c r="P551" s="2" t="inlineStr"/>
      <c r="Q551" s="2" t="inlineStr"/>
      <c r="R551" s="2" t="inlineStr"/>
      <c r="S551" s="2" t="inlineStr"/>
    </row>
    <row r="552">
      <c r="A552" s="2" t="n">
        <v>551</v>
      </c>
      <c r="B552" s="6" t="inlineStr">
        <is>
          <t>MEDIUM</t>
        </is>
      </c>
      <c r="C552" s="2" t="inlineStr">
        <is>
          <t>Weak website</t>
        </is>
      </c>
      <c r="D552" s="2" t="inlineStr">
        <is>
          <t>LiquorStax</t>
        </is>
      </c>
      <c r="E552" s="2" t="inlineStr">
        <is>
          <t>liquor or wine</t>
        </is>
      </c>
      <c r="F552" s="2" t="inlineStr">
        <is>
          <t>Brisbane</t>
        </is>
      </c>
      <c r="G552" s="2" t="inlineStr">
        <is>
          <t>Instagram</t>
        </is>
      </c>
      <c r="H552" s="4" t="inlineStr">
        <is>
          <t>https://www.instagram.com/liquorstaxaustralia</t>
        </is>
      </c>
      <c r="I552" s="4" t="inlineStr">
        <is>
          <t>https://www.facebook.com/liquorstaxaustralia</t>
        </is>
      </c>
      <c r="J552" s="2" t="inlineStr">
        <is>
          <t>+61 7 3391 5772</t>
        </is>
      </c>
      <c r="K552" s="4" t="inlineStr">
        <is>
          <t>https://www.liquorstax.com.au/</t>
        </is>
      </c>
      <c r="L552" s="2" t="inlineStr">
        <is>
          <t>missing meta description</t>
        </is>
      </c>
      <c r="M552" s="2" t="inlineStr">
        <is>
          <t>Hi LiquorStax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2" s="4" t="inlineStr">
        <is>
          <t>Open map</t>
        </is>
      </c>
      <c r="O552" s="2" t="inlineStr">
        <is>
          <t>Not contacted</t>
        </is>
      </c>
      <c r="P552" s="2" t="inlineStr"/>
      <c r="Q552" s="2" t="inlineStr"/>
      <c r="R552" s="2" t="inlineStr"/>
      <c r="S552" s="2" t="inlineStr"/>
    </row>
    <row r="553">
      <c r="A553" s="2" t="n">
        <v>552</v>
      </c>
      <c r="B553" s="6" t="inlineStr">
        <is>
          <t>MEDIUM</t>
        </is>
      </c>
      <c r="C553" s="2" t="inlineStr">
        <is>
          <t>Weak website</t>
        </is>
      </c>
      <c r="D553" s="2" t="inlineStr">
        <is>
          <t>Malt Traders Market Street</t>
        </is>
      </c>
      <c r="E553" s="2" t="inlineStr">
        <is>
          <t>liquor or wine</t>
        </is>
      </c>
      <c r="F553" s="2" t="inlineStr">
        <is>
          <t>Brisbane</t>
        </is>
      </c>
      <c r="G553" s="2" t="inlineStr">
        <is>
          <t>Instagram</t>
        </is>
      </c>
      <c r="H553" s="4" t="inlineStr">
        <is>
          <t>https://www.instagram.com/malttraders</t>
        </is>
      </c>
      <c r="I553" s="4" t="inlineStr">
        <is>
          <t>https://www.facebook.com/malttraders</t>
        </is>
      </c>
      <c r="J553" s="2" t="inlineStr"/>
      <c r="K553" s="4" t="inlineStr">
        <is>
          <t>https://malttraders.com.au/</t>
        </is>
      </c>
      <c r="L553" s="2" t="inlineStr">
        <is>
          <t>missing meta description; slow to load (6.8s)</t>
        </is>
      </c>
      <c r="M553" s="2" t="inlineStr">
        <is>
          <t>Hi Malt Traders Market Street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53" s="4" t="inlineStr">
        <is>
          <t>Open map</t>
        </is>
      </c>
      <c r="O553" s="2" t="inlineStr">
        <is>
          <t>Not contacted</t>
        </is>
      </c>
      <c r="P553" s="2" t="inlineStr"/>
      <c r="Q553" s="2" t="inlineStr"/>
      <c r="R553" s="2" t="inlineStr"/>
      <c r="S553" s="2" t="inlineStr"/>
    </row>
    <row r="554">
      <c r="A554" s="2" t="n">
        <v>553</v>
      </c>
      <c r="B554" s="6" t="inlineStr">
        <is>
          <t>MEDIUM</t>
        </is>
      </c>
      <c r="C554" s="2" t="inlineStr">
        <is>
          <t>Weak website</t>
        </is>
      </c>
      <c r="D554" s="2" t="inlineStr">
        <is>
          <t>Five Elements Massage</t>
        </is>
      </c>
      <c r="E554" s="2" t="inlineStr">
        <is>
          <t>massage or spa</t>
        </is>
      </c>
      <c r="F554" s="2" t="inlineStr">
        <is>
          <t>Brisbane</t>
        </is>
      </c>
      <c r="G554" s="2" t="inlineStr">
        <is>
          <t>Facebook</t>
        </is>
      </c>
      <c r="H554" s="2" t="inlineStr"/>
      <c r="I554" s="4" t="inlineStr">
        <is>
          <t>https://www.facebook.com/Fiveelementsmassage</t>
        </is>
      </c>
      <c r="J554" s="2" t="inlineStr"/>
      <c r="K554" s="4" t="inlineStr">
        <is>
          <t>https://www.fiveelementsmassage.com</t>
        </is>
      </c>
      <c r="L554" s="2" t="inlineStr">
        <is>
          <t>not mobile-friendly (no viewport tag)</t>
        </is>
      </c>
      <c r="M554" s="2" t="inlineStr">
        <is>
          <t>Hi Five Elements Massage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554" s="4" t="inlineStr">
        <is>
          <t>Open map</t>
        </is>
      </c>
      <c r="O554" s="2" t="inlineStr">
        <is>
          <t>Not contacted</t>
        </is>
      </c>
      <c r="P554" s="2" t="inlineStr"/>
      <c r="Q554" s="2" t="inlineStr"/>
      <c r="R554" s="2" t="inlineStr"/>
      <c r="S554" s="2" t="inlineStr"/>
    </row>
    <row r="555">
      <c r="A555" s="2" t="n">
        <v>554</v>
      </c>
      <c r="B555" s="6" t="inlineStr">
        <is>
          <t>MEDIUM</t>
        </is>
      </c>
      <c r="C555" s="2" t="inlineStr">
        <is>
          <t>Weak website</t>
        </is>
      </c>
      <c r="D555" s="2" t="inlineStr">
        <is>
          <t>Alderley Automotive</t>
        </is>
      </c>
      <c r="E555" s="2" t="inlineStr">
        <is>
          <t>mechanic</t>
        </is>
      </c>
      <c r="F555" s="2" t="inlineStr">
        <is>
          <t>Brisbane</t>
        </is>
      </c>
      <c r="G555" s="2" t="inlineStr">
        <is>
          <t>Facebook</t>
        </is>
      </c>
      <c r="H555" s="2" t="inlineStr"/>
      <c r="I555" s="4" t="inlineStr">
        <is>
          <t>https://www.facebook.com/AlderleyAutomotive</t>
        </is>
      </c>
      <c r="J555" s="2" t="inlineStr">
        <is>
          <t>+61 7 3355 4889</t>
        </is>
      </c>
      <c r="K555" s="4" t="inlineStr">
        <is>
          <t>https://alderleyautomotive.com.au/</t>
        </is>
      </c>
      <c r="L555" s="2" t="inlineStr">
        <is>
          <t>missing meta description</t>
        </is>
      </c>
      <c r="M555" s="2" t="inlineStr">
        <is>
          <t>Hi Alderley Automotive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5" s="4" t="inlineStr">
        <is>
          <t>Open map</t>
        </is>
      </c>
      <c r="O555" s="2" t="inlineStr">
        <is>
          <t>Not contacted</t>
        </is>
      </c>
      <c r="P555" s="2" t="inlineStr"/>
      <c r="Q555" s="2" t="inlineStr"/>
      <c r="R555" s="2" t="inlineStr"/>
      <c r="S555" s="2" t="inlineStr"/>
    </row>
    <row r="556">
      <c r="A556" s="2" t="n">
        <v>555</v>
      </c>
      <c r="B556" s="6" t="inlineStr">
        <is>
          <t>MEDIUM</t>
        </is>
      </c>
      <c r="C556" s="2" t="inlineStr">
        <is>
          <t>Weak website</t>
        </is>
      </c>
      <c r="D556" s="2" t="inlineStr">
        <is>
          <t>Alderly Auto Electrics</t>
        </is>
      </c>
      <c r="E556" s="2" t="inlineStr">
        <is>
          <t>mechanic</t>
        </is>
      </c>
      <c r="F556" s="2" t="inlineStr">
        <is>
          <t>Brisbane</t>
        </is>
      </c>
      <c r="G556" s="2" t="inlineStr">
        <is>
          <t>Facebook</t>
        </is>
      </c>
      <c r="H556" s="2" t="inlineStr"/>
      <c r="I556" s="4" t="inlineStr">
        <is>
          <t>https://www.facebook.com/MYAUTOELEC97</t>
        </is>
      </c>
      <c r="J556" s="2" t="inlineStr">
        <is>
          <t>+61 7 3355 1186</t>
        </is>
      </c>
      <c r="K556" s="4" t="inlineStr">
        <is>
          <t>https://www.alderleyautoelectrics.com.au/</t>
        </is>
      </c>
      <c r="L556" s="2" t="inlineStr">
        <is>
          <t>missing meta description</t>
        </is>
      </c>
      <c r="M556" s="2" t="inlineStr">
        <is>
          <t>Hi Alderly Auto Electrics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6" s="4" t="inlineStr">
        <is>
          <t>Open map</t>
        </is>
      </c>
      <c r="O556" s="2" t="inlineStr">
        <is>
          <t>Not contacted</t>
        </is>
      </c>
      <c r="P556" s="2" t="inlineStr"/>
      <c r="Q556" s="2" t="inlineStr"/>
      <c r="R556" s="2" t="inlineStr"/>
      <c r="S556" s="2" t="inlineStr"/>
    </row>
    <row r="557">
      <c r="A557" s="2" t="n">
        <v>556</v>
      </c>
      <c r="B557" s="6" t="inlineStr">
        <is>
          <t>MEDIUM</t>
        </is>
      </c>
      <c r="C557" s="2" t="inlineStr">
        <is>
          <t>Weak website</t>
        </is>
      </c>
      <c r="D557" s="2" t="inlineStr">
        <is>
          <t>Australian Mechanical</t>
        </is>
      </c>
      <c r="E557" s="2" t="inlineStr">
        <is>
          <t>mechanic</t>
        </is>
      </c>
      <c r="F557" s="2" t="inlineStr">
        <is>
          <t>Brisbane</t>
        </is>
      </c>
      <c r="G557" s="2" t="inlineStr">
        <is>
          <t>Instagram</t>
        </is>
      </c>
      <c r="H557" s="4" t="inlineStr">
        <is>
          <t>https://www.instagram.com/australian_mechanical</t>
        </is>
      </c>
      <c r="I557" s="2" t="inlineStr"/>
      <c r="J557" s="2" t="inlineStr">
        <is>
          <t>+61 7 3356 1538</t>
        </is>
      </c>
      <c r="K557" s="4" t="inlineStr">
        <is>
          <t>https://australianmechanical.com.au/</t>
        </is>
      </c>
      <c r="L557" s="2" t="inlineStr">
        <is>
          <t>looks outdated (copyright 2015)</t>
        </is>
      </c>
      <c r="M557" s="2" t="inlineStr">
        <is>
          <t>Hi Australian Mechanical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7" s="4" t="inlineStr">
        <is>
          <t>Open map</t>
        </is>
      </c>
      <c r="O557" s="2" t="inlineStr">
        <is>
          <t>Not contacted</t>
        </is>
      </c>
      <c r="P557" s="2" t="inlineStr"/>
      <c r="Q557" s="2" t="inlineStr"/>
      <c r="R557" s="2" t="inlineStr"/>
      <c r="S557" s="2" t="inlineStr"/>
    </row>
    <row r="558">
      <c r="A558" s="2" t="n">
        <v>557</v>
      </c>
      <c r="B558" s="6" t="inlineStr">
        <is>
          <t>MEDIUM</t>
        </is>
      </c>
      <c r="C558" s="2" t="inlineStr">
        <is>
          <t>Weak website</t>
        </is>
      </c>
      <c r="D558" s="2" t="inlineStr">
        <is>
          <t>LeMans Motors Car Services</t>
        </is>
      </c>
      <c r="E558" s="2" t="inlineStr">
        <is>
          <t>mechanic</t>
        </is>
      </c>
      <c r="F558" s="2" t="inlineStr">
        <is>
          <t>Brisbane</t>
        </is>
      </c>
      <c r="G558" s="2" t="inlineStr">
        <is>
          <t>Instagram</t>
        </is>
      </c>
      <c r="H558" s="4" t="inlineStr">
        <is>
          <t>https://www.instagram.com/lemansmotorsau</t>
        </is>
      </c>
      <c r="I558" s="4" t="inlineStr">
        <is>
          <t>https://www.facebook.com/lemansmotorsmilton</t>
        </is>
      </c>
      <c r="J558" s="2" t="inlineStr"/>
      <c r="K558" s="4" t="inlineStr">
        <is>
          <t>https://lemansmotors.com.au/</t>
        </is>
      </c>
      <c r="L558" s="2" t="inlineStr">
        <is>
          <t>looks outdated (copyright 2020)</t>
        </is>
      </c>
      <c r="M558" s="2" t="inlineStr">
        <is>
          <t>Hi LeMans Motors Car Services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8" s="4" t="inlineStr">
        <is>
          <t>Open map</t>
        </is>
      </c>
      <c r="O558" s="2" t="inlineStr">
        <is>
          <t>Not contacted</t>
        </is>
      </c>
      <c r="P558" s="2" t="inlineStr"/>
      <c r="Q558" s="2" t="inlineStr"/>
      <c r="R558" s="2" t="inlineStr"/>
      <c r="S558" s="2" t="inlineStr"/>
    </row>
    <row r="559">
      <c r="A559" s="2" t="n">
        <v>558</v>
      </c>
      <c r="B559" s="6" t="inlineStr">
        <is>
          <t>MEDIUM</t>
        </is>
      </c>
      <c r="C559" s="2" t="inlineStr">
        <is>
          <t>Weak website</t>
        </is>
      </c>
      <c r="D559" s="2" t="inlineStr">
        <is>
          <t>Mark McCarthy Automotive</t>
        </is>
      </c>
      <c r="E559" s="2" t="inlineStr">
        <is>
          <t>mechanic</t>
        </is>
      </c>
      <c r="F559" s="2" t="inlineStr">
        <is>
          <t>Brisbane</t>
        </is>
      </c>
      <c r="G559" s="2" t="inlineStr">
        <is>
          <t>Facebook</t>
        </is>
      </c>
      <c r="H559" s="2" t="inlineStr"/>
      <c r="I559" s="4" t="inlineStr">
        <is>
          <t>https://www.facebook.com/markmccarthyautomotive</t>
        </is>
      </c>
      <c r="J559" s="2" t="inlineStr"/>
      <c r="K559" s="4" t="inlineStr">
        <is>
          <t>https://www.markmccarthyautomotive.com.au/</t>
        </is>
      </c>
      <c r="L559" s="2" t="inlineStr">
        <is>
          <t>missing meta description</t>
        </is>
      </c>
      <c r="M559" s="2" t="inlineStr">
        <is>
          <t>Hi Mark McCarthy Automotive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9" s="4" t="inlineStr">
        <is>
          <t>Open map</t>
        </is>
      </c>
      <c r="O559" s="2" t="inlineStr">
        <is>
          <t>Not contacted</t>
        </is>
      </c>
      <c r="P559" s="2" t="inlineStr"/>
      <c r="Q559" s="2" t="inlineStr"/>
      <c r="R559" s="2" t="inlineStr"/>
      <c r="S559" s="2" t="inlineStr"/>
    </row>
    <row r="560">
      <c r="A560" s="2" t="n">
        <v>559</v>
      </c>
      <c r="B560" s="6" t="inlineStr">
        <is>
          <t>MEDIUM</t>
        </is>
      </c>
      <c r="C560" s="2" t="inlineStr">
        <is>
          <t>Weak website</t>
        </is>
      </c>
      <c r="D560" s="2" t="inlineStr">
        <is>
          <t>QuickFit Engine Service</t>
        </is>
      </c>
      <c r="E560" s="2" t="inlineStr">
        <is>
          <t>mechanic</t>
        </is>
      </c>
      <c r="F560" s="2" t="inlineStr">
        <is>
          <t>Brisbane</t>
        </is>
      </c>
      <c r="G560" s="2" t="inlineStr">
        <is>
          <t>Facebook</t>
        </is>
      </c>
      <c r="H560" s="2" t="inlineStr"/>
      <c r="I560" s="4" t="inlineStr">
        <is>
          <t>https://www.facebook.com/quickfitengineservice</t>
        </is>
      </c>
      <c r="J560" s="2" t="inlineStr">
        <is>
          <t>+61 7 3285 7535</t>
        </is>
      </c>
      <c r="K560" s="4" t="inlineStr">
        <is>
          <t>https://www.quickfitengineservice.com.au/</t>
        </is>
      </c>
      <c r="L560" s="2" t="inlineStr">
        <is>
          <t>looks outdated (copyright 2018)</t>
        </is>
      </c>
      <c r="M560" s="2" t="inlineStr">
        <is>
          <t>Hi QuickFit Engine Service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0" s="4" t="inlineStr">
        <is>
          <t>Open map</t>
        </is>
      </c>
      <c r="O560" s="2" t="inlineStr">
        <is>
          <t>Not contacted</t>
        </is>
      </c>
      <c r="P560" s="2" t="inlineStr"/>
      <c r="Q560" s="2" t="inlineStr"/>
      <c r="R560" s="2" t="inlineStr"/>
      <c r="S560" s="2" t="inlineStr"/>
    </row>
    <row r="561">
      <c r="A561" s="2" t="n">
        <v>560</v>
      </c>
      <c r="B561" s="6" t="inlineStr">
        <is>
          <t>MEDIUM</t>
        </is>
      </c>
      <c r="C561" s="2" t="inlineStr">
        <is>
          <t>Weak website</t>
        </is>
      </c>
      <c r="D561" s="2" t="inlineStr">
        <is>
          <t>RACQ Auto Glass</t>
        </is>
      </c>
      <c r="E561" s="2" t="inlineStr">
        <is>
          <t>mechanic</t>
        </is>
      </c>
      <c r="F561" s="2" t="inlineStr">
        <is>
          <t>Brisbane</t>
        </is>
      </c>
      <c r="G561" s="2" t="inlineStr">
        <is>
          <t>Instagram</t>
        </is>
      </c>
      <c r="H561" s="4" t="inlineStr">
        <is>
          <t>https://www.instagram.com/racqofficial</t>
        </is>
      </c>
      <c r="I561" s="4" t="inlineStr">
        <is>
          <t>https://www.facebook.com/racqofficial</t>
        </is>
      </c>
      <c r="J561" s="2" t="inlineStr">
        <is>
          <t>+61 7 3204 3700</t>
        </is>
      </c>
      <c r="K561" s="4" t="inlineStr">
        <is>
          <t>https://www.racq.com.au/car/car-window-tinting</t>
        </is>
      </c>
      <c r="L561" s="2" t="inlineStr">
        <is>
          <t>looks outdated (copyright 2021)</t>
        </is>
      </c>
      <c r="M561" s="2" t="inlineStr">
        <is>
          <t>Hi RACQ Auto Glass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1" s="4" t="inlineStr">
        <is>
          <t>Open map</t>
        </is>
      </c>
      <c r="O561" s="2" t="inlineStr">
        <is>
          <t>Not contacted</t>
        </is>
      </c>
      <c r="P561" s="2" t="inlineStr"/>
      <c r="Q561" s="2" t="inlineStr"/>
      <c r="R561" s="2" t="inlineStr"/>
      <c r="S561" s="2" t="inlineStr"/>
    </row>
    <row r="562">
      <c r="A562" s="2" t="n">
        <v>561</v>
      </c>
      <c r="B562" s="6" t="inlineStr">
        <is>
          <t>MEDIUM</t>
        </is>
      </c>
      <c r="C562" s="2" t="inlineStr">
        <is>
          <t>Weak website</t>
        </is>
      </c>
      <c r="D562" s="2" t="inlineStr">
        <is>
          <t>Repco West End Service Centre</t>
        </is>
      </c>
      <c r="E562" s="2" t="inlineStr">
        <is>
          <t>mechanic</t>
        </is>
      </c>
      <c r="F562" s="2" t="inlineStr">
        <is>
          <t>Brisbane</t>
        </is>
      </c>
      <c r="G562" s="2" t="inlineStr">
        <is>
          <t>Facebook</t>
        </is>
      </c>
      <c r="H562" s="2" t="inlineStr"/>
      <c r="I562" s="4" t="inlineStr">
        <is>
          <t>https://www.facebook.com/westendservicecentre</t>
        </is>
      </c>
      <c r="J562" s="2" t="inlineStr">
        <is>
          <t>+61 7 3844 7494</t>
        </is>
      </c>
      <c r="K562" s="4" t="inlineStr">
        <is>
          <t>https://www.westendservicecentre.repcoservice.net/services</t>
        </is>
      </c>
      <c r="L562" s="2" t="inlineStr">
        <is>
          <t>missing meta description</t>
        </is>
      </c>
      <c r="M562" s="2" t="inlineStr">
        <is>
          <t>Hi Repco West End Service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2" s="4" t="inlineStr">
        <is>
          <t>Open map</t>
        </is>
      </c>
      <c r="O562" s="2" t="inlineStr">
        <is>
          <t>Not contacted</t>
        </is>
      </c>
      <c r="P562" s="2" t="inlineStr"/>
      <c r="Q562" s="2" t="inlineStr"/>
      <c r="R562" s="2" t="inlineStr"/>
      <c r="S562" s="2" t="inlineStr"/>
    </row>
    <row r="563">
      <c r="A563" s="2" t="n">
        <v>562</v>
      </c>
      <c r="B563" s="6" t="inlineStr">
        <is>
          <t>MEDIUM</t>
        </is>
      </c>
      <c r="C563" s="2" t="inlineStr">
        <is>
          <t>Weak website</t>
        </is>
      </c>
      <c r="D563" s="2" t="inlineStr">
        <is>
          <t>Royalz Restorationz</t>
        </is>
      </c>
      <c r="E563" s="2" t="inlineStr">
        <is>
          <t>mechanic</t>
        </is>
      </c>
      <c r="F563" s="2" t="inlineStr">
        <is>
          <t>Brisbane</t>
        </is>
      </c>
      <c r="G563" s="2" t="inlineStr">
        <is>
          <t>Instagram</t>
        </is>
      </c>
      <c r="H563" s="4" t="inlineStr">
        <is>
          <t>https://www.instagram.com/royalzrestorationz</t>
        </is>
      </c>
      <c r="I563" s="4" t="inlineStr">
        <is>
          <t>https://www.facebook.com/523489201336210</t>
        </is>
      </c>
      <c r="J563" s="2" t="inlineStr"/>
      <c r="K563" s="4" t="inlineStr">
        <is>
          <t>https://royalz.com.au</t>
        </is>
      </c>
      <c r="L563" s="2" t="inlineStr">
        <is>
          <t>missing meta description</t>
        </is>
      </c>
      <c r="M563" s="2" t="inlineStr">
        <is>
          <t>Hi Royalz Restorationz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3" s="4" t="inlineStr">
        <is>
          <t>Open map</t>
        </is>
      </c>
      <c r="O563" s="2" t="inlineStr">
        <is>
          <t>Not contacted</t>
        </is>
      </c>
      <c r="P563" s="2" t="inlineStr"/>
      <c r="Q563" s="2" t="inlineStr"/>
      <c r="R563" s="2" t="inlineStr"/>
      <c r="S563" s="2" t="inlineStr"/>
    </row>
    <row r="564">
      <c r="A564" s="2" t="n">
        <v>563</v>
      </c>
      <c r="B564" s="6" t="inlineStr">
        <is>
          <t>MEDIUM</t>
        </is>
      </c>
      <c r="C564" s="2" t="inlineStr">
        <is>
          <t>Weak website</t>
        </is>
      </c>
      <c r="D564" s="2" t="inlineStr">
        <is>
          <t>Timeless Car Cleaning</t>
        </is>
      </c>
      <c r="E564" s="2" t="inlineStr">
        <is>
          <t>mechanic</t>
        </is>
      </c>
      <c r="F564" s="2" t="inlineStr">
        <is>
          <t>Brisbane</t>
        </is>
      </c>
      <c r="G564" s="2" t="inlineStr">
        <is>
          <t>Instagram</t>
        </is>
      </c>
      <c r="H564" s="4" t="inlineStr">
        <is>
          <t>https://www.instagram.com/timelessprodetailing</t>
        </is>
      </c>
      <c r="I564" s="4" t="inlineStr">
        <is>
          <t>https://www.facebook.com/TimelessCarCleaning</t>
        </is>
      </c>
      <c r="J564" s="2" t="inlineStr"/>
      <c r="K564" s="4" t="inlineStr">
        <is>
          <t>https://timelesscarcleaning.com/</t>
        </is>
      </c>
      <c r="L564" s="2" t="inlineStr">
        <is>
          <t>looks outdated (copyright 2022)</t>
        </is>
      </c>
      <c r="M564" s="2" t="inlineStr">
        <is>
          <t>Hi Timeless Car Cleaning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4" s="4" t="inlineStr">
        <is>
          <t>Open map</t>
        </is>
      </c>
      <c r="O564" s="2" t="inlineStr">
        <is>
          <t>Not contacted</t>
        </is>
      </c>
      <c r="P564" s="2" t="inlineStr"/>
      <c r="Q564" s="2" t="inlineStr"/>
      <c r="R564" s="2" t="inlineStr"/>
      <c r="S564" s="2" t="inlineStr"/>
    </row>
    <row r="565">
      <c r="A565" s="2" t="n">
        <v>564</v>
      </c>
      <c r="B565" s="6" t="inlineStr">
        <is>
          <t>MEDIUM</t>
        </is>
      </c>
      <c r="C565" s="2" t="inlineStr">
        <is>
          <t>Weak website</t>
        </is>
      </c>
      <c r="D565" s="2" t="inlineStr">
        <is>
          <t>Australian Doctors Clinic</t>
        </is>
      </c>
      <c r="E565" s="2" t="inlineStr">
        <is>
          <t>medical clinic</t>
        </is>
      </c>
      <c r="F565" s="2" t="inlineStr">
        <is>
          <t>Brisbane</t>
        </is>
      </c>
      <c r="G565" s="2" t="inlineStr">
        <is>
          <t>Facebook</t>
        </is>
      </c>
      <c r="H565" s="2" t="inlineStr"/>
      <c r="I565" s="4" t="inlineStr">
        <is>
          <t>https://www.facebook.com/ausdoctorsclinic</t>
        </is>
      </c>
      <c r="J565" s="2" t="inlineStr">
        <is>
          <t>+61 7 3317 4040</t>
        </is>
      </c>
      <c r="K565" s="4" t="inlineStr">
        <is>
          <t>https://www.australiandoctorsclinic.com.au/</t>
        </is>
      </c>
      <c r="L565" s="2" t="inlineStr">
        <is>
          <t>slow to load (7.5s)</t>
        </is>
      </c>
      <c r="M565" s="2" t="inlineStr">
        <is>
          <t>Hi Australian Doctors Clinic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65" s="4" t="inlineStr">
        <is>
          <t>Open map</t>
        </is>
      </c>
      <c r="O565" s="2" t="inlineStr">
        <is>
          <t>Not contacted</t>
        </is>
      </c>
      <c r="P565" s="2" t="inlineStr"/>
      <c r="Q565" s="2" t="inlineStr"/>
      <c r="R565" s="2" t="inlineStr"/>
      <c r="S565" s="2" t="inlineStr"/>
    </row>
    <row r="566">
      <c r="A566" s="2" t="n">
        <v>565</v>
      </c>
      <c r="B566" s="6" t="inlineStr">
        <is>
          <t>MEDIUM</t>
        </is>
      </c>
      <c r="C566" s="2" t="inlineStr">
        <is>
          <t>Weak website</t>
        </is>
      </c>
      <c r="D566" s="2" t="inlineStr">
        <is>
          <t>Bulimba Dermatology</t>
        </is>
      </c>
      <c r="E566" s="2" t="inlineStr">
        <is>
          <t>medical clinic</t>
        </is>
      </c>
      <c r="F566" s="2" t="inlineStr">
        <is>
          <t>Brisbane</t>
        </is>
      </c>
      <c r="G566" s="2" t="inlineStr">
        <is>
          <t>Facebook</t>
        </is>
      </c>
      <c r="H566" s="2" t="inlineStr"/>
      <c r="I566" s="4" t="inlineStr">
        <is>
          <t>https://www.facebook.com/Bulimba-Dermatology-1661550747448237</t>
        </is>
      </c>
      <c r="J566" s="2" t="inlineStr">
        <is>
          <t>+61 7 3399 1100</t>
        </is>
      </c>
      <c r="K566" s="4" t="inlineStr">
        <is>
          <t>https://www.bulimbadermatology.com.au/</t>
        </is>
      </c>
      <c r="L566" s="2" t="inlineStr">
        <is>
          <t>missing meta description</t>
        </is>
      </c>
      <c r="M566" s="2" t="inlineStr">
        <is>
          <t>Hi Bulimba Dermatology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6" s="4" t="inlineStr">
        <is>
          <t>Open map</t>
        </is>
      </c>
      <c r="O566" s="2" t="inlineStr">
        <is>
          <t>Not contacted</t>
        </is>
      </c>
      <c r="P566" s="2" t="inlineStr"/>
      <c r="Q566" s="2" t="inlineStr"/>
      <c r="R566" s="2" t="inlineStr"/>
      <c r="S566" s="2" t="inlineStr"/>
    </row>
    <row r="567">
      <c r="A567" s="2" t="n">
        <v>566</v>
      </c>
      <c r="B567" s="6" t="inlineStr">
        <is>
          <t>MEDIUM</t>
        </is>
      </c>
      <c r="C567" s="2" t="inlineStr">
        <is>
          <t>Weak website</t>
        </is>
      </c>
      <c r="D567" s="2" t="inlineStr">
        <is>
          <t>Family Doctors Plus</t>
        </is>
      </c>
      <c r="E567" s="2" t="inlineStr">
        <is>
          <t>medical clinic</t>
        </is>
      </c>
      <c r="F567" s="2" t="inlineStr">
        <is>
          <t>Brisbane</t>
        </is>
      </c>
      <c r="G567" s="2" t="inlineStr">
        <is>
          <t>Instagram</t>
        </is>
      </c>
      <c r="H567" s="4" t="inlineStr">
        <is>
          <t>https://www.instagram.com/familydoctorsplus</t>
        </is>
      </c>
      <c r="I567" s="4" t="inlineStr">
        <is>
          <t>https://www.facebook.com/familydoctorsplus</t>
        </is>
      </c>
      <c r="J567" s="2" t="inlineStr"/>
      <c r="K567" s="4" t="inlineStr">
        <is>
          <t>https://www.familydoctorsplus.com.au/</t>
        </is>
      </c>
      <c r="L567" s="2" t="inlineStr">
        <is>
          <t>missing meta description; slow to load (5.0s)</t>
        </is>
      </c>
      <c r="M567" s="2" t="inlineStr">
        <is>
          <t>Hi Family Doctors Plus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67" s="4" t="inlineStr">
        <is>
          <t>Open map</t>
        </is>
      </c>
      <c r="O567" s="2" t="inlineStr">
        <is>
          <t>Not contacted</t>
        </is>
      </c>
      <c r="P567" s="2" t="inlineStr"/>
      <c r="Q567" s="2" t="inlineStr"/>
      <c r="R567" s="2" t="inlineStr"/>
      <c r="S567" s="2" t="inlineStr"/>
    </row>
    <row r="568">
      <c r="A568" s="2" t="n">
        <v>567</v>
      </c>
      <c r="B568" s="6" t="inlineStr">
        <is>
          <t>MEDIUM</t>
        </is>
      </c>
      <c r="C568" s="2" t="inlineStr">
        <is>
          <t>Weak website</t>
        </is>
      </c>
      <c r="D568" s="2" t="inlineStr">
        <is>
          <t>Ferny Fair Medical Centre</t>
        </is>
      </c>
      <c r="E568" s="2" t="inlineStr">
        <is>
          <t>medical clinic</t>
        </is>
      </c>
      <c r="F568" s="2" t="inlineStr">
        <is>
          <t>Brisbane</t>
        </is>
      </c>
      <c r="G568" s="2" t="inlineStr">
        <is>
          <t>Facebook</t>
        </is>
      </c>
      <c r="H568" s="2" t="inlineStr"/>
      <c r="I568" s="4" t="inlineStr">
        <is>
          <t>https://www.facebook.com/pages/Ferny-Fair-Medical-Centre/170808546262998</t>
        </is>
      </c>
      <c r="J568" s="2" t="inlineStr">
        <is>
          <t>+61 7 3351 4455</t>
        </is>
      </c>
      <c r="K568" s="4" t="inlineStr">
        <is>
          <t>https://fernyfairmedicalcentre.com.au/</t>
        </is>
      </c>
      <c r="L568" s="2" t="inlineStr">
        <is>
          <t>missing meta description</t>
        </is>
      </c>
      <c r="M568" s="2" t="inlineStr">
        <is>
          <t>Hi Ferny Fair Medical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8" s="4" t="inlineStr">
        <is>
          <t>Open map</t>
        </is>
      </c>
      <c r="O568" s="2" t="inlineStr">
        <is>
          <t>Not contacted</t>
        </is>
      </c>
      <c r="P568" s="2" t="inlineStr"/>
      <c r="Q568" s="2" t="inlineStr"/>
      <c r="R568" s="2" t="inlineStr"/>
      <c r="S568" s="2" t="inlineStr"/>
    </row>
    <row r="569">
      <c r="A569" s="2" t="n">
        <v>568</v>
      </c>
      <c r="B569" s="6" t="inlineStr">
        <is>
          <t>MEDIUM</t>
        </is>
      </c>
      <c r="C569" s="2" t="inlineStr">
        <is>
          <t>Weak website</t>
        </is>
      </c>
      <c r="D569" s="2" t="inlineStr">
        <is>
          <t>Grand Medical Centre</t>
        </is>
      </c>
      <c r="E569" s="2" t="inlineStr">
        <is>
          <t>medical clinic</t>
        </is>
      </c>
      <c r="F569" s="2" t="inlineStr">
        <is>
          <t>Brisbane</t>
        </is>
      </c>
      <c r="G569" s="2" t="inlineStr">
        <is>
          <t>Facebook</t>
        </is>
      </c>
      <c r="H569" s="2" t="inlineStr"/>
      <c r="I569" s="4" t="inlineStr">
        <is>
          <t>https://www.facebook.com/grandmedicalcentre</t>
        </is>
      </c>
      <c r="J569" s="2" t="inlineStr">
        <is>
          <t>+61 7 3278 7800</t>
        </is>
      </c>
      <c r="K569" s="4" t="inlineStr">
        <is>
          <t>https://www.grandmedicalcentre.com/</t>
        </is>
      </c>
      <c r="L569" s="2" t="inlineStr">
        <is>
          <t>looks outdated (copyright 2018); missing meta description</t>
        </is>
      </c>
      <c r="M569" s="2" t="inlineStr">
        <is>
          <t>Hi Grand Medical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9" s="4" t="inlineStr">
        <is>
          <t>Open map</t>
        </is>
      </c>
      <c r="O569" s="2" t="inlineStr">
        <is>
          <t>Not contacted</t>
        </is>
      </c>
      <c r="P569" s="2" t="inlineStr"/>
      <c r="Q569" s="2" t="inlineStr"/>
      <c r="R569" s="2" t="inlineStr"/>
      <c r="S569" s="2" t="inlineStr"/>
    </row>
    <row r="570">
      <c r="A570" s="2" t="n">
        <v>569</v>
      </c>
      <c r="B570" s="6" t="inlineStr">
        <is>
          <t>MEDIUM</t>
        </is>
      </c>
      <c r="C570" s="2" t="inlineStr">
        <is>
          <t>Weak website</t>
        </is>
      </c>
      <c r="D570" s="2" t="inlineStr">
        <is>
          <t>Gympie Road Medical Centre</t>
        </is>
      </c>
      <c r="E570" s="2" t="inlineStr">
        <is>
          <t>medical clinic</t>
        </is>
      </c>
      <c r="F570" s="2" t="inlineStr">
        <is>
          <t>Brisbane</t>
        </is>
      </c>
      <c r="G570" s="2" t="inlineStr">
        <is>
          <t>Instagram</t>
        </is>
      </c>
      <c r="H570" s="4" t="inlineStr">
        <is>
          <t>https://www.instagram.com/gympieroadmedicalcentre</t>
        </is>
      </c>
      <c r="I570" s="2" t="inlineStr"/>
      <c r="J570" s="2" t="inlineStr">
        <is>
          <t>+61 7 3338 8828</t>
        </is>
      </c>
      <c r="K570" s="4" t="inlineStr">
        <is>
          <t>https://www.gympieroadmedicalcentre.com.au/</t>
        </is>
      </c>
      <c r="L570" s="2" t="inlineStr">
        <is>
          <t>looks outdated (copyright 2020)</t>
        </is>
      </c>
      <c r="M570" s="2" t="inlineStr">
        <is>
          <t>Hi Gympie Road Medical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0" s="4" t="inlineStr">
        <is>
          <t>Open map</t>
        </is>
      </c>
      <c r="O570" s="2" t="inlineStr">
        <is>
          <t>Not contacted</t>
        </is>
      </c>
      <c r="P570" s="2" t="inlineStr"/>
      <c r="Q570" s="2" t="inlineStr"/>
      <c r="R570" s="2" t="inlineStr"/>
      <c r="S570" s="2" t="inlineStr"/>
    </row>
    <row r="571">
      <c r="A571" s="2" t="n">
        <v>570</v>
      </c>
      <c r="B571" s="6" t="inlineStr">
        <is>
          <t>MEDIUM</t>
        </is>
      </c>
      <c r="C571" s="2" t="inlineStr">
        <is>
          <t>Weak website</t>
        </is>
      </c>
      <c r="D571" s="2" t="inlineStr">
        <is>
          <t>Kedron Wavell Medical Centre</t>
        </is>
      </c>
      <c r="E571" s="2" t="inlineStr">
        <is>
          <t>medical clinic</t>
        </is>
      </c>
      <c r="F571" s="2" t="inlineStr">
        <is>
          <t>Brisbane</t>
        </is>
      </c>
      <c r="G571" s="2" t="inlineStr">
        <is>
          <t>Instagram</t>
        </is>
      </c>
      <c r="H571" s="4" t="inlineStr">
        <is>
          <t>https://www.instagram.com/kedronwavellmedicalcentre</t>
        </is>
      </c>
      <c r="I571" s="4" t="inlineStr">
        <is>
          <t>https://www.facebook.com/mymedicentre</t>
        </is>
      </c>
      <c r="J571" s="2" t="inlineStr">
        <is>
          <t>+61 7 3359 2160</t>
        </is>
      </c>
      <c r="K571" s="4" t="inlineStr">
        <is>
          <t>https://www.kedronwavellmedicalcentre.com.au/</t>
        </is>
      </c>
      <c r="L571" s="2" t="inlineStr">
        <is>
          <t>missing meta description; slow to load (5.1s)</t>
        </is>
      </c>
      <c r="M571" s="2" t="inlineStr">
        <is>
          <t>Hi Kedron Wavell Medical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71" s="4" t="inlineStr">
        <is>
          <t>Open map</t>
        </is>
      </c>
      <c r="O571" s="2" t="inlineStr">
        <is>
          <t>Not contacted</t>
        </is>
      </c>
      <c r="P571" s="2" t="inlineStr"/>
      <c r="Q571" s="2" t="inlineStr"/>
      <c r="R571" s="2" t="inlineStr"/>
      <c r="S571" s="2" t="inlineStr"/>
    </row>
    <row r="572">
      <c r="A572" s="2" t="n">
        <v>571</v>
      </c>
      <c r="B572" s="6" t="inlineStr">
        <is>
          <t>MEDIUM</t>
        </is>
      </c>
      <c r="C572" s="2" t="inlineStr">
        <is>
          <t>Weak website</t>
        </is>
      </c>
      <c r="D572" s="2" t="inlineStr">
        <is>
          <t>Mount Gravatt Family Practice</t>
        </is>
      </c>
      <c r="E572" s="2" t="inlineStr">
        <is>
          <t>medical clinic</t>
        </is>
      </c>
      <c r="F572" s="2" t="inlineStr">
        <is>
          <t>Brisbane</t>
        </is>
      </c>
      <c r="G572" s="2" t="inlineStr">
        <is>
          <t>Facebook</t>
        </is>
      </c>
      <c r="H572" s="2" t="inlineStr"/>
      <c r="I572" s="4" t="inlineStr">
        <is>
          <t>https://www.facebook.com/QuanticaLabs</t>
        </is>
      </c>
      <c r="J572" s="2" t="inlineStr"/>
      <c r="K572" s="4" t="inlineStr">
        <is>
          <t>https://mountgravattfamilypractice.com.au/</t>
        </is>
      </c>
      <c r="L572" s="2" t="inlineStr">
        <is>
          <t>looks outdated (copyright 2017); slow to load (3.3s)</t>
        </is>
      </c>
      <c r="M572" s="2" t="inlineStr">
        <is>
          <t>Hi Mount Gravatt Family Practice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72" s="4" t="inlineStr">
        <is>
          <t>Open map</t>
        </is>
      </c>
      <c r="O572" s="2" t="inlineStr">
        <is>
          <t>Not contacted</t>
        </is>
      </c>
      <c r="P572" s="2" t="inlineStr"/>
      <c r="Q572" s="2" t="inlineStr"/>
      <c r="R572" s="2" t="inlineStr"/>
      <c r="S572" s="2" t="inlineStr"/>
    </row>
    <row r="573">
      <c r="A573" s="2" t="n">
        <v>572</v>
      </c>
      <c r="B573" s="6" t="inlineStr">
        <is>
          <t>MEDIUM</t>
        </is>
      </c>
      <c r="C573" s="2" t="inlineStr">
        <is>
          <t>Weak website</t>
        </is>
      </c>
      <c r="D573" s="2" t="inlineStr">
        <is>
          <t>Newport Family Doctors</t>
        </is>
      </c>
      <c r="E573" s="2" t="inlineStr">
        <is>
          <t>medical clinic</t>
        </is>
      </c>
      <c r="F573" s="2" t="inlineStr">
        <is>
          <t>Brisbane</t>
        </is>
      </c>
      <c r="G573" s="2" t="inlineStr">
        <is>
          <t>Facebook</t>
        </is>
      </c>
      <c r="H573" s="2" t="inlineStr"/>
      <c r="I573" s="4" t="inlineStr">
        <is>
          <t>https://www.facebook.com/newportfamilydoctors</t>
        </is>
      </c>
      <c r="J573" s="2" t="inlineStr"/>
      <c r="K573" s="4" t="inlineStr">
        <is>
          <t>https://www.newportfamilydoctors.com.au</t>
        </is>
      </c>
      <c r="L573" s="2" t="inlineStr">
        <is>
          <t>slow to load (4.4s)</t>
        </is>
      </c>
      <c r="M573" s="2" t="inlineStr">
        <is>
          <t>Hi Newport Family Doctors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73" s="4" t="inlineStr">
        <is>
          <t>Open map</t>
        </is>
      </c>
      <c r="O573" s="2" t="inlineStr">
        <is>
          <t>Not contacted</t>
        </is>
      </c>
      <c r="P573" s="2" t="inlineStr"/>
      <c r="Q573" s="2" t="inlineStr"/>
      <c r="R573" s="2" t="inlineStr"/>
      <c r="S573" s="2" t="inlineStr"/>
    </row>
    <row r="574">
      <c r="A574" s="2" t="n">
        <v>573</v>
      </c>
      <c r="B574" s="6" t="inlineStr">
        <is>
          <t>MEDIUM</t>
        </is>
      </c>
      <c r="C574" s="2" t="inlineStr">
        <is>
          <t>Weak website</t>
        </is>
      </c>
      <c r="D574" s="2" t="inlineStr">
        <is>
          <t>Northside Gynaecology</t>
        </is>
      </c>
      <c r="E574" s="2" t="inlineStr">
        <is>
          <t>medical clinic</t>
        </is>
      </c>
      <c r="F574" s="2" t="inlineStr">
        <is>
          <t>Brisbane</t>
        </is>
      </c>
      <c r="G574" s="2" t="inlineStr">
        <is>
          <t>Instagram</t>
        </is>
      </c>
      <c r="H574" s="4" t="inlineStr">
        <is>
          <t>https://www.instagram.com/northsidegynaecology</t>
        </is>
      </c>
      <c r="I574" s="4" t="inlineStr">
        <is>
          <t>https://www.facebook.com/NorthsideGynaecology</t>
        </is>
      </c>
      <c r="J574" s="2" t="inlineStr"/>
      <c r="K574" s="4" t="inlineStr">
        <is>
          <t>http://www.northsidegynaecology.com.au</t>
        </is>
      </c>
      <c r="L574" s="2" t="inlineStr">
        <is>
          <t>looks outdated (copyright 2019)</t>
        </is>
      </c>
      <c r="M574" s="2" t="inlineStr">
        <is>
          <t>Hi Northside Gynaecology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4" s="4" t="inlineStr">
        <is>
          <t>Open map</t>
        </is>
      </c>
      <c r="O574" s="2" t="inlineStr">
        <is>
          <t>Not contacted</t>
        </is>
      </c>
      <c r="P574" s="2" t="inlineStr"/>
      <c r="Q574" s="2" t="inlineStr"/>
      <c r="R574" s="2" t="inlineStr"/>
      <c r="S574" s="2" t="inlineStr"/>
    </row>
    <row r="575">
      <c r="A575" s="2" t="n">
        <v>574</v>
      </c>
      <c r="B575" s="6" t="inlineStr">
        <is>
          <t>MEDIUM</t>
        </is>
      </c>
      <c r="C575" s="2" t="inlineStr">
        <is>
          <t>Weak website</t>
        </is>
      </c>
      <c r="D575" s="2" t="inlineStr">
        <is>
          <t>Northside Gynaecology</t>
        </is>
      </c>
      <c r="E575" s="2" t="inlineStr">
        <is>
          <t>medical clinic</t>
        </is>
      </c>
      <c r="F575" s="2" t="inlineStr">
        <is>
          <t>Brisbane</t>
        </is>
      </c>
      <c r="G575" s="2" t="inlineStr">
        <is>
          <t>Instagram</t>
        </is>
      </c>
      <c r="H575" s="4" t="inlineStr">
        <is>
          <t>https://www.instagram.com/northsidegynaecology</t>
        </is>
      </c>
      <c r="I575" s="4" t="inlineStr">
        <is>
          <t>https://www.facebook.com/NorthsideGynaecology</t>
        </is>
      </c>
      <c r="J575" s="2" t="inlineStr"/>
      <c r="K575" s="4" t="inlineStr">
        <is>
          <t>https://www.northsidegynaecology.com.au/</t>
        </is>
      </c>
      <c r="L575" s="2" t="inlineStr">
        <is>
          <t>looks outdated (copyright 2019)</t>
        </is>
      </c>
      <c r="M575" s="2" t="inlineStr">
        <is>
          <t>Hi Northside Gynaecology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5" s="4" t="inlineStr">
        <is>
          <t>Open map</t>
        </is>
      </c>
      <c r="O575" s="2" t="inlineStr">
        <is>
          <t>Not contacted</t>
        </is>
      </c>
      <c r="P575" s="2" t="inlineStr"/>
      <c r="Q575" s="2" t="inlineStr"/>
      <c r="R575" s="2" t="inlineStr"/>
      <c r="S575" s="2" t="inlineStr"/>
    </row>
    <row r="576">
      <c r="A576" s="2" t="n">
        <v>575</v>
      </c>
      <c r="B576" s="6" t="inlineStr">
        <is>
          <t>MEDIUM</t>
        </is>
      </c>
      <c r="C576" s="2" t="inlineStr">
        <is>
          <t>Weak website</t>
        </is>
      </c>
      <c r="D576" s="2" t="inlineStr">
        <is>
          <t>Osteo Place</t>
        </is>
      </c>
      <c r="E576" s="2" t="inlineStr">
        <is>
          <t>medical clinic</t>
        </is>
      </c>
      <c r="F576" s="2" t="inlineStr">
        <is>
          <t>Brisbane</t>
        </is>
      </c>
      <c r="G576" s="2" t="inlineStr">
        <is>
          <t>Facebook</t>
        </is>
      </c>
      <c r="H576" s="2" t="inlineStr"/>
      <c r="I576" s="4" t="inlineStr">
        <is>
          <t>https://www.facebook.com/OsteoPlace</t>
        </is>
      </c>
      <c r="J576" s="2" t="inlineStr">
        <is>
          <t>+61 402 507 625</t>
        </is>
      </c>
      <c r="K576" s="4" t="inlineStr">
        <is>
          <t>https://www.osteoplace.com.au/</t>
        </is>
      </c>
      <c r="L576" s="2" t="inlineStr">
        <is>
          <t>looks outdated (copyright 2016); missing meta description</t>
        </is>
      </c>
      <c r="M576" s="2" t="inlineStr">
        <is>
          <t>Hi Osteo Place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6" s="4" t="inlineStr">
        <is>
          <t>Open map</t>
        </is>
      </c>
      <c r="O576" s="2" t="inlineStr">
        <is>
          <t>Not contacted</t>
        </is>
      </c>
      <c r="P576" s="2" t="inlineStr"/>
      <c r="Q576" s="2" t="inlineStr"/>
      <c r="R576" s="2" t="inlineStr"/>
      <c r="S576" s="2" t="inlineStr"/>
    </row>
    <row r="577">
      <c r="A577" s="2" t="n">
        <v>576</v>
      </c>
      <c r="B577" s="6" t="inlineStr">
        <is>
          <t>MEDIUM</t>
        </is>
      </c>
      <c r="C577" s="2" t="inlineStr">
        <is>
          <t>Weak website</t>
        </is>
      </c>
      <c r="D577" s="2" t="inlineStr">
        <is>
          <t>Samford Road Day Hospital</t>
        </is>
      </c>
      <c r="E577" s="2" t="inlineStr">
        <is>
          <t>medical clinic</t>
        </is>
      </c>
      <c r="F577" s="2" t="inlineStr">
        <is>
          <t>Brisbane</t>
        </is>
      </c>
      <c r="G577" s="2" t="inlineStr">
        <is>
          <t>Facebook</t>
        </is>
      </c>
      <c r="H577" s="2" t="inlineStr"/>
      <c r="I577" s="4" t="inlineStr">
        <is>
          <t>https://www.facebook.com/samfordroadDH/</t>
        </is>
      </c>
      <c r="J577" s="2" t="inlineStr">
        <is>
          <t>+61 7 3833 6794</t>
        </is>
      </c>
      <c r="K577" s="4" t="inlineStr">
        <is>
          <t>https://srdh.com.au/</t>
        </is>
      </c>
      <c r="L577" s="2" t="inlineStr">
        <is>
          <t>missing meta description</t>
        </is>
      </c>
      <c r="M577" s="2" t="inlineStr">
        <is>
          <t>Hi Samford Road Day Hospital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7" s="4" t="inlineStr">
        <is>
          <t>Open map</t>
        </is>
      </c>
      <c r="O577" s="2" t="inlineStr">
        <is>
          <t>Not contacted</t>
        </is>
      </c>
      <c r="P577" s="2" t="inlineStr"/>
      <c r="Q577" s="2" t="inlineStr"/>
      <c r="R577" s="2" t="inlineStr"/>
      <c r="S577" s="2" t="inlineStr"/>
    </row>
    <row r="578">
      <c r="A578" s="2" t="n">
        <v>577</v>
      </c>
      <c r="B578" s="6" t="inlineStr">
        <is>
          <t>MEDIUM</t>
        </is>
      </c>
      <c r="C578" s="2" t="inlineStr">
        <is>
          <t>Weak website</t>
        </is>
      </c>
      <c r="D578" s="2" t="inlineStr">
        <is>
          <t>Sonder Private Clinic Brisbane</t>
        </is>
      </c>
      <c r="E578" s="2" t="inlineStr">
        <is>
          <t>medical clinic</t>
        </is>
      </c>
      <c r="F578" s="2" t="inlineStr">
        <is>
          <t>Brisbane</t>
        </is>
      </c>
      <c r="G578" s="2" t="inlineStr">
        <is>
          <t>Instagram</t>
        </is>
      </c>
      <c r="H578" s="4" t="inlineStr">
        <is>
          <t>https://www.instagram.com/sonderprivateclinic_brisbane</t>
        </is>
      </c>
      <c r="I578" s="4" t="inlineStr">
        <is>
          <t>https://www.facebook.com/sonderprivateclinicbrisbane</t>
        </is>
      </c>
      <c r="J578" s="2" t="inlineStr">
        <is>
          <t>+61 7 3164 9703</t>
        </is>
      </c>
      <c r="K578" s="4" t="inlineStr">
        <is>
          <t>https://sonderprivateclinic.com/</t>
        </is>
      </c>
      <c r="L578" s="2" t="inlineStr">
        <is>
          <t>looks outdated (copyright 2022)</t>
        </is>
      </c>
      <c r="M578" s="2" t="inlineStr">
        <is>
          <t>Hi Sonder Private Clinic Brisbane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8" s="4" t="inlineStr">
        <is>
          <t>Open map</t>
        </is>
      </c>
      <c r="O578" s="2" t="inlineStr">
        <is>
          <t>Not contacted</t>
        </is>
      </c>
      <c r="P578" s="2" t="inlineStr"/>
      <c r="Q578" s="2" t="inlineStr"/>
      <c r="R578" s="2" t="inlineStr"/>
      <c r="S578" s="2" t="inlineStr"/>
    </row>
    <row r="579">
      <c r="A579" s="2" t="n">
        <v>578</v>
      </c>
      <c r="B579" s="6" t="inlineStr">
        <is>
          <t>MEDIUM</t>
        </is>
      </c>
      <c r="C579" s="2" t="inlineStr">
        <is>
          <t>Weak website</t>
        </is>
      </c>
      <c r="D579" s="2" t="inlineStr">
        <is>
          <t>Stonewall Medical Center</t>
        </is>
      </c>
      <c r="E579" s="2" t="inlineStr">
        <is>
          <t>medical clinic</t>
        </is>
      </c>
      <c r="F579" s="2" t="inlineStr">
        <is>
          <t>Brisbane</t>
        </is>
      </c>
      <c r="G579" s="2" t="inlineStr">
        <is>
          <t>Instagram</t>
        </is>
      </c>
      <c r="H579" s="4" t="inlineStr">
        <is>
          <t>https://www.instagram.com/stonewallmedical</t>
        </is>
      </c>
      <c r="I579" s="4" t="inlineStr">
        <is>
          <t>https://www.facebook.com/profile.php</t>
        </is>
      </c>
      <c r="J579" s="2" t="inlineStr">
        <is>
          <t>+61 7 3857 1222</t>
        </is>
      </c>
      <c r="K579" s="4" t="inlineStr">
        <is>
          <t>https://stonewall.com.au/</t>
        </is>
      </c>
      <c r="L579" s="2" t="inlineStr">
        <is>
          <t>missing meta description</t>
        </is>
      </c>
      <c r="M579" s="2" t="inlineStr">
        <is>
          <t>Hi Stonewall Medical Center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79" s="4" t="inlineStr">
        <is>
          <t>Open map</t>
        </is>
      </c>
      <c r="O579" s="2" t="inlineStr">
        <is>
          <t>Not contacted</t>
        </is>
      </c>
      <c r="P579" s="2" t="inlineStr"/>
      <c r="Q579" s="2" t="inlineStr"/>
      <c r="R579" s="2" t="inlineStr"/>
      <c r="S579" s="2" t="inlineStr"/>
    </row>
    <row r="580">
      <c r="A580" s="2" t="n">
        <v>579</v>
      </c>
      <c r="B580" s="6" t="inlineStr">
        <is>
          <t>MEDIUM</t>
        </is>
      </c>
      <c r="C580" s="2" t="inlineStr">
        <is>
          <t>Weak website</t>
        </is>
      </c>
      <c r="D580" s="2" t="inlineStr">
        <is>
          <t>Sun Family Practice</t>
        </is>
      </c>
      <c r="E580" s="2" t="inlineStr">
        <is>
          <t>medical clinic</t>
        </is>
      </c>
      <c r="F580" s="2" t="inlineStr">
        <is>
          <t>Brisbane</t>
        </is>
      </c>
      <c r="G580" s="2" t="inlineStr">
        <is>
          <t>Facebook</t>
        </is>
      </c>
      <c r="H580" s="2" t="inlineStr"/>
      <c r="I580" s="4" t="inlineStr">
        <is>
          <t>https://www.facebook.com/sunfamilypractice</t>
        </is>
      </c>
      <c r="J580" s="2" t="inlineStr">
        <is>
          <t>+61 7 3188 5456</t>
        </is>
      </c>
      <c r="K580" s="4" t="inlineStr">
        <is>
          <t>https://www.sunfamilypractice.com.au/</t>
        </is>
      </c>
      <c r="L580" s="2" t="inlineStr">
        <is>
          <t>missing meta description</t>
        </is>
      </c>
      <c r="M580" s="2" t="inlineStr">
        <is>
          <t>Hi Sun Family Practice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0" s="4" t="inlineStr">
        <is>
          <t>Open map</t>
        </is>
      </c>
      <c r="O580" s="2" t="inlineStr">
        <is>
          <t>Not contacted</t>
        </is>
      </c>
      <c r="P580" s="2" t="inlineStr"/>
      <c r="Q580" s="2" t="inlineStr"/>
      <c r="R580" s="2" t="inlineStr"/>
      <c r="S580" s="2" t="inlineStr"/>
    </row>
    <row r="581">
      <c r="A581" s="2" t="n">
        <v>580</v>
      </c>
      <c r="B581" s="6" t="inlineStr">
        <is>
          <t>MEDIUM</t>
        </is>
      </c>
      <c r="C581" s="2" t="inlineStr">
        <is>
          <t>Weak website</t>
        </is>
      </c>
      <c r="D581" s="2" t="inlineStr">
        <is>
          <t>Core Optics</t>
        </is>
      </c>
      <c r="E581" s="2" t="inlineStr">
        <is>
          <t>optometrist</t>
        </is>
      </c>
      <c r="F581" s="2" t="inlineStr">
        <is>
          <t>Brisbane</t>
        </is>
      </c>
      <c r="G581" s="2" t="inlineStr">
        <is>
          <t>Instagram</t>
        </is>
      </c>
      <c r="H581" s="4" t="inlineStr">
        <is>
          <t>https://www.instagram.com/winn_lane</t>
        </is>
      </c>
      <c r="I581" s="4" t="inlineStr">
        <is>
          <t>https://www.facebook.com/winnlanebrisbane</t>
        </is>
      </c>
      <c r="J581" s="2" t="inlineStr">
        <is>
          <t>+61 402 363 138</t>
        </is>
      </c>
      <c r="K581" s="4" t="inlineStr">
        <is>
          <t>http://www.winnlane.com.au/shop_details/shop/core_optics/section/shop</t>
        </is>
      </c>
      <c r="L581" s="2" t="inlineStr">
        <is>
          <t>missing meta description</t>
        </is>
      </c>
      <c r="M581" s="2" t="inlineStr">
        <is>
          <t>Hi Core Optics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1" s="4" t="inlineStr">
        <is>
          <t>Open map</t>
        </is>
      </c>
      <c r="O581" s="2" t="inlineStr">
        <is>
          <t>Not contacted</t>
        </is>
      </c>
      <c r="P581" s="2" t="inlineStr"/>
      <c r="Q581" s="2" t="inlineStr"/>
      <c r="R581" s="2" t="inlineStr"/>
      <c r="S581" s="2" t="inlineStr"/>
    </row>
    <row r="582">
      <c r="A582" s="2" t="n">
        <v>581</v>
      </c>
      <c r="B582" s="6" t="inlineStr">
        <is>
          <t>MEDIUM</t>
        </is>
      </c>
      <c r="C582" s="2" t="inlineStr">
        <is>
          <t>Weak website</t>
        </is>
      </c>
      <c r="D582" s="2" t="inlineStr">
        <is>
          <t>Albany Creek Veterinary Surgery</t>
        </is>
      </c>
      <c r="E582" s="2" t="inlineStr">
        <is>
          <t>pet business</t>
        </is>
      </c>
      <c r="F582" s="2" t="inlineStr">
        <is>
          <t>Brisbane</t>
        </is>
      </c>
      <c r="G582" s="2" t="inlineStr">
        <is>
          <t>Instagram</t>
        </is>
      </c>
      <c r="H582" s="4" t="inlineStr">
        <is>
          <t>https://www.instagram.com/albanycreekvets</t>
        </is>
      </c>
      <c r="I582" s="4" t="inlineStr">
        <is>
          <t>https://www.facebook.com/profile.php</t>
        </is>
      </c>
      <c r="J582" s="2" t="inlineStr"/>
      <c r="K582" s="4" t="inlineStr">
        <is>
          <t>https://albanycreekvet.com.au/</t>
        </is>
      </c>
      <c r="L582" s="2" t="inlineStr">
        <is>
          <t>missing meta description; slow to load (5.5s)</t>
        </is>
      </c>
      <c r="M582" s="2" t="inlineStr">
        <is>
          <t>Hi Albany Creek Veterinary Surgery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82" s="4" t="inlineStr">
        <is>
          <t>Open map</t>
        </is>
      </c>
      <c r="O582" s="2" t="inlineStr">
        <is>
          <t>Not contacted</t>
        </is>
      </c>
      <c r="P582" s="2" t="inlineStr"/>
      <c r="Q582" s="2" t="inlineStr"/>
      <c r="R582" s="2" t="inlineStr"/>
      <c r="S582" s="2" t="inlineStr"/>
    </row>
    <row r="583">
      <c r="A583" s="2" t="n">
        <v>582</v>
      </c>
      <c r="B583" s="6" t="inlineStr">
        <is>
          <t>MEDIUM</t>
        </is>
      </c>
      <c r="C583" s="2" t="inlineStr">
        <is>
          <t>Weak website</t>
        </is>
      </c>
      <c r="D583" s="2" t="inlineStr">
        <is>
          <t>Animal Emergency Service</t>
        </is>
      </c>
      <c r="E583" s="2" t="inlineStr">
        <is>
          <t>pet business</t>
        </is>
      </c>
      <c r="F583" s="2" t="inlineStr">
        <is>
          <t>Brisbane</t>
        </is>
      </c>
      <c r="G583" s="2" t="inlineStr">
        <is>
          <t>Facebook</t>
        </is>
      </c>
      <c r="H583" s="2" t="inlineStr"/>
      <c r="I583" s="4" t="inlineStr">
        <is>
          <t>https://www.facebook.com/AnimalEmergencyWestBrisbane</t>
        </is>
      </c>
      <c r="J583" s="2" t="inlineStr">
        <is>
          <t>+61 7 3715 9999</t>
        </is>
      </c>
      <c r="K583" s="4" t="inlineStr">
        <is>
          <t>https://animalemergencyservice.com.au/info/jindalee-emergency-vet/</t>
        </is>
      </c>
      <c r="L583" s="2" t="inlineStr">
        <is>
          <t>slow to load (6.8s)</t>
        </is>
      </c>
      <c r="M583" s="2" t="inlineStr">
        <is>
          <t>Hi Animal Emergency Service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83" s="4" t="inlineStr">
        <is>
          <t>Open map</t>
        </is>
      </c>
      <c r="O583" s="2" t="inlineStr">
        <is>
          <t>Not contacted</t>
        </is>
      </c>
      <c r="P583" s="2" t="inlineStr"/>
      <c r="Q583" s="2" t="inlineStr"/>
      <c r="R583" s="2" t="inlineStr"/>
      <c r="S583" s="2" t="inlineStr"/>
    </row>
    <row r="584">
      <c r="A584" s="2" t="n">
        <v>583</v>
      </c>
      <c r="B584" s="6" t="inlineStr">
        <is>
          <t>MEDIUM</t>
        </is>
      </c>
      <c r="C584" s="2" t="inlineStr">
        <is>
          <t>Weak website</t>
        </is>
      </c>
      <c r="D584" s="2" t="inlineStr">
        <is>
          <t>Animal Emergency Service Underwood</t>
        </is>
      </c>
      <c r="E584" s="2" t="inlineStr">
        <is>
          <t>pet business</t>
        </is>
      </c>
      <c r="F584" s="2" t="inlineStr">
        <is>
          <t>Brisbane</t>
        </is>
      </c>
      <c r="G584" s="2" t="inlineStr">
        <is>
          <t>Instagram</t>
        </is>
      </c>
      <c r="H584" s="4" t="inlineStr">
        <is>
          <t>https://www.instagram.com/animalemergencyservice</t>
        </is>
      </c>
      <c r="I584" s="4" t="inlineStr">
        <is>
          <t>https://www.facebook.com/AnimalEmergencyServiceHQ</t>
        </is>
      </c>
      <c r="J584" s="2" t="inlineStr"/>
      <c r="K584" s="4" t="inlineStr">
        <is>
          <t>https://animalemergencyservice.com.au/aes_location/animal-emergency-service-underwood/</t>
        </is>
      </c>
      <c r="L584" s="2" t="inlineStr">
        <is>
          <t>slow to load (3.7s)</t>
        </is>
      </c>
      <c r="M584" s="2" t="inlineStr">
        <is>
          <t>Hi Animal Emergency Service Underwood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84" s="4" t="inlineStr">
        <is>
          <t>Open map</t>
        </is>
      </c>
      <c r="O584" s="2" t="inlineStr">
        <is>
          <t>Not contacted</t>
        </is>
      </c>
      <c r="P584" s="2" t="inlineStr"/>
      <c r="Q584" s="2" t="inlineStr"/>
      <c r="R584" s="2" t="inlineStr"/>
      <c r="S584" s="2" t="inlineStr"/>
    </row>
    <row r="585">
      <c r="A585" s="2" t="n">
        <v>584</v>
      </c>
      <c r="B585" s="6" t="inlineStr">
        <is>
          <t>MEDIUM</t>
        </is>
      </c>
      <c r="C585" s="2" t="inlineStr">
        <is>
          <t>Weak website</t>
        </is>
      </c>
      <c r="D585" s="2" t="inlineStr">
        <is>
          <t>Bellbowrie Vet</t>
        </is>
      </c>
      <c r="E585" s="2" t="inlineStr">
        <is>
          <t>pet business</t>
        </is>
      </c>
      <c r="F585" s="2" t="inlineStr">
        <is>
          <t>Brisbane</t>
        </is>
      </c>
      <c r="G585" s="2" t="inlineStr">
        <is>
          <t>Facebook</t>
        </is>
      </c>
      <c r="H585" s="2" t="inlineStr"/>
      <c r="I585" s="4" t="inlineStr">
        <is>
          <t>https://www.facebook.com/profile.php</t>
        </is>
      </c>
      <c r="J585" s="2" t="inlineStr"/>
      <c r="K585" s="4" t="inlineStr">
        <is>
          <t>https://bellbowrievet.com.au/</t>
        </is>
      </c>
      <c r="L585" s="2" t="inlineStr">
        <is>
          <t>not mobile-friendly (no viewport tag); missing meta description</t>
        </is>
      </c>
      <c r="M585" s="2" t="inlineStr">
        <is>
          <t>Hi Bellbowrie Vet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585" s="4" t="inlineStr">
        <is>
          <t>Open map</t>
        </is>
      </c>
      <c r="O585" s="2" t="inlineStr">
        <is>
          <t>Not contacted</t>
        </is>
      </c>
      <c r="P585" s="2" t="inlineStr"/>
      <c r="Q585" s="2" t="inlineStr"/>
      <c r="R585" s="2" t="inlineStr"/>
      <c r="S585" s="2" t="inlineStr"/>
    </row>
    <row r="586">
      <c r="A586" s="2" t="n">
        <v>585</v>
      </c>
      <c r="B586" s="6" t="inlineStr">
        <is>
          <t>MEDIUM</t>
        </is>
      </c>
      <c r="C586" s="2" t="inlineStr">
        <is>
          <t>Weak website</t>
        </is>
      </c>
      <c r="D586" s="2" t="inlineStr">
        <is>
          <t>Complete Pet</t>
        </is>
      </c>
      <c r="E586" s="2" t="inlineStr">
        <is>
          <t>pet business</t>
        </is>
      </c>
      <c r="F586" s="2" t="inlineStr">
        <is>
          <t>Brisbane</t>
        </is>
      </c>
      <c r="G586" s="2" t="inlineStr">
        <is>
          <t>Facebook</t>
        </is>
      </c>
      <c r="H586" s="2" t="inlineStr"/>
      <c r="I586" s="4" t="inlineStr">
        <is>
          <t>https://www.facebook.com/thecompletepetcompany</t>
        </is>
      </c>
      <c r="J586" s="2" t="inlineStr">
        <is>
          <t>+61 7 3855 3555</t>
        </is>
      </c>
      <c r="K586" s="4" t="inlineStr">
        <is>
          <t>https://www.completepet.com.au/</t>
        </is>
      </c>
      <c r="L586" s="2" t="inlineStr">
        <is>
          <t>missing meta description</t>
        </is>
      </c>
      <c r="M586" s="2" t="inlineStr">
        <is>
          <t>Hi Complete Pet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6" s="4" t="inlineStr">
        <is>
          <t>Open map</t>
        </is>
      </c>
      <c r="O586" s="2" t="inlineStr">
        <is>
          <t>Not contacted</t>
        </is>
      </c>
      <c r="P586" s="2" t="inlineStr"/>
      <c r="Q586" s="2" t="inlineStr"/>
      <c r="R586" s="2" t="inlineStr"/>
      <c r="S586" s="2" t="inlineStr"/>
    </row>
    <row r="587">
      <c r="A587" s="2" t="n">
        <v>586</v>
      </c>
      <c r="B587" s="6" t="inlineStr">
        <is>
          <t>MEDIUM</t>
        </is>
      </c>
      <c r="C587" s="2" t="inlineStr">
        <is>
          <t>Weak website</t>
        </is>
      </c>
      <c r="D587" s="2" t="inlineStr">
        <is>
          <t>Daisy Hill Veterinary Clinic</t>
        </is>
      </c>
      <c r="E587" s="2" t="inlineStr">
        <is>
          <t>pet business</t>
        </is>
      </c>
      <c r="F587" s="2" t="inlineStr">
        <is>
          <t>Brisbane</t>
        </is>
      </c>
      <c r="G587" s="2" t="inlineStr">
        <is>
          <t>Facebook</t>
        </is>
      </c>
      <c r="H587" s="2" t="inlineStr"/>
      <c r="I587" s="4" t="inlineStr">
        <is>
          <t>https://www.facebook.com/daisyhillvet</t>
        </is>
      </c>
      <c r="J587" s="2" t="inlineStr"/>
      <c r="K587" s="4" t="inlineStr">
        <is>
          <t>https://daisyhillvet.com/</t>
        </is>
      </c>
      <c r="L587" s="2" t="inlineStr">
        <is>
          <t>looks outdated (copyright 2019)</t>
        </is>
      </c>
      <c r="M587" s="2" t="inlineStr">
        <is>
          <t>Hi Daisy Hill Veterinary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7" s="4" t="inlineStr">
        <is>
          <t>Open map</t>
        </is>
      </c>
      <c r="O587" s="2" t="inlineStr">
        <is>
          <t>Not contacted</t>
        </is>
      </c>
      <c r="P587" s="2" t="inlineStr"/>
      <c r="Q587" s="2" t="inlineStr"/>
      <c r="R587" s="2" t="inlineStr"/>
      <c r="S587" s="2" t="inlineStr"/>
    </row>
    <row r="588">
      <c r="A588" s="2" t="n">
        <v>587</v>
      </c>
      <c r="B588" s="6" t="inlineStr">
        <is>
          <t>MEDIUM</t>
        </is>
      </c>
      <c r="C588" s="2" t="inlineStr">
        <is>
          <t>Weak website</t>
        </is>
      </c>
      <c r="D588" s="2" t="inlineStr">
        <is>
          <t>Ferny Grove Veternary Clinic</t>
        </is>
      </c>
      <c r="E588" s="2" t="inlineStr">
        <is>
          <t>pet business</t>
        </is>
      </c>
      <c r="F588" s="2" t="inlineStr">
        <is>
          <t>Brisbane</t>
        </is>
      </c>
      <c r="G588" s="2" t="inlineStr">
        <is>
          <t>Instagram</t>
        </is>
      </c>
      <c r="H588" s="4" t="inlineStr">
        <is>
          <t>https://www.instagram.com/fernygrovevet</t>
        </is>
      </c>
      <c r="I588" s="4" t="inlineStr">
        <is>
          <t>https://www.facebook.com/fernygrovevet</t>
        </is>
      </c>
      <c r="J588" s="2" t="inlineStr"/>
      <c r="K588" s="4" t="inlineStr">
        <is>
          <t>https://www.fernygrovevet.com.au/</t>
        </is>
      </c>
      <c r="L588" s="2" t="inlineStr">
        <is>
          <t>missing page title; missing meta description</t>
        </is>
      </c>
      <c r="M588" s="2" t="inlineStr">
        <is>
          <t>Hi Ferny Grove Veternary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8" s="4" t="inlineStr">
        <is>
          <t>Open map</t>
        </is>
      </c>
      <c r="O588" s="2" t="inlineStr">
        <is>
          <t>Not contacted</t>
        </is>
      </c>
      <c r="P588" s="2" t="inlineStr"/>
      <c r="Q588" s="2" t="inlineStr"/>
      <c r="R588" s="2" t="inlineStr"/>
      <c r="S588" s="2" t="inlineStr"/>
    </row>
    <row r="589">
      <c r="A589" s="2" t="n">
        <v>588</v>
      </c>
      <c r="B589" s="6" t="inlineStr">
        <is>
          <t>MEDIUM</t>
        </is>
      </c>
      <c r="C589" s="2" t="inlineStr">
        <is>
          <t>Weak website</t>
        </is>
      </c>
      <c r="D589" s="2" t="inlineStr">
        <is>
          <t>Ferny Hills Vet Surgery</t>
        </is>
      </c>
      <c r="E589" s="2" t="inlineStr">
        <is>
          <t>pet business</t>
        </is>
      </c>
      <c r="F589" s="2" t="inlineStr">
        <is>
          <t>Brisbane</t>
        </is>
      </c>
      <c r="G589" s="2" t="inlineStr">
        <is>
          <t>Instagram</t>
        </is>
      </c>
      <c r="H589" s="4" t="inlineStr">
        <is>
          <t>https://www.instagram.com/fernyhillsvet</t>
        </is>
      </c>
      <c r="I589" s="4" t="inlineStr">
        <is>
          <t>https://www.facebook.com/Ferny-Hills-Vet-Surgery-577129148971402</t>
        </is>
      </c>
      <c r="J589" s="2" t="inlineStr">
        <is>
          <t>+61 7 3506 1125</t>
        </is>
      </c>
      <c r="K589" s="4" t="inlineStr">
        <is>
          <t>https://www.fernyhillsvet.com.au/</t>
        </is>
      </c>
      <c r="L589" s="2" t="inlineStr">
        <is>
          <t>looks outdated (copyright 2021)</t>
        </is>
      </c>
      <c r="M589" s="2" t="inlineStr">
        <is>
          <t>Hi Ferny Hills Vet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9" s="4" t="inlineStr">
        <is>
          <t>Open map</t>
        </is>
      </c>
      <c r="O589" s="2" t="inlineStr">
        <is>
          <t>Not contacted</t>
        </is>
      </c>
      <c r="P589" s="2" t="inlineStr"/>
      <c r="Q589" s="2" t="inlineStr"/>
      <c r="R589" s="2" t="inlineStr"/>
      <c r="S589" s="2" t="inlineStr"/>
    </row>
    <row r="590">
      <c r="A590" s="2" t="n">
        <v>589</v>
      </c>
      <c r="B590" s="6" t="inlineStr">
        <is>
          <t>MEDIUM</t>
        </is>
      </c>
      <c r="C590" s="2" t="inlineStr">
        <is>
          <t>Weak website</t>
        </is>
      </c>
      <c r="D590" s="2" t="inlineStr">
        <is>
          <t>Hairy Tails</t>
        </is>
      </c>
      <c r="E590" s="2" t="inlineStr">
        <is>
          <t>pet business</t>
        </is>
      </c>
      <c r="F590" s="2" t="inlineStr">
        <is>
          <t>Brisbane</t>
        </is>
      </c>
      <c r="G590" s="2" t="inlineStr">
        <is>
          <t>Instagram</t>
        </is>
      </c>
      <c r="H590" s="4" t="inlineStr">
        <is>
          <t>https://www.instagram.com/hairytails</t>
        </is>
      </c>
      <c r="I590" s="4" t="inlineStr">
        <is>
          <t>https://www.facebook.com/hairytailsdoggroomingboutique</t>
        </is>
      </c>
      <c r="J590" s="2" t="inlineStr"/>
      <c r="K590" s="4" t="inlineStr">
        <is>
          <t>https://www.hairytails.com.au/dog-grooming-ashgrove/</t>
        </is>
      </c>
      <c r="L590" s="2" t="inlineStr">
        <is>
          <t>missing meta description; slow to load (6.5s)</t>
        </is>
      </c>
      <c r="M590" s="2" t="inlineStr">
        <is>
          <t>Hi Hairy Tails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90" s="4" t="inlineStr">
        <is>
          <t>Open map</t>
        </is>
      </c>
      <c r="O590" s="2" t="inlineStr">
        <is>
          <t>Not contacted</t>
        </is>
      </c>
      <c r="P590" s="2" t="inlineStr"/>
      <c r="Q590" s="2" t="inlineStr"/>
      <c r="R590" s="2" t="inlineStr"/>
      <c r="S590" s="2" t="inlineStr"/>
    </row>
    <row r="591">
      <c r="A591" s="2" t="n">
        <v>590</v>
      </c>
      <c r="B591" s="6" t="inlineStr">
        <is>
          <t>MEDIUM</t>
        </is>
      </c>
      <c r="C591" s="2" t="inlineStr">
        <is>
          <t>Weak website</t>
        </is>
      </c>
      <c r="D591" s="2" t="inlineStr">
        <is>
          <t>Hairy Tails</t>
        </is>
      </c>
      <c r="E591" s="2" t="inlineStr">
        <is>
          <t>pet business</t>
        </is>
      </c>
      <c r="F591" s="2" t="inlineStr">
        <is>
          <t>Brisbane</t>
        </is>
      </c>
      <c r="G591" s="2" t="inlineStr">
        <is>
          <t>Instagram</t>
        </is>
      </c>
      <c r="H591" s="4" t="inlineStr">
        <is>
          <t>https://www.instagram.com/hairytails</t>
        </is>
      </c>
      <c r="I591" s="4" t="inlineStr">
        <is>
          <t>https://www.facebook.com/hairytailsdoggroomingboutique</t>
        </is>
      </c>
      <c r="J591" s="2" t="inlineStr"/>
      <c r="K591" s="4" t="inlineStr">
        <is>
          <t>https://www.hairytails.com.au/dog-grooming-wavell-heights/</t>
        </is>
      </c>
      <c r="L591" s="2" t="inlineStr">
        <is>
          <t>missing meta description; slow to load (6.0s)</t>
        </is>
      </c>
      <c r="M591" s="2" t="inlineStr">
        <is>
          <t>Hi Hairy Tails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91" s="4" t="inlineStr">
        <is>
          <t>Open map</t>
        </is>
      </c>
      <c r="O591" s="2" t="inlineStr">
        <is>
          <t>Not contacted</t>
        </is>
      </c>
      <c r="P591" s="2" t="inlineStr"/>
      <c r="Q591" s="2" t="inlineStr"/>
      <c r="R591" s="2" t="inlineStr"/>
      <c r="S591" s="2" t="inlineStr"/>
    </row>
    <row r="592">
      <c r="A592" s="2" t="n">
        <v>591</v>
      </c>
      <c r="B592" s="6" t="inlineStr">
        <is>
          <t>MEDIUM</t>
        </is>
      </c>
      <c r="C592" s="2" t="inlineStr">
        <is>
          <t>Weak website</t>
        </is>
      </c>
      <c r="D592" s="2" t="inlineStr">
        <is>
          <t>Kedron Veterinary Clinic</t>
        </is>
      </c>
      <c r="E592" s="2" t="inlineStr">
        <is>
          <t>pet business</t>
        </is>
      </c>
      <c r="F592" s="2" t="inlineStr">
        <is>
          <t>Brisbane</t>
        </is>
      </c>
      <c r="G592" s="2" t="inlineStr">
        <is>
          <t>Instagram</t>
        </is>
      </c>
      <c r="H592" s="4" t="inlineStr">
        <is>
          <t>https://www.instagram.com/kedronvet</t>
        </is>
      </c>
      <c r="I592" s="4" t="inlineStr">
        <is>
          <t>https://www.facebook.com/KedronVeterinaryClinic</t>
        </is>
      </c>
      <c r="J592" s="2" t="inlineStr">
        <is>
          <t>+61 7 3857 1785</t>
        </is>
      </c>
      <c r="K592" s="4" t="inlineStr">
        <is>
          <t>https://kedronvet.com.au</t>
        </is>
      </c>
      <c r="L592" s="2" t="inlineStr">
        <is>
          <t>looks outdated (copyright 2018)</t>
        </is>
      </c>
      <c r="M592" s="2" t="inlineStr">
        <is>
          <t>Hi Kedron Veterinary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2" s="4" t="inlineStr">
        <is>
          <t>Open map</t>
        </is>
      </c>
      <c r="O592" s="2" t="inlineStr">
        <is>
          <t>Not contacted</t>
        </is>
      </c>
      <c r="P592" s="2" t="inlineStr"/>
      <c r="Q592" s="2" t="inlineStr"/>
      <c r="R592" s="2" t="inlineStr"/>
      <c r="S592" s="2" t="inlineStr"/>
    </row>
    <row r="593">
      <c r="A593" s="2" t="n">
        <v>592</v>
      </c>
      <c r="B593" s="6" t="inlineStr">
        <is>
          <t>MEDIUM</t>
        </is>
      </c>
      <c r="C593" s="2" t="inlineStr">
        <is>
          <t>Weak website</t>
        </is>
      </c>
      <c r="D593" s="2" t="inlineStr">
        <is>
          <t>Parkinson Veterinary Surgery</t>
        </is>
      </c>
      <c r="E593" s="2" t="inlineStr">
        <is>
          <t>pet business</t>
        </is>
      </c>
      <c r="F593" s="2" t="inlineStr">
        <is>
          <t>Brisbane</t>
        </is>
      </c>
      <c r="G593" s="2" t="inlineStr">
        <is>
          <t>Instagram</t>
        </is>
      </c>
      <c r="H593" s="4" t="inlineStr">
        <is>
          <t>https://www.instagram.com/parkinsonvetsurgery</t>
        </is>
      </c>
      <c r="I593" s="4" t="inlineStr">
        <is>
          <t>https://www.facebook.com/parkinsonvetclinic</t>
        </is>
      </c>
      <c r="J593" s="2" t="inlineStr"/>
      <c r="K593" s="4" t="inlineStr">
        <is>
          <t>https://parkinsonvet.com.au/</t>
        </is>
      </c>
      <c r="L593" s="2" t="inlineStr">
        <is>
          <t>looks outdated (copyright 2020); missing meta description</t>
        </is>
      </c>
      <c r="M593" s="2" t="inlineStr">
        <is>
          <t>Hi Parkinson Veterinary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3" s="4" t="inlineStr">
        <is>
          <t>Open map</t>
        </is>
      </c>
      <c r="O593" s="2" t="inlineStr">
        <is>
          <t>Not contacted</t>
        </is>
      </c>
      <c r="P593" s="2" t="inlineStr"/>
      <c r="Q593" s="2" t="inlineStr"/>
      <c r="R593" s="2" t="inlineStr"/>
      <c r="S593" s="2" t="inlineStr"/>
    </row>
    <row r="594">
      <c r="A594" s="2" t="n">
        <v>593</v>
      </c>
      <c r="B594" s="6" t="inlineStr">
        <is>
          <t>MEDIUM</t>
        </is>
      </c>
      <c r="C594" s="2" t="inlineStr">
        <is>
          <t>Weak website</t>
        </is>
      </c>
      <c r="D594" s="2" t="inlineStr">
        <is>
          <t>Pawprint Veterinary Practice</t>
        </is>
      </c>
      <c r="E594" s="2" t="inlineStr">
        <is>
          <t>pet business</t>
        </is>
      </c>
      <c r="F594" s="2" t="inlineStr">
        <is>
          <t>Brisbane</t>
        </is>
      </c>
      <c r="G594" s="2" t="inlineStr">
        <is>
          <t>Facebook</t>
        </is>
      </c>
      <c r="H594" s="2" t="inlineStr"/>
      <c r="I594" s="4" t="inlineStr">
        <is>
          <t>https://www.facebook.com/pawprintvet</t>
        </is>
      </c>
      <c r="J594" s="2" t="inlineStr">
        <is>
          <t>+61 7 3352 3606</t>
        </is>
      </c>
      <c r="K594" s="4" t="inlineStr">
        <is>
          <t>https://pawprintvet.com.au/</t>
        </is>
      </c>
      <c r="L594" s="2" t="inlineStr">
        <is>
          <t>looks outdated (copyright 2015); missing meta description</t>
        </is>
      </c>
      <c r="M594" s="2" t="inlineStr">
        <is>
          <t>Hi Pawprint Veterinary Practice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4" s="4" t="inlineStr">
        <is>
          <t>Open map</t>
        </is>
      </c>
      <c r="O594" s="2" t="inlineStr">
        <is>
          <t>Not contacted</t>
        </is>
      </c>
      <c r="P594" s="2" t="inlineStr"/>
      <c r="Q594" s="2" t="inlineStr"/>
      <c r="R594" s="2" t="inlineStr"/>
      <c r="S594" s="2" t="inlineStr"/>
    </row>
    <row r="595">
      <c r="A595" s="2" t="n">
        <v>594</v>
      </c>
      <c r="B595" s="6" t="inlineStr">
        <is>
          <t>MEDIUM</t>
        </is>
      </c>
      <c r="C595" s="2" t="inlineStr">
        <is>
          <t>Weak website</t>
        </is>
      </c>
      <c r="D595" s="2" t="inlineStr">
        <is>
          <t>Queensland Koala Society</t>
        </is>
      </c>
      <c r="E595" s="2" t="inlineStr">
        <is>
          <t>pet business</t>
        </is>
      </c>
      <c r="F595" s="2" t="inlineStr">
        <is>
          <t>Brisbane</t>
        </is>
      </c>
      <c r="G595" s="2" t="inlineStr">
        <is>
          <t>Facebook</t>
        </is>
      </c>
      <c r="H595" s="2" t="inlineStr"/>
      <c r="I595" s="4" t="inlineStr">
        <is>
          <t>https://www.facebook.com/queenslandkoalasociety/</t>
        </is>
      </c>
      <c r="J595" s="2" t="inlineStr">
        <is>
          <t>+61 419 709 639</t>
        </is>
      </c>
      <c r="K595" s="4" t="inlineStr">
        <is>
          <t>https://queenslandkoalasociety.org/</t>
        </is>
      </c>
      <c r="L595" s="2" t="inlineStr">
        <is>
          <t>looks outdated (copyright 2023)</t>
        </is>
      </c>
      <c r="M595" s="2" t="inlineStr">
        <is>
          <t>Hi Queensland Koala Society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5" s="4" t="inlineStr">
        <is>
          <t>Open map</t>
        </is>
      </c>
      <c r="O595" s="2" t="inlineStr">
        <is>
          <t>Not contacted</t>
        </is>
      </c>
      <c r="P595" s="2" t="inlineStr"/>
      <c r="Q595" s="2" t="inlineStr"/>
      <c r="R595" s="2" t="inlineStr"/>
      <c r="S595" s="2" t="inlineStr"/>
    </row>
    <row r="596">
      <c r="A596" s="2" t="n">
        <v>595</v>
      </c>
      <c r="B596" s="6" t="inlineStr">
        <is>
          <t>MEDIUM</t>
        </is>
      </c>
      <c r="C596" s="2" t="inlineStr">
        <is>
          <t>Weak website</t>
        </is>
      </c>
      <c r="D596" s="2" t="inlineStr">
        <is>
          <t>Samford Emergency Vets</t>
        </is>
      </c>
      <c r="E596" s="2" t="inlineStr">
        <is>
          <t>pet business</t>
        </is>
      </c>
      <c r="F596" s="2" t="inlineStr">
        <is>
          <t>Brisbane</t>
        </is>
      </c>
      <c r="G596" s="2" t="inlineStr">
        <is>
          <t>Instagram</t>
        </is>
      </c>
      <c r="H596" s="4" t="inlineStr">
        <is>
          <t>https://www.instagram.com/samfordemergencyvets</t>
        </is>
      </c>
      <c r="I596" s="4" t="inlineStr">
        <is>
          <t>https://www.facebook.com/people/Samford-Emergency-Vets/61560798104049/</t>
        </is>
      </c>
      <c r="J596" s="2" t="inlineStr"/>
      <c r="K596" s="4" t="inlineStr">
        <is>
          <t>https://samfordemergencyvets.com.au/</t>
        </is>
      </c>
      <c r="L596" s="2" t="inlineStr">
        <is>
          <t>missing meta description; slow to load (6.7s)</t>
        </is>
      </c>
      <c r="M596" s="2" t="inlineStr">
        <is>
          <t>Hi Samford Emergency Vets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96" s="4" t="inlineStr">
        <is>
          <t>Open map</t>
        </is>
      </c>
      <c r="O596" s="2" t="inlineStr">
        <is>
          <t>Not contacted</t>
        </is>
      </c>
      <c r="P596" s="2" t="inlineStr"/>
      <c r="Q596" s="2" t="inlineStr"/>
      <c r="R596" s="2" t="inlineStr"/>
      <c r="S596" s="2" t="inlineStr"/>
    </row>
    <row r="597">
      <c r="A597" s="2" t="n">
        <v>596</v>
      </c>
      <c r="B597" s="6" t="inlineStr">
        <is>
          <t>MEDIUM</t>
        </is>
      </c>
      <c r="C597" s="2" t="inlineStr">
        <is>
          <t>Weak website</t>
        </is>
      </c>
      <c r="D597" s="2" t="inlineStr">
        <is>
          <t>The Gap Vet Surgery</t>
        </is>
      </c>
      <c r="E597" s="2" t="inlineStr">
        <is>
          <t>pet business</t>
        </is>
      </c>
      <c r="F597" s="2" t="inlineStr">
        <is>
          <t>Brisbane</t>
        </is>
      </c>
      <c r="G597" s="2" t="inlineStr">
        <is>
          <t>Facebook</t>
        </is>
      </c>
      <c r="H597" s="2" t="inlineStr"/>
      <c r="I597" s="4" t="inlineStr">
        <is>
          <t>https://www.facebook.com/thegapvet</t>
        </is>
      </c>
      <c r="J597" s="2" t="inlineStr">
        <is>
          <t>+61 7 3300 1533</t>
        </is>
      </c>
      <c r="K597" s="4" t="inlineStr">
        <is>
          <t>https://www.thegapvet.com.au</t>
        </is>
      </c>
      <c r="L597" s="2" t="inlineStr">
        <is>
          <t>looks outdated (copyright 2013)</t>
        </is>
      </c>
      <c r="M597" s="2" t="inlineStr">
        <is>
          <t>Hi The Gap Vet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7" s="4" t="inlineStr">
        <is>
          <t>Open map</t>
        </is>
      </c>
      <c r="O597" s="2" t="inlineStr">
        <is>
          <t>Not contacted</t>
        </is>
      </c>
      <c r="P597" s="2" t="inlineStr"/>
      <c r="Q597" s="2" t="inlineStr"/>
      <c r="R597" s="2" t="inlineStr"/>
      <c r="S597" s="2" t="inlineStr"/>
    </row>
    <row r="598">
      <c r="A598" s="2" t="n">
        <v>597</v>
      </c>
      <c r="B598" s="6" t="inlineStr">
        <is>
          <t>MEDIUM</t>
        </is>
      </c>
      <c r="C598" s="2" t="inlineStr">
        <is>
          <t>Weak website</t>
        </is>
      </c>
      <c r="D598" s="2" t="inlineStr">
        <is>
          <t>Wynnum Bayside Veterinary Surgery</t>
        </is>
      </c>
      <c r="E598" s="2" t="inlineStr">
        <is>
          <t>pet business</t>
        </is>
      </c>
      <c r="F598" s="2" t="inlineStr">
        <is>
          <t>Brisbane</t>
        </is>
      </c>
      <c r="G598" s="2" t="inlineStr">
        <is>
          <t>Facebook</t>
        </is>
      </c>
      <c r="H598" s="2" t="inlineStr"/>
      <c r="I598" s="4" t="inlineStr">
        <is>
          <t>https://www.facebook.com/Wynnum-Bayside-Veterinary-Surgery-601348169947569</t>
        </is>
      </c>
      <c r="J598" s="2" t="inlineStr"/>
      <c r="K598" s="4" t="inlineStr">
        <is>
          <t>https://wynnumbaysidevet.com.au/</t>
        </is>
      </c>
      <c r="L598" s="2" t="inlineStr">
        <is>
          <t>missing meta description</t>
        </is>
      </c>
      <c r="M598" s="2" t="inlineStr">
        <is>
          <t>Hi Wynnum Bayside Veterinary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8" s="4" t="inlineStr">
        <is>
          <t>Open map</t>
        </is>
      </c>
      <c r="O598" s="2" t="inlineStr">
        <is>
          <t>Not contacted</t>
        </is>
      </c>
      <c r="P598" s="2" t="inlineStr"/>
      <c r="Q598" s="2" t="inlineStr"/>
      <c r="R598" s="2" t="inlineStr"/>
      <c r="S598" s="2" t="inlineStr"/>
    </row>
    <row r="599">
      <c r="A599" s="2" t="n">
        <v>598</v>
      </c>
      <c r="B599" s="6" t="inlineStr">
        <is>
          <t>MEDIUM</t>
        </is>
      </c>
      <c r="C599" s="2" t="inlineStr">
        <is>
          <t>Weak website</t>
        </is>
      </c>
      <c r="D599" s="2" t="inlineStr">
        <is>
          <t>BodyViva</t>
        </is>
      </c>
      <c r="E599" s="2" t="inlineStr">
        <is>
          <t>physiotherapist</t>
        </is>
      </c>
      <c r="F599" s="2" t="inlineStr">
        <is>
          <t>Brisbane</t>
        </is>
      </c>
      <c r="G599" s="2" t="inlineStr">
        <is>
          <t>Instagram</t>
        </is>
      </c>
      <c r="H599" s="4" t="inlineStr">
        <is>
          <t>https://www.instagram.com/bodyviva</t>
        </is>
      </c>
      <c r="I599" s="4" t="inlineStr">
        <is>
          <t>https://www.facebook.com/bodyvivahealth</t>
        </is>
      </c>
      <c r="J599" s="2" t="inlineStr">
        <is>
          <t>+61 7 3841 8015</t>
        </is>
      </c>
      <c r="K599" s="4" t="inlineStr">
        <is>
          <t>https://www.bodyviva.com.au/</t>
        </is>
      </c>
      <c r="L599" s="2" t="inlineStr">
        <is>
          <t>slow to load (14.7s)</t>
        </is>
      </c>
      <c r="M599" s="2" t="inlineStr">
        <is>
          <t>Hi BodyViva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99" s="4" t="inlineStr">
        <is>
          <t>Open map</t>
        </is>
      </c>
      <c r="O599" s="2" t="inlineStr">
        <is>
          <t>Not contacted</t>
        </is>
      </c>
      <c r="P599" s="2" t="inlineStr"/>
      <c r="Q599" s="2" t="inlineStr"/>
      <c r="R599" s="2" t="inlineStr"/>
      <c r="S599" s="2" t="inlineStr"/>
    </row>
    <row r="600">
      <c r="A600" s="2" t="n">
        <v>599</v>
      </c>
      <c r="B600" s="6" t="inlineStr">
        <is>
          <t>MEDIUM</t>
        </is>
      </c>
      <c r="C600" s="2" t="inlineStr">
        <is>
          <t>Weak website</t>
        </is>
      </c>
      <c r="D600" s="2" t="inlineStr">
        <is>
          <t>Circle of life Physio</t>
        </is>
      </c>
      <c r="E600" s="2" t="inlineStr">
        <is>
          <t>physiotherapist</t>
        </is>
      </c>
      <c r="F600" s="2" t="inlineStr">
        <is>
          <t>Brisbane</t>
        </is>
      </c>
      <c r="G600" s="2" t="inlineStr">
        <is>
          <t>Instagram</t>
        </is>
      </c>
      <c r="H600" s="4" t="inlineStr">
        <is>
          <t>https://www.instagram.com/circleoflifephysio</t>
        </is>
      </c>
      <c r="I600" s="4" t="inlineStr">
        <is>
          <t>https://www.facebook.com/circleoflifephysio</t>
        </is>
      </c>
      <c r="J600" s="2" t="inlineStr">
        <is>
          <t>+61 7 3472 9108</t>
        </is>
      </c>
      <c r="K600" s="4" t="inlineStr">
        <is>
          <t>https://circleoflifephysio.com.au/</t>
        </is>
      </c>
      <c r="L600" s="2" t="inlineStr">
        <is>
          <t>looks outdated (copyright 2022)</t>
        </is>
      </c>
      <c r="M600" s="2" t="inlineStr">
        <is>
          <t>Hi Circle of life Physio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0" s="4" t="inlineStr">
        <is>
          <t>Open map</t>
        </is>
      </c>
      <c r="O600" s="2" t="inlineStr">
        <is>
          <t>Not contacted</t>
        </is>
      </c>
      <c r="P600" s="2" t="inlineStr"/>
      <c r="Q600" s="2" t="inlineStr"/>
      <c r="R600" s="2" t="inlineStr"/>
      <c r="S600" s="2" t="inlineStr"/>
    </row>
    <row r="601">
      <c r="A601" s="2" t="n">
        <v>600</v>
      </c>
      <c r="B601" s="6" t="inlineStr">
        <is>
          <t>MEDIUM</t>
        </is>
      </c>
      <c r="C601" s="2" t="inlineStr">
        <is>
          <t>Weak website</t>
        </is>
      </c>
      <c r="D601" s="2" t="inlineStr">
        <is>
          <t>Enable Health Clinic</t>
        </is>
      </c>
      <c r="E601" s="2" t="inlineStr">
        <is>
          <t>physiotherapist</t>
        </is>
      </c>
      <c r="F601" s="2" t="inlineStr">
        <is>
          <t>Brisbane</t>
        </is>
      </c>
      <c r="G601" s="2" t="inlineStr">
        <is>
          <t>Instagram</t>
        </is>
      </c>
      <c r="H601" s="4" t="inlineStr">
        <is>
          <t>https://www.instagram.com/enablehealthclinic</t>
        </is>
      </c>
      <c r="I601" s="4" t="inlineStr">
        <is>
          <t>https://www.facebook.com/enablehealthclinic</t>
        </is>
      </c>
      <c r="J601" s="2" t="inlineStr">
        <is>
          <t>+61 483 809 609</t>
        </is>
      </c>
      <c r="K601" s="4" t="inlineStr">
        <is>
          <t>https://www.enablehealthclinic.com.au/</t>
        </is>
      </c>
      <c r="L601" s="2" t="inlineStr">
        <is>
          <t>slow to load (3.9s)</t>
        </is>
      </c>
      <c r="M601" s="2" t="inlineStr">
        <is>
          <t>Hi Enable Health Clinic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01" s="4" t="inlineStr">
        <is>
          <t>Open map</t>
        </is>
      </c>
      <c r="O601" s="2" t="inlineStr">
        <is>
          <t>Not contacted</t>
        </is>
      </c>
      <c r="P601" s="2" t="inlineStr"/>
      <c r="Q601" s="2" t="inlineStr"/>
      <c r="R601" s="2" t="inlineStr"/>
      <c r="S601" s="2" t="inlineStr"/>
    </row>
    <row r="602">
      <c r="A602" s="2" t="n">
        <v>601</v>
      </c>
      <c r="B602" s="6" t="inlineStr">
        <is>
          <t>MEDIUM</t>
        </is>
      </c>
      <c r="C602" s="2" t="inlineStr">
        <is>
          <t>Weak website</t>
        </is>
      </c>
      <c r="D602" s="2" t="inlineStr">
        <is>
          <t>Feelfit Physiotherapy</t>
        </is>
      </c>
      <c r="E602" s="2" t="inlineStr">
        <is>
          <t>physiotherapist</t>
        </is>
      </c>
      <c r="F602" s="2" t="inlineStr">
        <is>
          <t>Brisbane</t>
        </is>
      </c>
      <c r="G602" s="2" t="inlineStr">
        <is>
          <t>Instagram</t>
        </is>
      </c>
      <c r="H602" s="4" t="inlineStr">
        <is>
          <t>https://www.instagram.com/feelfitphysio</t>
        </is>
      </c>
      <c r="I602" s="4" t="inlineStr">
        <is>
          <t>https://www.facebook.com/Feelfit-Physiotherapy-164649066906021</t>
        </is>
      </c>
      <c r="J602" s="2" t="inlineStr">
        <is>
          <t>+61 7 3357 1803</t>
        </is>
      </c>
      <c r="K602" s="4" t="inlineStr">
        <is>
          <t>https://www.feelfit.com.au/</t>
        </is>
      </c>
      <c r="L602" s="2" t="inlineStr">
        <is>
          <t>looks outdated (copyright 2022)</t>
        </is>
      </c>
      <c r="M602" s="2" t="inlineStr">
        <is>
          <t>Hi Feelfit Physiotherapy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2" s="4" t="inlineStr">
        <is>
          <t>Open map</t>
        </is>
      </c>
      <c r="O602" s="2" t="inlineStr">
        <is>
          <t>Not contacted</t>
        </is>
      </c>
      <c r="P602" s="2" t="inlineStr"/>
      <c r="Q602" s="2" t="inlineStr"/>
      <c r="R602" s="2" t="inlineStr"/>
      <c r="S602" s="2" t="inlineStr"/>
    </row>
    <row r="603">
      <c r="A603" s="2" t="n">
        <v>602</v>
      </c>
      <c r="B603" s="6" t="inlineStr">
        <is>
          <t>MEDIUM</t>
        </is>
      </c>
      <c r="C603" s="2" t="inlineStr">
        <is>
          <t>Weak website</t>
        </is>
      </c>
      <c r="D603" s="2" t="inlineStr">
        <is>
          <t>Inline Physio</t>
        </is>
      </c>
      <c r="E603" s="2" t="inlineStr">
        <is>
          <t>physiotherapist</t>
        </is>
      </c>
      <c r="F603" s="2" t="inlineStr">
        <is>
          <t>Brisbane</t>
        </is>
      </c>
      <c r="G603" s="2" t="inlineStr">
        <is>
          <t>Facebook</t>
        </is>
      </c>
      <c r="H603" s="2" t="inlineStr"/>
      <c r="I603" s="4" t="inlineStr">
        <is>
          <t>https://www.facebook.com/inlinephysio</t>
        </is>
      </c>
      <c r="J603" s="2" t="inlineStr">
        <is>
          <t>+61 7 3289 6122</t>
        </is>
      </c>
      <c r="K603" s="4" t="inlineStr">
        <is>
          <t>https://inlinephysio.com.au</t>
        </is>
      </c>
      <c r="L603" s="2" t="inlineStr">
        <is>
          <t>looks outdated (copyright 2021); slow to load (3.1s)</t>
        </is>
      </c>
      <c r="M603" s="2" t="inlineStr">
        <is>
          <t>Hi Inline Physio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03" s="4" t="inlineStr">
        <is>
          <t>Open map</t>
        </is>
      </c>
      <c r="O603" s="2" t="inlineStr">
        <is>
          <t>Not contacted</t>
        </is>
      </c>
      <c r="P603" s="2" t="inlineStr"/>
      <c r="Q603" s="2" t="inlineStr"/>
      <c r="R603" s="2" t="inlineStr"/>
      <c r="S603" s="2" t="inlineStr"/>
    </row>
    <row r="604">
      <c r="A604" s="2" t="n">
        <v>603</v>
      </c>
      <c r="B604" s="6" t="inlineStr">
        <is>
          <t>MEDIUM</t>
        </is>
      </c>
      <c r="C604" s="2" t="inlineStr">
        <is>
          <t>Weak website</t>
        </is>
      </c>
      <c r="D604" s="2" t="inlineStr">
        <is>
          <t>Pain Be Gone</t>
        </is>
      </c>
      <c r="E604" s="2" t="inlineStr">
        <is>
          <t>physiotherapist</t>
        </is>
      </c>
      <c r="F604" s="2" t="inlineStr">
        <is>
          <t>Brisbane</t>
        </is>
      </c>
      <c r="G604" s="2" t="inlineStr">
        <is>
          <t>Instagram</t>
        </is>
      </c>
      <c r="H604" s="4" t="inlineStr">
        <is>
          <t>http://instagram.com/painbegone_brisbane</t>
        </is>
      </c>
      <c r="I604" s="4" t="inlineStr">
        <is>
          <t>https://www.facebook.com/painbegonebrisbane</t>
        </is>
      </c>
      <c r="J604" s="2" t="inlineStr">
        <is>
          <t>+61 466 933 313</t>
        </is>
      </c>
      <c r="K604" s="4" t="inlineStr">
        <is>
          <t>https://painbegone.com.au/</t>
        </is>
      </c>
      <c r="L604" s="2" t="inlineStr">
        <is>
          <t>looks outdated (copyright 2023)</t>
        </is>
      </c>
      <c r="M604" s="2" t="inlineStr">
        <is>
          <t>Hi Pain Be Gone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4" s="4" t="inlineStr">
        <is>
          <t>Open map</t>
        </is>
      </c>
      <c r="O604" s="2" t="inlineStr">
        <is>
          <t>Not contacted</t>
        </is>
      </c>
      <c r="P604" s="2" t="inlineStr"/>
      <c r="Q604" s="2" t="inlineStr"/>
      <c r="R604" s="2" t="inlineStr"/>
      <c r="S604" s="2" t="inlineStr"/>
    </row>
    <row r="605">
      <c r="A605" s="2" t="n">
        <v>604</v>
      </c>
      <c r="B605" s="6" t="inlineStr">
        <is>
          <t>MEDIUM</t>
        </is>
      </c>
      <c r="C605" s="2" t="inlineStr">
        <is>
          <t>Weak website</t>
        </is>
      </c>
      <c r="D605" s="2" t="inlineStr">
        <is>
          <t>The Wellness Team</t>
        </is>
      </c>
      <c r="E605" s="2" t="inlineStr">
        <is>
          <t>physiotherapist</t>
        </is>
      </c>
      <c r="F605" s="2" t="inlineStr">
        <is>
          <t>Brisbane</t>
        </is>
      </c>
      <c r="G605" s="2" t="inlineStr">
        <is>
          <t>Instagram</t>
        </is>
      </c>
      <c r="H605" s="4" t="inlineStr">
        <is>
          <t>https://www.instagram.com/thewellnessteamau</t>
        </is>
      </c>
      <c r="I605" s="4" t="inlineStr">
        <is>
          <t>https://www.facebook.com/The-Wellness-Team-111804103676374</t>
        </is>
      </c>
      <c r="J605" s="2" t="inlineStr"/>
      <c r="K605" s="4" t="inlineStr">
        <is>
          <t>https://thewellnessteam.com.au/</t>
        </is>
      </c>
      <c r="L605" s="2" t="inlineStr">
        <is>
          <t>slow to load (5.8s)</t>
        </is>
      </c>
      <c r="M605" s="2" t="inlineStr">
        <is>
          <t>Hi The Wellness Team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05" s="4" t="inlineStr">
        <is>
          <t>Open map</t>
        </is>
      </c>
      <c r="O605" s="2" t="inlineStr">
        <is>
          <t>Not contacted</t>
        </is>
      </c>
      <c r="P605" s="2" t="inlineStr"/>
      <c r="Q605" s="2" t="inlineStr"/>
      <c r="R605" s="2" t="inlineStr"/>
      <c r="S605" s="2" t="inlineStr"/>
    </row>
    <row r="606">
      <c r="A606" s="2" t="n">
        <v>605</v>
      </c>
      <c r="B606" s="6" t="inlineStr">
        <is>
          <t>MEDIUM</t>
        </is>
      </c>
      <c r="C606" s="2" t="inlineStr">
        <is>
          <t>Weak website</t>
        </is>
      </c>
      <c r="D606" s="2" t="inlineStr">
        <is>
          <t>Total Health Physiotherapy</t>
        </is>
      </c>
      <c r="E606" s="2" t="inlineStr">
        <is>
          <t>physiotherapist</t>
        </is>
      </c>
      <c r="F606" s="2" t="inlineStr">
        <is>
          <t>Brisbane</t>
        </is>
      </c>
      <c r="G606" s="2" t="inlineStr">
        <is>
          <t>Instagram</t>
        </is>
      </c>
      <c r="H606" s="4" t="inlineStr">
        <is>
          <t>https://www.instagram.com/total_health_physiotherapy/</t>
        </is>
      </c>
      <c r="I606" s="4" t="inlineStr">
        <is>
          <t>https://www.facebook.com/people/Total-Health-Physiotherapy-Kedron/61559653365900/</t>
        </is>
      </c>
      <c r="J606" s="2" t="inlineStr">
        <is>
          <t>+61 7 3180 4677</t>
        </is>
      </c>
      <c r="K606" s="4" t="inlineStr">
        <is>
          <t>https://totalhealthphysiotherapy.com.au/</t>
        </is>
      </c>
      <c r="L606" s="2" t="inlineStr">
        <is>
          <t>slow to load (4.7s)</t>
        </is>
      </c>
      <c r="M606" s="2" t="inlineStr">
        <is>
          <t>Hi Total Health Physiotherapy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06" s="4" t="inlineStr">
        <is>
          <t>Open map</t>
        </is>
      </c>
      <c r="O606" s="2" t="inlineStr">
        <is>
          <t>Not contacted</t>
        </is>
      </c>
      <c r="P606" s="2" t="inlineStr"/>
      <c r="Q606" s="2" t="inlineStr"/>
      <c r="R606" s="2" t="inlineStr"/>
      <c r="S606" s="2" t="inlineStr"/>
    </row>
    <row r="607">
      <c r="A607" s="2" t="n">
        <v>606</v>
      </c>
      <c r="B607" s="6" t="inlineStr">
        <is>
          <t>MEDIUM</t>
        </is>
      </c>
      <c r="C607" s="2" t="inlineStr">
        <is>
          <t>Weak website</t>
        </is>
      </c>
      <c r="D607" s="2" t="inlineStr">
        <is>
          <t>Wilston Physiotherapy &amp; Massage</t>
        </is>
      </c>
      <c r="E607" s="2" t="inlineStr">
        <is>
          <t>physiotherapist</t>
        </is>
      </c>
      <c r="F607" s="2" t="inlineStr">
        <is>
          <t>Brisbane</t>
        </is>
      </c>
      <c r="G607" s="2" t="inlineStr">
        <is>
          <t>Instagram</t>
        </is>
      </c>
      <c r="H607" s="4" t="inlineStr">
        <is>
          <t>https://www.instagram.com/wilstonphysiotherapy</t>
        </is>
      </c>
      <c r="I607" s="2" t="inlineStr"/>
      <c r="J607" s="2" t="inlineStr"/>
      <c r="K607" s="4" t="inlineStr">
        <is>
          <t>https://wilstonphysiotherapy.com.au/</t>
        </is>
      </c>
      <c r="L607" s="2" t="inlineStr">
        <is>
          <t>slow to load (4.9s)</t>
        </is>
      </c>
      <c r="M607" s="2" t="inlineStr">
        <is>
          <t>Hi Wilston Physiotherapy &amp; Massage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07" s="4" t="inlineStr">
        <is>
          <t>Open map</t>
        </is>
      </c>
      <c r="O607" s="2" t="inlineStr">
        <is>
          <t>Not contacted</t>
        </is>
      </c>
      <c r="P607" s="2" t="inlineStr"/>
      <c r="Q607" s="2" t="inlineStr"/>
      <c r="R607" s="2" t="inlineStr"/>
      <c r="S607" s="2" t="inlineStr"/>
    </row>
    <row r="608">
      <c r="A608" s="2" t="n">
        <v>607</v>
      </c>
      <c r="B608" s="6" t="inlineStr">
        <is>
          <t>MEDIUM</t>
        </is>
      </c>
      <c r="C608" s="2" t="inlineStr">
        <is>
          <t>Weak website</t>
        </is>
      </c>
      <c r="D608" s="2" t="inlineStr">
        <is>
          <t>Atlan Stormwater</t>
        </is>
      </c>
      <c r="E608" s="2" t="inlineStr">
        <is>
          <t>plumber</t>
        </is>
      </c>
      <c r="F608" s="2" t="inlineStr">
        <is>
          <t>Brisbane</t>
        </is>
      </c>
      <c r="G608" s="2" t="inlineStr">
        <is>
          <t>Instagram</t>
        </is>
      </c>
      <c r="H608" s="4" t="inlineStr">
        <is>
          <t>https://www.instagram.com/atlanstormwater</t>
        </is>
      </c>
      <c r="I608" s="4" t="inlineStr">
        <is>
          <t>https://www.facebook.com/atlanstormwater</t>
        </is>
      </c>
      <c r="J608" s="2" t="inlineStr">
        <is>
          <t>+61 7 3271 6960</t>
        </is>
      </c>
      <c r="K608" s="4" t="inlineStr">
        <is>
          <t>https://atlan.com.au/contact/</t>
        </is>
      </c>
      <c r="L608" s="2" t="inlineStr">
        <is>
          <t>no HTTPS (browser shows 'Not secure')</t>
        </is>
      </c>
      <c r="M608" s="2" t="inlineStr">
        <is>
          <t>Hi Atlan Stormwater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8" s="4" t="inlineStr">
        <is>
          <t>Open map</t>
        </is>
      </c>
      <c r="O608" s="2" t="inlineStr">
        <is>
          <t>Not contacted</t>
        </is>
      </c>
      <c r="P608" s="2" t="inlineStr"/>
      <c r="Q608" s="2" t="inlineStr"/>
      <c r="R608" s="2" t="inlineStr"/>
      <c r="S608" s="2" t="inlineStr"/>
    </row>
    <row r="609">
      <c r="A609" s="2" t="n">
        <v>608</v>
      </c>
      <c r="B609" s="6" t="inlineStr">
        <is>
          <t>MEDIUM</t>
        </is>
      </c>
      <c r="C609" s="2" t="inlineStr">
        <is>
          <t>Weak website</t>
        </is>
      </c>
      <c r="D609" s="2" t="inlineStr">
        <is>
          <t>Bones Accounting</t>
        </is>
      </c>
      <c r="E609" s="2" t="inlineStr">
        <is>
          <t>professional services</t>
        </is>
      </c>
      <c r="F609" s="2" t="inlineStr">
        <is>
          <t>Brisbane</t>
        </is>
      </c>
      <c r="G609" s="2" t="inlineStr">
        <is>
          <t>Instagram</t>
        </is>
      </c>
      <c r="H609" s="4" t="inlineStr">
        <is>
          <t>https://instagram.com/bones_accounting</t>
        </is>
      </c>
      <c r="I609" s="4" t="inlineStr">
        <is>
          <t>https://www.facebook.com/BonesAccounting</t>
        </is>
      </c>
      <c r="J609" s="2" t="inlineStr"/>
      <c r="K609" s="4" t="inlineStr">
        <is>
          <t>https://bonesaccounting.com/</t>
        </is>
      </c>
      <c r="L609" s="2" t="inlineStr">
        <is>
          <t>looks outdated (copyright 2021); missing meta description</t>
        </is>
      </c>
      <c r="M609" s="2" t="inlineStr">
        <is>
          <t>Hi Bones Accounting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9" s="4" t="inlineStr">
        <is>
          <t>Open map</t>
        </is>
      </c>
      <c r="O609" s="2" t="inlineStr">
        <is>
          <t>Not contacted</t>
        </is>
      </c>
      <c r="P609" s="2" t="inlineStr"/>
      <c r="Q609" s="2" t="inlineStr"/>
      <c r="R609" s="2" t="inlineStr"/>
      <c r="S609" s="2" t="inlineStr"/>
    </row>
    <row r="610">
      <c r="A610" s="2" t="n">
        <v>609</v>
      </c>
      <c r="B610" s="6" t="inlineStr">
        <is>
          <t>MEDIUM</t>
        </is>
      </c>
      <c r="C610" s="2" t="inlineStr">
        <is>
          <t>Weak website</t>
        </is>
      </c>
      <c r="D610" s="2" t="inlineStr">
        <is>
          <t>Creagh Weightman Lawyers</t>
        </is>
      </c>
      <c r="E610" s="2" t="inlineStr">
        <is>
          <t>professional services</t>
        </is>
      </c>
      <c r="F610" s="2" t="inlineStr">
        <is>
          <t>Brisbane</t>
        </is>
      </c>
      <c r="G610" s="2" t="inlineStr">
        <is>
          <t>Facebook</t>
        </is>
      </c>
      <c r="H610" s="2" t="inlineStr"/>
      <c r="I610" s="4" t="inlineStr">
        <is>
          <t>https://www.facebook.com/CreaghWeightman</t>
        </is>
      </c>
      <c r="J610" s="2" t="inlineStr"/>
      <c r="K610" s="4" t="inlineStr">
        <is>
          <t>https://www.cwl.com.au/</t>
        </is>
      </c>
      <c r="L610" s="2" t="inlineStr">
        <is>
          <t>looks outdated (copyright 2022)</t>
        </is>
      </c>
      <c r="M610" s="2" t="inlineStr">
        <is>
          <t>Hi Creagh Weightman Lawyers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0" s="4" t="inlineStr">
        <is>
          <t>Open map</t>
        </is>
      </c>
      <c r="O610" s="2" t="inlineStr">
        <is>
          <t>Not contacted</t>
        </is>
      </c>
      <c r="P610" s="2" t="inlineStr"/>
      <c r="Q610" s="2" t="inlineStr"/>
      <c r="R610" s="2" t="inlineStr"/>
      <c r="S610" s="2" t="inlineStr"/>
    </row>
    <row r="611">
      <c r="A611" s="2" t="n">
        <v>610</v>
      </c>
      <c r="B611" s="6" t="inlineStr">
        <is>
          <t>MEDIUM</t>
        </is>
      </c>
      <c r="C611" s="2" t="inlineStr">
        <is>
          <t>Weak website</t>
        </is>
      </c>
      <c r="D611" s="2" t="inlineStr">
        <is>
          <t>Hollingworth &amp; Spencer Lawyers</t>
        </is>
      </c>
      <c r="E611" s="2" t="inlineStr">
        <is>
          <t>professional services</t>
        </is>
      </c>
      <c r="F611" s="2" t="inlineStr">
        <is>
          <t>Brisbane</t>
        </is>
      </c>
      <c r="G611" s="2" t="inlineStr">
        <is>
          <t>Facebook</t>
        </is>
      </c>
      <c r="H611" s="2" t="inlineStr"/>
      <c r="I611" s="4" t="inlineStr">
        <is>
          <t>https://www.facebook.com/hollingworthandspencer</t>
        </is>
      </c>
      <c r="J611" s="2" t="inlineStr">
        <is>
          <t>+61 7 3123 5750</t>
        </is>
      </c>
      <c r="K611" s="4" t="inlineStr">
        <is>
          <t>http://www.hslawyers.com.au/about/</t>
        </is>
      </c>
      <c r="L611" s="2" t="inlineStr">
        <is>
          <t>missing meta description; slow to load (4.7s)</t>
        </is>
      </c>
      <c r="M611" s="2" t="inlineStr">
        <is>
          <t>Hi Hollingworth &amp; Spencer Lawyers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11" s="4" t="inlineStr">
        <is>
          <t>Open map</t>
        </is>
      </c>
      <c r="O611" s="2" t="inlineStr">
        <is>
          <t>Not contacted</t>
        </is>
      </c>
      <c r="P611" s="2" t="inlineStr"/>
      <c r="Q611" s="2" t="inlineStr"/>
      <c r="R611" s="2" t="inlineStr"/>
      <c r="S611" s="2" t="inlineStr"/>
    </row>
    <row r="612">
      <c r="A612" s="2" t="n">
        <v>611</v>
      </c>
      <c r="B612" s="6" t="inlineStr">
        <is>
          <t>MEDIUM</t>
        </is>
      </c>
      <c r="C612" s="2" t="inlineStr">
        <is>
          <t>Weak website</t>
        </is>
      </c>
      <c r="D612" s="2" t="inlineStr">
        <is>
          <t>Icon Legal</t>
        </is>
      </c>
      <c r="E612" s="2" t="inlineStr">
        <is>
          <t>professional services</t>
        </is>
      </c>
      <c r="F612" s="2" t="inlineStr">
        <is>
          <t>Brisbane</t>
        </is>
      </c>
      <c r="G612" s="2" t="inlineStr">
        <is>
          <t>Facebook</t>
        </is>
      </c>
      <c r="H612" s="2" t="inlineStr"/>
      <c r="I612" s="4" t="inlineStr">
        <is>
          <t>https://www.facebook.com/IconLegal</t>
        </is>
      </c>
      <c r="J612" s="2" t="inlineStr">
        <is>
          <t>+61 7 3399 6006</t>
        </is>
      </c>
      <c r="K612" s="4" t="inlineStr">
        <is>
          <t>https://iconlegal.com.au/</t>
        </is>
      </c>
      <c r="L612" s="2" t="inlineStr">
        <is>
          <t>looks outdated (copyright 2021)</t>
        </is>
      </c>
      <c r="M612" s="2" t="inlineStr">
        <is>
          <t>Hi Icon Legal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2" s="4" t="inlineStr">
        <is>
          <t>Open map</t>
        </is>
      </c>
      <c r="O612" s="2" t="inlineStr">
        <is>
          <t>Not contacted</t>
        </is>
      </c>
      <c r="P612" s="2" t="inlineStr"/>
      <c r="Q612" s="2" t="inlineStr"/>
      <c r="R612" s="2" t="inlineStr"/>
      <c r="S612" s="2" t="inlineStr"/>
    </row>
    <row r="613">
      <c r="A613" s="2" t="n">
        <v>612</v>
      </c>
      <c r="B613" s="6" t="inlineStr">
        <is>
          <t>MEDIUM</t>
        </is>
      </c>
      <c r="C613" s="2" t="inlineStr">
        <is>
          <t>Weak website</t>
        </is>
      </c>
      <c r="D613" s="2" t="inlineStr">
        <is>
          <t>North Brisbane Mortgage Brokers</t>
        </is>
      </c>
      <c r="E613" s="2" t="inlineStr">
        <is>
          <t>professional services</t>
        </is>
      </c>
      <c r="F613" s="2" t="inlineStr">
        <is>
          <t>Brisbane</t>
        </is>
      </c>
      <c r="G613" s="2" t="inlineStr">
        <is>
          <t>Instagram</t>
        </is>
      </c>
      <c r="H613" s="4" t="inlineStr">
        <is>
          <t>https://www.instagram.com/northbrisbanemortgagebrokers/</t>
        </is>
      </c>
      <c r="I613" s="4" t="inlineStr">
        <is>
          <t>https://www.facebook.com/northbrisbanemortgagebrokers/</t>
        </is>
      </c>
      <c r="J613" s="2" t="inlineStr">
        <is>
          <t>+61 434 553 744</t>
        </is>
      </c>
      <c r="K613" s="4" t="inlineStr">
        <is>
          <t>https://www.northbrisbanemortgagebrokers.com.au/</t>
        </is>
      </c>
      <c r="L613" s="2" t="inlineStr">
        <is>
          <t>looks outdated (copyright 2022)</t>
        </is>
      </c>
      <c r="M613" s="2" t="inlineStr">
        <is>
          <t>Hi North Brisbane Mortgage Brokers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3" s="4" t="inlineStr">
        <is>
          <t>Open map</t>
        </is>
      </c>
      <c r="O613" s="2" t="inlineStr">
        <is>
          <t>Not contacted</t>
        </is>
      </c>
      <c r="P613" s="2" t="inlineStr"/>
      <c r="Q613" s="2" t="inlineStr"/>
      <c r="R613" s="2" t="inlineStr"/>
      <c r="S613" s="2" t="inlineStr"/>
    </row>
    <row r="614">
      <c r="A614" s="2" t="n">
        <v>613</v>
      </c>
      <c r="B614" s="6" t="inlineStr">
        <is>
          <t>MEDIUM</t>
        </is>
      </c>
      <c r="C614" s="2" t="inlineStr">
        <is>
          <t>Weak website</t>
        </is>
      </c>
      <c r="D614" s="2" t="inlineStr">
        <is>
          <t>Gabba Central Apartments</t>
        </is>
      </c>
      <c r="E614" s="2" t="inlineStr">
        <is>
          <t>real estate agent</t>
        </is>
      </c>
      <c r="F614" s="2" t="inlineStr">
        <is>
          <t>Brisbane</t>
        </is>
      </c>
      <c r="G614" s="2" t="inlineStr">
        <is>
          <t>Instagram</t>
        </is>
      </c>
      <c r="H614" s="4" t="inlineStr">
        <is>
          <t>https://www.instagram.com/gabbacentralapartments</t>
        </is>
      </c>
      <c r="I614" s="4" t="inlineStr">
        <is>
          <t>https://www.facebook.com/gabbacentralapartments</t>
        </is>
      </c>
      <c r="J614" s="2" t="inlineStr"/>
      <c r="K614" s="4" t="inlineStr">
        <is>
          <t>https://www.gabbacentralapartments.com.au/</t>
        </is>
      </c>
      <c r="L614" s="2" t="inlineStr">
        <is>
          <t>missing meta description; slow to load (3.6s)</t>
        </is>
      </c>
      <c r="M614" s="2" t="inlineStr">
        <is>
          <t>Hi Gabba Central Apartments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14" s="4" t="inlineStr">
        <is>
          <t>Open map</t>
        </is>
      </c>
      <c r="O614" s="2" t="inlineStr">
        <is>
          <t>Not contacted</t>
        </is>
      </c>
      <c r="P614" s="2" t="inlineStr"/>
      <c r="Q614" s="2" t="inlineStr"/>
      <c r="R614" s="2" t="inlineStr"/>
      <c r="S614" s="2" t="inlineStr"/>
    </row>
    <row r="615">
      <c r="A615" s="2" t="n">
        <v>614</v>
      </c>
      <c r="B615" s="6" t="inlineStr">
        <is>
          <t>MEDIUM</t>
        </is>
      </c>
      <c r="C615" s="2" t="inlineStr">
        <is>
          <t>Weak website</t>
        </is>
      </c>
      <c r="D615" s="2" t="inlineStr">
        <is>
          <t>Hive Student Accommodation</t>
        </is>
      </c>
      <c r="E615" s="2" t="inlineStr">
        <is>
          <t>real estate agent</t>
        </is>
      </c>
      <c r="F615" s="2" t="inlineStr">
        <is>
          <t>Brisbane</t>
        </is>
      </c>
      <c r="G615" s="2" t="inlineStr">
        <is>
          <t>Instagram</t>
        </is>
      </c>
      <c r="H615" s="4" t="inlineStr">
        <is>
          <t>https://www.instagram.com/hivestudentaccomm</t>
        </is>
      </c>
      <c r="I615" s="4" t="inlineStr">
        <is>
          <t>https://www.facebook.com/hivestudentaccommodation</t>
        </is>
      </c>
      <c r="J615" s="2" t="inlineStr"/>
      <c r="K615" s="4" t="inlineStr">
        <is>
          <t>https://www.hivepropertygroup.com/</t>
        </is>
      </c>
      <c r="L615" s="2" t="inlineStr">
        <is>
          <t>looks outdated (copyright 2021)</t>
        </is>
      </c>
      <c r="M615" s="2" t="inlineStr">
        <is>
          <t>Hi Hive Student Accommodation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5" s="4" t="inlineStr">
        <is>
          <t>Open map</t>
        </is>
      </c>
      <c r="O615" s="2" t="inlineStr">
        <is>
          <t>Not contacted</t>
        </is>
      </c>
      <c r="P615" s="2" t="inlineStr"/>
      <c r="Q615" s="2" t="inlineStr"/>
      <c r="R615" s="2" t="inlineStr"/>
      <c r="S615" s="2" t="inlineStr"/>
    </row>
    <row r="616">
      <c r="A616" s="2" t="n">
        <v>615</v>
      </c>
      <c r="B616" s="6" t="inlineStr">
        <is>
          <t>MEDIUM</t>
        </is>
      </c>
      <c r="C616" s="2" t="inlineStr">
        <is>
          <t>Weak website</t>
        </is>
      </c>
      <c r="D616" s="2" t="inlineStr">
        <is>
          <t>MSL Project Sales</t>
        </is>
      </c>
      <c r="E616" s="2" t="inlineStr">
        <is>
          <t>real estate agent</t>
        </is>
      </c>
      <c r="F616" s="2" t="inlineStr">
        <is>
          <t>Brisbane</t>
        </is>
      </c>
      <c r="G616" s="2" t="inlineStr">
        <is>
          <t>Instagram</t>
        </is>
      </c>
      <c r="H616" s="4" t="inlineStr">
        <is>
          <t>https://www.instagram.com/mslpropertygroup</t>
        </is>
      </c>
      <c r="I616" s="4" t="inlineStr">
        <is>
          <t>https://www.facebook.com/mslpropertygroup</t>
        </is>
      </c>
      <c r="J616" s="2" t="inlineStr">
        <is>
          <t>+61 7 3397 1885</t>
        </is>
      </c>
      <c r="K616" s="4" t="inlineStr">
        <is>
          <t>https://www.mslpropertygroup.com.au/</t>
        </is>
      </c>
      <c r="L616" s="2" t="inlineStr">
        <is>
          <t>missing meta description</t>
        </is>
      </c>
      <c r="M616" s="2" t="inlineStr">
        <is>
          <t>Hi MSL Project Sales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6" s="4" t="inlineStr">
        <is>
          <t>Open map</t>
        </is>
      </c>
      <c r="O616" s="2" t="inlineStr">
        <is>
          <t>Not contacted</t>
        </is>
      </c>
      <c r="P616" s="2" t="inlineStr"/>
      <c r="Q616" s="2" t="inlineStr"/>
      <c r="R616" s="2" t="inlineStr"/>
      <c r="S616" s="2" t="inlineStr"/>
    </row>
    <row r="617">
      <c r="A617" s="2" t="n">
        <v>616</v>
      </c>
      <c r="B617" s="6" t="inlineStr">
        <is>
          <t>MEDIUM</t>
        </is>
      </c>
      <c r="C617" s="2" t="inlineStr">
        <is>
          <t>Weak website</t>
        </is>
      </c>
      <c r="D617" s="2" t="inlineStr">
        <is>
          <t>NGU Real Estate</t>
        </is>
      </c>
      <c r="E617" s="2" t="inlineStr">
        <is>
          <t>real estate agent</t>
        </is>
      </c>
      <c r="F617" s="2" t="inlineStr">
        <is>
          <t>Brisbane</t>
        </is>
      </c>
      <c r="G617" s="2" t="inlineStr">
        <is>
          <t>Instagram</t>
        </is>
      </c>
      <c r="H617" s="4" t="inlineStr">
        <is>
          <t>https://www.instagram.com/ngu_real_estate</t>
        </is>
      </c>
      <c r="I617" s="4" t="inlineStr">
        <is>
          <t>https://www.facebook.com/ngurealestate</t>
        </is>
      </c>
      <c r="J617" s="2" t="inlineStr">
        <is>
          <t>+61 7 3279 0036</t>
        </is>
      </c>
      <c r="K617" s="4" t="inlineStr">
        <is>
          <t>http://ngusouthwest.com.au/</t>
        </is>
      </c>
      <c r="L617" s="2" t="inlineStr">
        <is>
          <t>missing meta description</t>
        </is>
      </c>
      <c r="M617" s="2" t="inlineStr">
        <is>
          <t>Hi NGU Real Estate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7" s="4" t="inlineStr">
        <is>
          <t>Open map</t>
        </is>
      </c>
      <c r="O617" s="2" t="inlineStr">
        <is>
          <t>Not contacted</t>
        </is>
      </c>
      <c r="P617" s="2" t="inlineStr"/>
      <c r="Q617" s="2" t="inlineStr"/>
      <c r="R617" s="2" t="inlineStr"/>
      <c r="S617" s="2" t="inlineStr"/>
    </row>
    <row r="618">
      <c r="A618" s="2" t="n">
        <v>617</v>
      </c>
      <c r="B618" s="6" t="inlineStr">
        <is>
          <t>MEDIUM</t>
        </is>
      </c>
      <c r="C618" s="2" t="inlineStr">
        <is>
          <t>Weak website</t>
        </is>
      </c>
      <c r="D618" s="2" t="inlineStr">
        <is>
          <t>Piccolo Property</t>
        </is>
      </c>
      <c r="E618" s="2" t="inlineStr">
        <is>
          <t>real estate agent</t>
        </is>
      </c>
      <c r="F618" s="2" t="inlineStr">
        <is>
          <t>Brisbane</t>
        </is>
      </c>
      <c r="G618" s="2" t="inlineStr">
        <is>
          <t>Instagram</t>
        </is>
      </c>
      <c r="H618" s="4" t="inlineStr">
        <is>
          <t>https://www.instagram.com/piccoloproperty</t>
        </is>
      </c>
      <c r="I618" s="4" t="inlineStr">
        <is>
          <t>https://www.facebook.com/piccoloproperty.brisbane</t>
        </is>
      </c>
      <c r="J618" s="2" t="inlineStr">
        <is>
          <t>+61 434 232 688</t>
        </is>
      </c>
      <c r="K618" s="4" t="inlineStr">
        <is>
          <t>https://piccoloproperty.com.au/</t>
        </is>
      </c>
      <c r="L618" s="2" t="inlineStr">
        <is>
          <t>looks outdated (copyright 2020); missing meta description</t>
        </is>
      </c>
      <c r="M618" s="2" t="inlineStr">
        <is>
          <t>Hi Piccolo Property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8" s="4" t="inlineStr">
        <is>
          <t>Open map</t>
        </is>
      </c>
      <c r="O618" s="2" t="inlineStr">
        <is>
          <t>Not contacted</t>
        </is>
      </c>
      <c r="P618" s="2" t="inlineStr"/>
      <c r="Q618" s="2" t="inlineStr"/>
      <c r="R618" s="2" t="inlineStr"/>
      <c r="S618" s="2" t="inlineStr"/>
    </row>
    <row r="619">
      <c r="A619" s="2" t="n">
        <v>618</v>
      </c>
      <c r="B619" s="6" t="inlineStr">
        <is>
          <t>MEDIUM</t>
        </is>
      </c>
      <c r="C619" s="2" t="inlineStr">
        <is>
          <t>Weak website</t>
        </is>
      </c>
      <c r="D619" s="2" t="inlineStr">
        <is>
          <t>Pinnacle Properties</t>
        </is>
      </c>
      <c r="E619" s="2" t="inlineStr">
        <is>
          <t>real estate agent</t>
        </is>
      </c>
      <c r="F619" s="2" t="inlineStr">
        <is>
          <t>Brisbane</t>
        </is>
      </c>
      <c r="G619" s="2" t="inlineStr">
        <is>
          <t>Instagram</t>
        </is>
      </c>
      <c r="H619" s="4" t="inlineStr">
        <is>
          <t>https://www.instagram.com/pinnaclepropertiesqld</t>
        </is>
      </c>
      <c r="I619" s="4" t="inlineStr">
        <is>
          <t>https://www.facebook.com/PinnaclePropertiesQldPtyLtd</t>
        </is>
      </c>
      <c r="J619" s="2" t="inlineStr"/>
      <c r="K619" s="4" t="inlineStr">
        <is>
          <t>https://www.pinnacleproperties.com.au/</t>
        </is>
      </c>
      <c r="L619" s="2" t="inlineStr">
        <is>
          <t>missing meta description</t>
        </is>
      </c>
      <c r="M619" s="2" t="inlineStr">
        <is>
          <t>Hi Pinnacle Properties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19" s="4" t="inlineStr">
        <is>
          <t>Open map</t>
        </is>
      </c>
      <c r="O619" s="2" t="inlineStr">
        <is>
          <t>Not contacted</t>
        </is>
      </c>
      <c r="P619" s="2" t="inlineStr"/>
      <c r="Q619" s="2" t="inlineStr"/>
      <c r="R619" s="2" t="inlineStr"/>
      <c r="S619" s="2" t="inlineStr"/>
    </row>
    <row r="620">
      <c r="A620" s="2" t="n">
        <v>619</v>
      </c>
      <c r="B620" s="6" t="inlineStr">
        <is>
          <t>MEDIUM</t>
        </is>
      </c>
      <c r="C620" s="2" t="inlineStr">
        <is>
          <t>Weak website</t>
        </is>
      </c>
      <c r="D620" s="2" t="inlineStr">
        <is>
          <t>Professionals</t>
        </is>
      </c>
      <c r="E620" s="2" t="inlineStr">
        <is>
          <t>real estate agent</t>
        </is>
      </c>
      <c r="F620" s="2" t="inlineStr">
        <is>
          <t>Brisbane</t>
        </is>
      </c>
      <c r="G620" s="2" t="inlineStr">
        <is>
          <t>Instagram</t>
        </is>
      </c>
      <c r="H620" s="4" t="inlineStr">
        <is>
          <t>https://www.instagram.com/professionals_real_estate</t>
        </is>
      </c>
      <c r="I620" s="4" t="inlineStr">
        <is>
          <t>https://www.facebook.com/ProfessionalsAus</t>
        </is>
      </c>
      <c r="J620" s="2" t="inlineStr"/>
      <c r="K620" s="4" t="inlineStr">
        <is>
          <t>https://www.professionals.com.au/redcliffe/?order_by=id&amp;order=asc</t>
        </is>
      </c>
      <c r="L620" s="2" t="inlineStr">
        <is>
          <t>missing meta description</t>
        </is>
      </c>
      <c r="M620" s="2" t="inlineStr">
        <is>
          <t>Hi Professionals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0" s="4" t="inlineStr">
        <is>
          <t>Open map</t>
        </is>
      </c>
      <c r="O620" s="2" t="inlineStr">
        <is>
          <t>Not contacted</t>
        </is>
      </c>
      <c r="P620" s="2" t="inlineStr"/>
      <c r="Q620" s="2" t="inlineStr"/>
      <c r="R620" s="2" t="inlineStr"/>
      <c r="S620" s="2" t="inlineStr"/>
    </row>
    <row r="621">
      <c r="A621" s="2" t="n">
        <v>620</v>
      </c>
      <c r="B621" s="6" t="inlineStr">
        <is>
          <t>MEDIUM</t>
        </is>
      </c>
      <c r="C621" s="2" t="inlineStr">
        <is>
          <t>Weak website</t>
        </is>
      </c>
      <c r="D621" s="2" t="inlineStr">
        <is>
          <t>5 Dogs</t>
        </is>
      </c>
      <c r="E621" s="2" t="inlineStr">
        <is>
          <t>restaurant</t>
        </is>
      </c>
      <c r="F621" s="2" t="inlineStr">
        <is>
          <t>Brisbane</t>
        </is>
      </c>
      <c r="G621" s="2" t="inlineStr">
        <is>
          <t>Instagram</t>
        </is>
      </c>
      <c r="H621" s="4" t="inlineStr">
        <is>
          <t>https://www.instagram.com/5dogshotdogs</t>
        </is>
      </c>
      <c r="I621" s="4" t="inlineStr">
        <is>
          <t>https://www.facebook.com/5dogsaustralia</t>
        </is>
      </c>
      <c r="J621" s="2" t="inlineStr"/>
      <c r="K621" s="4" t="inlineStr">
        <is>
          <t>https://www.5dogs.com.au/</t>
        </is>
      </c>
      <c r="L621" s="2" t="inlineStr">
        <is>
          <t>missing meta description</t>
        </is>
      </c>
      <c r="M621" s="2" t="inlineStr">
        <is>
          <t>Hi 5 Dogs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1" s="4" t="inlineStr">
        <is>
          <t>Open map</t>
        </is>
      </c>
      <c r="O621" s="2" t="inlineStr">
        <is>
          <t>Not contacted</t>
        </is>
      </c>
      <c r="P621" s="2" t="inlineStr"/>
      <c r="Q621" s="2" t="inlineStr"/>
      <c r="R621" s="2" t="inlineStr"/>
      <c r="S621" s="2" t="inlineStr"/>
    </row>
    <row r="622">
      <c r="A622" s="2" t="n">
        <v>621</v>
      </c>
      <c r="B622" s="6" t="inlineStr">
        <is>
          <t>MEDIUM</t>
        </is>
      </c>
      <c r="C622" s="2" t="inlineStr">
        <is>
          <t>Weak website</t>
        </is>
      </c>
      <c r="D622" s="2" t="inlineStr">
        <is>
          <t>Amazing Thai Brisbane</t>
        </is>
      </c>
      <c r="E622" s="2" t="inlineStr">
        <is>
          <t>restaurant</t>
        </is>
      </c>
      <c r="F622" s="2" t="inlineStr">
        <is>
          <t>Brisbane</t>
        </is>
      </c>
      <c r="G622" s="2" t="inlineStr">
        <is>
          <t>Facebook</t>
        </is>
      </c>
      <c r="H622" s="2" t="inlineStr"/>
      <c r="I622" s="4" t="inlineStr">
        <is>
          <t>https://www.facebook.com/amazingthai</t>
        </is>
      </c>
      <c r="J622" s="2" t="inlineStr">
        <is>
          <t>+61 7 3855 1334</t>
        </is>
      </c>
      <c r="K622" s="4" t="inlineStr">
        <is>
          <t>https://www.amazingthai.com.au/</t>
        </is>
      </c>
      <c r="L622" s="2" t="inlineStr">
        <is>
          <t>slow to load (4.1s)</t>
        </is>
      </c>
      <c r="M622" s="2" t="inlineStr">
        <is>
          <t>Hi Amazing Thai Brisbane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22" s="4" t="inlineStr">
        <is>
          <t>Open map</t>
        </is>
      </c>
      <c r="O622" s="2" t="inlineStr">
        <is>
          <t>Not contacted</t>
        </is>
      </c>
      <c r="P622" s="2" t="inlineStr"/>
      <c r="Q622" s="2" t="inlineStr"/>
      <c r="R622" s="2" t="inlineStr"/>
      <c r="S622" s="2" t="inlineStr"/>
    </row>
    <row r="623">
      <c r="A623" s="2" t="n">
        <v>622</v>
      </c>
      <c r="B623" s="6" t="inlineStr">
        <is>
          <t>MEDIUM</t>
        </is>
      </c>
      <c r="C623" s="2" t="inlineStr">
        <is>
          <t>Weak website</t>
        </is>
      </c>
      <c r="D623" s="2" t="inlineStr">
        <is>
          <t>Antica</t>
        </is>
      </c>
      <c r="E623" s="2" t="inlineStr">
        <is>
          <t>restaurant</t>
        </is>
      </c>
      <c r="F623" s="2" t="inlineStr">
        <is>
          <t>Brisbane</t>
        </is>
      </c>
      <c r="G623" s="2" t="inlineStr">
        <is>
          <t>Instagram</t>
        </is>
      </c>
      <c r="H623" s="4" t="inlineStr">
        <is>
          <t>https://www.instagram.com/antica.wilston</t>
        </is>
      </c>
      <c r="I623" s="4" t="inlineStr">
        <is>
          <t>http://www.facebook.com/Antica.Wilston</t>
        </is>
      </c>
      <c r="J623" s="2" t="inlineStr">
        <is>
          <t>+61 7 3358 4150</t>
        </is>
      </c>
      <c r="K623" s="4" t="inlineStr">
        <is>
          <t>https://www.anticapizzeria.net.au/</t>
        </is>
      </c>
      <c r="L623" s="2" t="inlineStr">
        <is>
          <t>looks outdated (copyright 2022)</t>
        </is>
      </c>
      <c r="M623" s="2" t="inlineStr">
        <is>
          <t>Hi Antica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3" s="4" t="inlineStr">
        <is>
          <t>Open map</t>
        </is>
      </c>
      <c r="O623" s="2" t="inlineStr">
        <is>
          <t>Not contacted</t>
        </is>
      </c>
      <c r="P623" s="2" t="inlineStr"/>
      <c r="Q623" s="2" t="inlineStr"/>
      <c r="R623" s="2" t="inlineStr"/>
      <c r="S623" s="2" t="inlineStr"/>
    </row>
    <row r="624">
      <c r="A624" s="2" t="n">
        <v>623</v>
      </c>
      <c r="B624" s="6" t="inlineStr">
        <is>
          <t>MEDIUM</t>
        </is>
      </c>
      <c r="C624" s="2" t="inlineStr">
        <is>
          <t>Weak website</t>
        </is>
      </c>
      <c r="D624" s="2" t="inlineStr">
        <is>
          <t>Azteca Brisbane</t>
        </is>
      </c>
      <c r="E624" s="2" t="inlineStr">
        <is>
          <t>restaurant</t>
        </is>
      </c>
      <c r="F624" s="2" t="inlineStr">
        <is>
          <t>Brisbane</t>
        </is>
      </c>
      <c r="G624" s="2" t="inlineStr">
        <is>
          <t>Instagram</t>
        </is>
      </c>
      <c r="H624" s="4" t="inlineStr">
        <is>
          <t>https://www.instagram.com/aztecabrisbane</t>
        </is>
      </c>
      <c r="I624" s="2" t="inlineStr"/>
      <c r="J624" s="2" t="inlineStr">
        <is>
          <t>+61 7 3377 3420</t>
        </is>
      </c>
      <c r="K624" s="4" t="inlineStr">
        <is>
          <t>https://azteca.com.au/</t>
        </is>
      </c>
      <c r="L624" s="2" t="inlineStr">
        <is>
          <t>could not check (site refused automated visit, HTTP 403)</t>
        </is>
      </c>
      <c r="M624" s="2" t="inlineStr">
        <is>
          <t>Hi Azteca Brisbane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4" s="4" t="inlineStr">
        <is>
          <t>Open map</t>
        </is>
      </c>
      <c r="O624" s="2" t="inlineStr">
        <is>
          <t>Not contacted</t>
        </is>
      </c>
      <c r="P624" s="2" t="inlineStr"/>
      <c r="Q624" s="2" t="inlineStr"/>
      <c r="R624" s="2" t="inlineStr"/>
      <c r="S624" s="2" t="inlineStr"/>
    </row>
    <row r="625">
      <c r="A625" s="2" t="n">
        <v>624</v>
      </c>
      <c r="B625" s="6" t="inlineStr">
        <is>
          <t>MEDIUM</t>
        </is>
      </c>
      <c r="C625" s="2" t="inlineStr">
        <is>
          <t>Weak website</t>
        </is>
      </c>
      <c r="D625" s="2" t="inlineStr">
        <is>
          <t>Banh Mi</t>
        </is>
      </c>
      <c r="E625" s="2" t="inlineStr">
        <is>
          <t>restaurant</t>
        </is>
      </c>
      <c r="F625" s="2" t="inlineStr">
        <is>
          <t>Brisbane</t>
        </is>
      </c>
      <c r="G625" s="2" t="inlineStr">
        <is>
          <t>Instagram</t>
        </is>
      </c>
      <c r="H625" s="4" t="inlineStr">
        <is>
          <t>https://www.instagram.com/banhmifactory</t>
        </is>
      </c>
      <c r="I625" s="4" t="inlineStr">
        <is>
          <t>https://www.facebook.com/banhmifactory</t>
        </is>
      </c>
      <c r="J625" s="2" t="inlineStr"/>
      <c r="K625" s="4" t="inlineStr">
        <is>
          <t>https://www.banhmifactory.com.au/</t>
        </is>
      </c>
      <c r="L625" s="2" t="inlineStr">
        <is>
          <t>slow to load (3.5s)</t>
        </is>
      </c>
      <c r="M625" s="2" t="inlineStr">
        <is>
          <t>Hi Banh Mi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25" s="4" t="inlineStr">
        <is>
          <t>Open map</t>
        </is>
      </c>
      <c r="O625" s="2" t="inlineStr">
        <is>
          <t>Not contacted</t>
        </is>
      </c>
      <c r="P625" s="2" t="inlineStr"/>
      <c r="Q625" s="2" t="inlineStr"/>
      <c r="R625" s="2" t="inlineStr"/>
      <c r="S625" s="2" t="inlineStr"/>
    </row>
    <row r="626">
      <c r="A626" s="2" t="n">
        <v>625</v>
      </c>
      <c r="B626" s="6" t="inlineStr">
        <is>
          <t>MEDIUM</t>
        </is>
      </c>
      <c r="C626" s="2" t="inlineStr">
        <is>
          <t>Weak website</t>
        </is>
      </c>
      <c r="D626" s="2" t="inlineStr">
        <is>
          <t>Banh Mi Factory</t>
        </is>
      </c>
      <c r="E626" s="2" t="inlineStr">
        <is>
          <t>restaurant</t>
        </is>
      </c>
      <c r="F626" s="2" t="inlineStr">
        <is>
          <t>Brisbane</t>
        </is>
      </c>
      <c r="G626" s="2" t="inlineStr">
        <is>
          <t>Instagram</t>
        </is>
      </c>
      <c r="H626" s="4" t="inlineStr">
        <is>
          <t>https://www.instagram.com/banhmifactory</t>
        </is>
      </c>
      <c r="I626" s="4" t="inlineStr">
        <is>
          <t>https://www.facebook.com/banhmifactory</t>
        </is>
      </c>
      <c r="J626" s="2" t="inlineStr"/>
      <c r="K626" s="4" t="inlineStr">
        <is>
          <t>https://www.banhmifactory.com.au/</t>
        </is>
      </c>
      <c r="L626" s="2" t="inlineStr">
        <is>
          <t>slow to load (6.0s)</t>
        </is>
      </c>
      <c r="M626" s="2" t="inlineStr">
        <is>
          <t>Hi Banh Mi Factory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26" s="4" t="inlineStr">
        <is>
          <t>Open map</t>
        </is>
      </c>
      <c r="O626" s="2" t="inlineStr">
        <is>
          <t>Not contacted</t>
        </is>
      </c>
      <c r="P626" s="2" t="inlineStr"/>
      <c r="Q626" s="2" t="inlineStr"/>
      <c r="R626" s="2" t="inlineStr"/>
      <c r="S626" s="2" t="inlineStr"/>
    </row>
    <row r="627">
      <c r="A627" s="2" t="n">
        <v>626</v>
      </c>
      <c r="B627" s="6" t="inlineStr">
        <is>
          <t>MEDIUM</t>
        </is>
      </c>
      <c r="C627" s="2" t="inlineStr">
        <is>
          <t>Weak website</t>
        </is>
      </c>
      <c r="D627" s="2" t="inlineStr">
        <is>
          <t>Burrito Bar</t>
        </is>
      </c>
      <c r="E627" s="2" t="inlineStr">
        <is>
          <t>restaurant</t>
        </is>
      </c>
      <c r="F627" s="2" t="inlineStr">
        <is>
          <t>Brisbane</t>
        </is>
      </c>
      <c r="G627" s="2" t="inlineStr">
        <is>
          <t>Instagram</t>
        </is>
      </c>
      <c r="H627" s="4" t="inlineStr">
        <is>
          <t>https://instagram.com/burritobar_</t>
        </is>
      </c>
      <c r="I627" s="4" t="inlineStr">
        <is>
          <t>https://www.facebook.com/TheBurritoBar</t>
        </is>
      </c>
      <c r="J627" s="2" t="inlineStr"/>
      <c r="K627" s="4" t="inlineStr">
        <is>
          <t>http://theburritobar.com.au</t>
        </is>
      </c>
      <c r="L627" s="2" t="inlineStr">
        <is>
          <t>no HTTPS (browser shows 'Not secure'); looks outdated (copyright 2023)</t>
        </is>
      </c>
      <c r="M627" s="2" t="inlineStr">
        <is>
          <t>Hi Burrito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7" s="4" t="inlineStr">
        <is>
          <t>Open map</t>
        </is>
      </c>
      <c r="O627" s="2" t="inlineStr">
        <is>
          <t>Not contacted</t>
        </is>
      </c>
      <c r="P627" s="2" t="inlineStr"/>
      <c r="Q627" s="2" t="inlineStr"/>
      <c r="R627" s="2" t="inlineStr"/>
      <c r="S627" s="2" t="inlineStr"/>
    </row>
    <row r="628">
      <c r="A628" s="2" t="n">
        <v>627</v>
      </c>
      <c r="B628" s="6" t="inlineStr">
        <is>
          <t>MEDIUM</t>
        </is>
      </c>
      <c r="C628" s="2" t="inlineStr">
        <is>
          <t>Weak website</t>
        </is>
      </c>
      <c r="D628" s="2" t="inlineStr">
        <is>
          <t>Cartel del Taco</t>
        </is>
      </c>
      <c r="E628" s="2" t="inlineStr">
        <is>
          <t>restaurant</t>
        </is>
      </c>
      <c r="F628" s="2" t="inlineStr">
        <is>
          <t>Brisbane</t>
        </is>
      </c>
      <c r="G628" s="2" t="inlineStr">
        <is>
          <t>Instagram</t>
        </is>
      </c>
      <c r="H628" s="4" t="inlineStr">
        <is>
          <t>https://www.instagram.com/carteldeltacobrisbane</t>
        </is>
      </c>
      <c r="I628" s="4" t="inlineStr">
        <is>
          <t>https://www.facebook.com/carteldeltacobrisbane</t>
        </is>
      </c>
      <c r="J628" s="2" t="inlineStr">
        <is>
          <t>+61 7 3096 0516</t>
        </is>
      </c>
      <c r="K628" s="4" t="inlineStr">
        <is>
          <t>https://carteldeltaco.com.au/</t>
        </is>
      </c>
      <c r="L628" s="2" t="inlineStr">
        <is>
          <t>slow to load (16.6s)</t>
        </is>
      </c>
      <c r="M628" s="2" t="inlineStr">
        <is>
          <t>Hi Cartel del Taco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28" s="4" t="inlineStr">
        <is>
          <t>Open map</t>
        </is>
      </c>
      <c r="O628" s="2" t="inlineStr">
        <is>
          <t>Not contacted</t>
        </is>
      </c>
      <c r="P628" s="2" t="inlineStr"/>
      <c r="Q628" s="2" t="inlineStr"/>
      <c r="R628" s="2" t="inlineStr"/>
      <c r="S628" s="2" t="inlineStr"/>
    </row>
    <row r="629">
      <c r="A629" s="2" t="n">
        <v>628</v>
      </c>
      <c r="B629" s="6" t="inlineStr">
        <is>
          <t>MEDIUM</t>
        </is>
      </c>
      <c r="C629" s="2" t="inlineStr">
        <is>
          <t>Weak website</t>
        </is>
      </c>
      <c r="D629" s="2" t="inlineStr">
        <is>
          <t>Chu the Phat</t>
        </is>
      </c>
      <c r="E629" s="2" t="inlineStr">
        <is>
          <t>restaurant</t>
        </is>
      </c>
      <c r="F629" s="2" t="inlineStr">
        <is>
          <t>Brisbane</t>
        </is>
      </c>
      <c r="G629" s="2" t="inlineStr">
        <is>
          <t>Instagram</t>
        </is>
      </c>
      <c r="H629" s="4" t="inlineStr">
        <is>
          <t>https://www.instagram.com/chuthephat_bris</t>
        </is>
      </c>
      <c r="I629" s="4" t="inlineStr">
        <is>
          <t>https://www.facebook.com/ChuthePhat</t>
        </is>
      </c>
      <c r="J629" s="2" t="inlineStr"/>
      <c r="K629" s="4" t="inlineStr">
        <is>
          <t>https://chuthephat.com.au/</t>
        </is>
      </c>
      <c r="L629" s="2" t="inlineStr">
        <is>
          <t>missing meta description</t>
        </is>
      </c>
      <c r="M629" s="2" t="inlineStr">
        <is>
          <t>Hi Chu the Phat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29" s="4" t="inlineStr">
        <is>
          <t>Open map</t>
        </is>
      </c>
      <c r="O629" s="2" t="inlineStr">
        <is>
          <t>Not contacted</t>
        </is>
      </c>
      <c r="P629" s="2" t="inlineStr"/>
      <c r="Q629" s="2" t="inlineStr"/>
      <c r="R629" s="2" t="inlineStr"/>
      <c r="S629" s="2" t="inlineStr"/>
    </row>
    <row r="630">
      <c r="A630" s="2" t="n">
        <v>629</v>
      </c>
      <c r="B630" s="6" t="inlineStr">
        <is>
          <t>MEDIUM</t>
        </is>
      </c>
      <c r="C630" s="2" t="inlineStr">
        <is>
          <t>Weak website</t>
        </is>
      </c>
      <c r="D630" s="2" t="inlineStr">
        <is>
          <t>Costa's Seafood Cafe</t>
        </is>
      </c>
      <c r="E630" s="2" t="inlineStr">
        <is>
          <t>restaurant</t>
        </is>
      </c>
      <c r="F630" s="2" t="inlineStr">
        <is>
          <t>Brisbane</t>
        </is>
      </c>
      <c r="G630" s="2" t="inlineStr">
        <is>
          <t>Instagram</t>
        </is>
      </c>
      <c r="H630" s="4" t="inlineStr">
        <is>
          <t>https://www.instagram.com/costasseafood</t>
        </is>
      </c>
      <c r="I630" s="4" t="inlineStr">
        <is>
          <t>https://www.facebook.com/costasseafood</t>
        </is>
      </c>
      <c r="J630" s="2" t="inlineStr">
        <is>
          <t>+61 7 3245 1199</t>
        </is>
      </c>
      <c r="K630" s="4" t="inlineStr">
        <is>
          <t>https://www.costasseafood.com.au/</t>
        </is>
      </c>
      <c r="L630" s="2" t="inlineStr">
        <is>
          <t>missing meta description</t>
        </is>
      </c>
      <c r="M630" s="2" t="inlineStr">
        <is>
          <t>Hi Costa's Seafood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0" s="4" t="inlineStr">
        <is>
          <t>Open map</t>
        </is>
      </c>
      <c r="O630" s="2" t="inlineStr">
        <is>
          <t>Not contacted</t>
        </is>
      </c>
      <c r="P630" s="2" t="inlineStr"/>
      <c r="Q630" s="2" t="inlineStr"/>
      <c r="R630" s="2" t="inlineStr"/>
      <c r="S630" s="2" t="inlineStr"/>
    </row>
    <row r="631">
      <c r="A631" s="2" t="n">
        <v>630</v>
      </c>
      <c r="B631" s="6" t="inlineStr">
        <is>
          <t>MEDIUM</t>
        </is>
      </c>
      <c r="C631" s="2" t="inlineStr">
        <is>
          <t>Weak website</t>
        </is>
      </c>
      <c r="D631" s="2" t="inlineStr">
        <is>
          <t>David's Master Pot 大味麻辣烫(Brisbane One- QLD) - Malatang, hotpot</t>
        </is>
      </c>
      <c r="E631" s="2" t="inlineStr">
        <is>
          <t>restaurant</t>
        </is>
      </c>
      <c r="F631" s="2" t="inlineStr">
        <is>
          <t>Brisbane</t>
        </is>
      </c>
      <c r="G631" s="2" t="inlineStr">
        <is>
          <t>Instagram</t>
        </is>
      </c>
      <c r="H631" s="4" t="inlineStr">
        <is>
          <t>https://www.instagram.com/davidsmasterpotqld</t>
        </is>
      </c>
      <c r="I631" s="4" t="inlineStr">
        <is>
          <t>https://www.facebook.com/103381278317726</t>
        </is>
      </c>
      <c r="J631" s="2" t="inlineStr">
        <is>
          <t>+61 451 156 091</t>
        </is>
      </c>
      <c r="K631" s="4" t="inlineStr">
        <is>
          <t>https://www.davidsmasterpot.com.au/</t>
        </is>
      </c>
      <c r="L631" s="2" t="inlineStr">
        <is>
          <t>slow to load (3.4s)</t>
        </is>
      </c>
      <c r="M631" s="2" t="inlineStr">
        <is>
          <t>Hi David's Master Pot 大味麻辣烫(Brisbane One- QLD) - Malatang, hotpot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31" s="4" t="inlineStr">
        <is>
          <t>Open map</t>
        </is>
      </c>
      <c r="O631" s="2" t="inlineStr">
        <is>
          <t>Not contacted</t>
        </is>
      </c>
      <c r="P631" s="2" t="inlineStr"/>
      <c r="Q631" s="2" t="inlineStr"/>
      <c r="R631" s="2" t="inlineStr"/>
      <c r="S631" s="2" t="inlineStr"/>
    </row>
    <row r="632">
      <c r="A632" s="2" t="n">
        <v>631</v>
      </c>
      <c r="B632" s="6" t="inlineStr">
        <is>
          <t>MEDIUM</t>
        </is>
      </c>
      <c r="C632" s="2" t="inlineStr">
        <is>
          <t>Weak website</t>
        </is>
      </c>
      <c r="D632" s="2" t="inlineStr">
        <is>
          <t>Dosa Hut Indian Multi Cuisine</t>
        </is>
      </c>
      <c r="E632" s="2" t="inlineStr">
        <is>
          <t>restaurant</t>
        </is>
      </c>
      <c r="F632" s="2" t="inlineStr">
        <is>
          <t>Brisbane</t>
        </is>
      </c>
      <c r="G632" s="2" t="inlineStr">
        <is>
          <t>Instagram</t>
        </is>
      </c>
      <c r="H632" s="4" t="inlineStr">
        <is>
          <t>https://www.instagram.com/dosahutau</t>
        </is>
      </c>
      <c r="I632" s="4" t="inlineStr">
        <is>
          <t>https://www.facebook.com/dosahutofficial</t>
        </is>
      </c>
      <c r="J632" s="2" t="inlineStr">
        <is>
          <t>+61 422 508 829</t>
        </is>
      </c>
      <c r="K632" s="4" t="inlineStr">
        <is>
          <t>https://www.dosahut.net.au/indian-restaurant-stafford/</t>
        </is>
      </c>
      <c r="L632" s="2" t="inlineStr">
        <is>
          <t>slow to load (3.3s)</t>
        </is>
      </c>
      <c r="M632" s="2" t="inlineStr">
        <is>
          <t>Hi Dosa Hut Indian Multi Cuisine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32" s="4" t="inlineStr">
        <is>
          <t>Open map</t>
        </is>
      </c>
      <c r="O632" s="2" t="inlineStr">
        <is>
          <t>Not contacted</t>
        </is>
      </c>
      <c r="P632" s="2" t="inlineStr"/>
      <c r="Q632" s="2" t="inlineStr"/>
      <c r="R632" s="2" t="inlineStr"/>
      <c r="S632" s="2" t="inlineStr"/>
    </row>
    <row r="633">
      <c r="A633" s="2" t="n">
        <v>632</v>
      </c>
      <c r="B633" s="6" t="inlineStr">
        <is>
          <t>MEDIUM</t>
        </is>
      </c>
      <c r="C633" s="2" t="inlineStr">
        <is>
          <t>Weak website</t>
        </is>
      </c>
      <c r="D633" s="2" t="inlineStr">
        <is>
          <t>Icarus</t>
        </is>
      </c>
      <c r="E633" s="2" t="inlineStr">
        <is>
          <t>restaurant</t>
        </is>
      </c>
      <c r="F633" s="2" t="inlineStr">
        <is>
          <t>Brisbane</t>
        </is>
      </c>
      <c r="G633" s="2" t="inlineStr">
        <is>
          <t>Instagram</t>
        </is>
      </c>
      <c r="H633" s="4" t="inlineStr">
        <is>
          <t>https://www.instagram.com/icarusmygreek</t>
        </is>
      </c>
      <c r="I633" s="4" t="inlineStr">
        <is>
          <t>https://www.facebook.com/icarusmygreek</t>
        </is>
      </c>
      <c r="J633" s="2" t="inlineStr">
        <is>
          <t>+61 7 3715 8154</t>
        </is>
      </c>
      <c r="K633" s="4" t="inlineStr">
        <is>
          <t>https://icarusrestaurant.com.au</t>
        </is>
      </c>
      <c r="L633" s="2" t="inlineStr">
        <is>
          <t>missing meta description</t>
        </is>
      </c>
      <c r="M633" s="2" t="inlineStr">
        <is>
          <t>Hi Icarus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3" s="4" t="inlineStr">
        <is>
          <t>Open map</t>
        </is>
      </c>
      <c r="O633" s="2" t="inlineStr">
        <is>
          <t>Not contacted</t>
        </is>
      </c>
      <c r="P633" s="2" t="inlineStr"/>
      <c r="Q633" s="2" t="inlineStr"/>
      <c r="R633" s="2" t="inlineStr"/>
      <c r="S633" s="2" t="inlineStr"/>
    </row>
    <row r="634">
      <c r="A634" s="2" t="n">
        <v>633</v>
      </c>
      <c r="B634" s="6" t="inlineStr">
        <is>
          <t>MEDIUM</t>
        </is>
      </c>
      <c r="C634" s="2" t="inlineStr">
        <is>
          <t>Weak website</t>
        </is>
      </c>
      <c r="D634" s="2" t="inlineStr">
        <is>
          <t>Il Lago Italian</t>
        </is>
      </c>
      <c r="E634" s="2" t="inlineStr">
        <is>
          <t>restaurant</t>
        </is>
      </c>
      <c r="F634" s="2" t="inlineStr">
        <is>
          <t>Brisbane</t>
        </is>
      </c>
      <c r="G634" s="2" t="inlineStr">
        <is>
          <t>Instagram</t>
        </is>
      </c>
      <c r="H634" s="4" t="inlineStr">
        <is>
          <t>https://www.instagram.com/illagomangohill</t>
        </is>
      </c>
      <c r="I634" s="4" t="inlineStr">
        <is>
          <t>https://www.facebook.com/illagomangohill</t>
        </is>
      </c>
      <c r="J634" s="2" t="inlineStr">
        <is>
          <t>+61 7 3283 4462</t>
        </is>
      </c>
      <c r="K634" s="4" t="inlineStr">
        <is>
          <t>https://www.illago.au/</t>
        </is>
      </c>
      <c r="L634" s="2" t="inlineStr">
        <is>
          <t>looks outdated (copyright 2023)</t>
        </is>
      </c>
      <c r="M634" s="2" t="inlineStr">
        <is>
          <t>Hi Il Lago Italian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4" s="4" t="inlineStr">
        <is>
          <t>Open map</t>
        </is>
      </c>
      <c r="O634" s="2" t="inlineStr">
        <is>
          <t>Not contacted</t>
        </is>
      </c>
      <c r="P634" s="2" t="inlineStr"/>
      <c r="Q634" s="2" t="inlineStr"/>
      <c r="R634" s="2" t="inlineStr"/>
      <c r="S634" s="2" t="inlineStr"/>
    </row>
    <row r="635">
      <c r="A635" s="2" t="n">
        <v>634</v>
      </c>
      <c r="B635" s="6" t="inlineStr">
        <is>
          <t>MEDIUM</t>
        </is>
      </c>
      <c r="C635" s="2" t="inlineStr">
        <is>
          <t>Weak website</t>
        </is>
      </c>
      <c r="D635" s="2" t="inlineStr">
        <is>
          <t>Lantern &amp; Lotus</t>
        </is>
      </c>
      <c r="E635" s="2" t="inlineStr">
        <is>
          <t>restaurant</t>
        </is>
      </c>
      <c r="F635" s="2" t="inlineStr">
        <is>
          <t>Brisbane</t>
        </is>
      </c>
      <c r="G635" s="2" t="inlineStr">
        <is>
          <t>Instagram</t>
        </is>
      </c>
      <c r="H635" s="4" t="inlineStr">
        <is>
          <t>https://www.instagram.com/lanternlotus</t>
        </is>
      </c>
      <c r="I635" s="2" t="inlineStr"/>
      <c r="J635" s="2" t="inlineStr">
        <is>
          <t>+61 7 3369 8019</t>
        </is>
      </c>
      <c r="K635" s="4" t="inlineStr">
        <is>
          <t>https://www.lanternlotus.com.au/</t>
        </is>
      </c>
      <c r="L635" s="2" t="inlineStr">
        <is>
          <t>missing meta description</t>
        </is>
      </c>
      <c r="M635" s="2" t="inlineStr">
        <is>
          <t>Hi Lantern &amp; Lotus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5" s="4" t="inlineStr">
        <is>
          <t>Open map</t>
        </is>
      </c>
      <c r="O635" s="2" t="inlineStr">
        <is>
          <t>Not contacted</t>
        </is>
      </c>
      <c r="P635" s="2" t="inlineStr"/>
      <c r="Q635" s="2" t="inlineStr"/>
      <c r="R635" s="2" t="inlineStr"/>
      <c r="S635" s="2" t="inlineStr"/>
    </row>
    <row r="636">
      <c r="A636" s="2" t="n">
        <v>635</v>
      </c>
      <c r="B636" s="6" t="inlineStr">
        <is>
          <t>MEDIUM</t>
        </is>
      </c>
      <c r="C636" s="2" t="inlineStr">
        <is>
          <t>Weak website</t>
        </is>
      </c>
      <c r="D636" s="2" t="inlineStr">
        <is>
          <t>Lemak</t>
        </is>
      </c>
      <c r="E636" s="2" t="inlineStr">
        <is>
          <t>restaurant</t>
        </is>
      </c>
      <c r="F636" s="2" t="inlineStr">
        <is>
          <t>Brisbane</t>
        </is>
      </c>
      <c r="G636" s="2" t="inlineStr">
        <is>
          <t>Instagram</t>
        </is>
      </c>
      <c r="H636" s="4" t="inlineStr">
        <is>
          <t>https://www.instagram.com/lemakexpress</t>
        </is>
      </c>
      <c r="I636" s="4" t="inlineStr">
        <is>
          <t>https://www.facebook.com/2350099321672846</t>
        </is>
      </c>
      <c r="J636" s="2" t="inlineStr">
        <is>
          <t>+61 7 3393 2982</t>
        </is>
      </c>
      <c r="K636" s="4" t="inlineStr">
        <is>
          <t>https://lemak.com.au/</t>
        </is>
      </c>
      <c r="L636" s="2" t="inlineStr">
        <is>
          <t>looks outdated (copyright 2020)</t>
        </is>
      </c>
      <c r="M636" s="2" t="inlineStr">
        <is>
          <t>Hi Lemak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6" s="4" t="inlineStr">
        <is>
          <t>Open map</t>
        </is>
      </c>
      <c r="O636" s="2" t="inlineStr">
        <is>
          <t>Not contacted</t>
        </is>
      </c>
      <c r="P636" s="2" t="inlineStr"/>
      <c r="Q636" s="2" t="inlineStr"/>
      <c r="R636" s="2" t="inlineStr"/>
      <c r="S636" s="2" t="inlineStr"/>
    </row>
    <row r="637">
      <c r="A637" s="2" t="n">
        <v>636</v>
      </c>
      <c r="B637" s="6" t="inlineStr">
        <is>
          <t>MEDIUM</t>
        </is>
      </c>
      <c r="C637" s="2" t="inlineStr">
        <is>
          <t>Weak website</t>
        </is>
      </c>
      <c r="D637" s="2" t="inlineStr">
        <is>
          <t>Lemark</t>
        </is>
      </c>
      <c r="E637" s="2" t="inlineStr">
        <is>
          <t>restaurant</t>
        </is>
      </c>
      <c r="F637" s="2" t="inlineStr">
        <is>
          <t>Brisbane</t>
        </is>
      </c>
      <c r="G637" s="2" t="inlineStr">
        <is>
          <t>Instagram</t>
        </is>
      </c>
      <c r="H637" s="4" t="inlineStr">
        <is>
          <t>https://www.instagram.com/lemakexpress</t>
        </is>
      </c>
      <c r="I637" s="4" t="inlineStr">
        <is>
          <t>https://www.facebook.com/2350099321672846</t>
        </is>
      </c>
      <c r="J637" s="2" t="inlineStr">
        <is>
          <t>+61 451 854 813</t>
        </is>
      </c>
      <c r="K637" s="4" t="inlineStr">
        <is>
          <t>https://lemak.com.au/</t>
        </is>
      </c>
      <c r="L637" s="2" t="inlineStr">
        <is>
          <t>looks outdated (copyright 2020)</t>
        </is>
      </c>
      <c r="M637" s="2" t="inlineStr">
        <is>
          <t>Hi Lemark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7" s="4" t="inlineStr">
        <is>
          <t>Open map</t>
        </is>
      </c>
      <c r="O637" s="2" t="inlineStr">
        <is>
          <t>Not contacted</t>
        </is>
      </c>
      <c r="P637" s="2" t="inlineStr"/>
      <c r="Q637" s="2" t="inlineStr"/>
      <c r="R637" s="2" t="inlineStr"/>
      <c r="S637" s="2" t="inlineStr"/>
    </row>
    <row r="638">
      <c r="A638" s="2" t="n">
        <v>637</v>
      </c>
      <c r="B638" s="6" t="inlineStr">
        <is>
          <t>MEDIUM</t>
        </is>
      </c>
      <c r="C638" s="2" t="inlineStr">
        <is>
          <t>Weak website</t>
        </is>
      </c>
      <c r="D638" s="2" t="inlineStr">
        <is>
          <t>Lilong West End</t>
        </is>
      </c>
      <c r="E638" s="2" t="inlineStr">
        <is>
          <t>restaurant</t>
        </is>
      </c>
      <c r="F638" s="2" t="inlineStr">
        <is>
          <t>Brisbane</t>
        </is>
      </c>
      <c r="G638" s="2" t="inlineStr">
        <is>
          <t>Instagram</t>
        </is>
      </c>
      <c r="H638" s="4" t="inlineStr">
        <is>
          <t>https://www.instagram.com/tasteofshanghai</t>
        </is>
      </c>
      <c r="I638" s="4" t="inlineStr">
        <is>
          <t>https://www.facebook.com/tasteofshanghaiaus</t>
        </is>
      </c>
      <c r="J638" s="2" t="inlineStr">
        <is>
          <t>+61 478 235 886</t>
        </is>
      </c>
      <c r="K638" s="4" t="inlineStr">
        <is>
          <t>https://tasteofshanghai.com.au/lilong-2/</t>
        </is>
      </c>
      <c r="L638" s="2" t="inlineStr">
        <is>
          <t>looks outdated (copyright 2022); missing meta description; slow to load (3.5s)</t>
        </is>
      </c>
      <c r="M638" s="2" t="inlineStr">
        <is>
          <t>Hi Lilong West End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38" s="4" t="inlineStr">
        <is>
          <t>Open map</t>
        </is>
      </c>
      <c r="O638" s="2" t="inlineStr">
        <is>
          <t>Not contacted</t>
        </is>
      </c>
      <c r="P638" s="2" t="inlineStr"/>
      <c r="Q638" s="2" t="inlineStr"/>
      <c r="R638" s="2" t="inlineStr"/>
      <c r="S638" s="2" t="inlineStr"/>
    </row>
    <row r="639">
      <c r="A639" s="2" t="n">
        <v>638</v>
      </c>
      <c r="B639" s="6" t="inlineStr">
        <is>
          <t>MEDIUM</t>
        </is>
      </c>
      <c r="C639" s="2" t="inlineStr">
        <is>
          <t>Weak website</t>
        </is>
      </c>
      <c r="D639" s="2" t="inlineStr">
        <is>
          <t>Little Red Dumpling</t>
        </is>
      </c>
      <c r="E639" s="2" t="inlineStr">
        <is>
          <t>restaurant</t>
        </is>
      </c>
      <c r="F639" s="2" t="inlineStr">
        <is>
          <t>Brisbane</t>
        </is>
      </c>
      <c r="G639" s="2" t="inlineStr">
        <is>
          <t>Instagram</t>
        </is>
      </c>
      <c r="H639" s="4" t="inlineStr">
        <is>
          <t>https://www.instagram.com/littlereddumpling</t>
        </is>
      </c>
      <c r="I639" s="4" t="inlineStr">
        <is>
          <t>https://www.facebook.com/LittleRedDumpling</t>
        </is>
      </c>
      <c r="J639" s="2" t="inlineStr"/>
      <c r="K639" s="4" t="inlineStr">
        <is>
          <t>https://www.littlereddumpling.com.au/</t>
        </is>
      </c>
      <c r="L639" s="2" t="inlineStr">
        <is>
          <t>missing meta description</t>
        </is>
      </c>
      <c r="M639" s="2" t="inlineStr">
        <is>
          <t>Hi Little Red Dumpling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39" s="4" t="inlineStr">
        <is>
          <t>Open map</t>
        </is>
      </c>
      <c r="O639" s="2" t="inlineStr">
        <is>
          <t>Not contacted</t>
        </is>
      </c>
      <c r="P639" s="2" t="inlineStr"/>
      <c r="Q639" s="2" t="inlineStr"/>
      <c r="R639" s="2" t="inlineStr"/>
      <c r="S639" s="2" t="inlineStr"/>
    </row>
    <row r="640">
      <c r="A640" s="2" t="n">
        <v>639</v>
      </c>
      <c r="B640" s="6" t="inlineStr">
        <is>
          <t>MEDIUM</t>
        </is>
      </c>
      <c r="C640" s="2" t="inlineStr">
        <is>
          <t>Weak website</t>
        </is>
      </c>
      <c r="D640" s="2" t="inlineStr">
        <is>
          <t>Malt Dining</t>
        </is>
      </c>
      <c r="E640" s="2" t="inlineStr">
        <is>
          <t>restaurant</t>
        </is>
      </c>
      <c r="F640" s="2" t="inlineStr">
        <is>
          <t>Brisbane</t>
        </is>
      </c>
      <c r="G640" s="2" t="inlineStr">
        <is>
          <t>Instagram</t>
        </is>
      </c>
      <c r="H640" s="4" t="inlineStr">
        <is>
          <t>https://www.instagram.com/maltdining</t>
        </is>
      </c>
      <c r="I640" s="4" t="inlineStr">
        <is>
          <t>https://www.facebook.com/maltdining</t>
        </is>
      </c>
      <c r="J640" s="2" t="inlineStr"/>
      <c r="K640" s="4" t="inlineStr">
        <is>
          <t>https://www.maltdining.com.au/</t>
        </is>
      </c>
      <c r="L640" s="2" t="inlineStr">
        <is>
          <t>slow to load (4.3s)</t>
        </is>
      </c>
      <c r="M640" s="2" t="inlineStr">
        <is>
          <t>Hi Malt Dining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40" s="4" t="inlineStr">
        <is>
          <t>Open map</t>
        </is>
      </c>
      <c r="O640" s="2" t="inlineStr">
        <is>
          <t>Not contacted</t>
        </is>
      </c>
      <c r="P640" s="2" t="inlineStr"/>
      <c r="Q640" s="2" t="inlineStr"/>
      <c r="R640" s="2" t="inlineStr"/>
      <c r="S640" s="2" t="inlineStr"/>
    </row>
    <row r="641">
      <c r="A641" s="2" t="n">
        <v>640</v>
      </c>
      <c r="B641" s="6" t="inlineStr">
        <is>
          <t>MEDIUM</t>
        </is>
      </c>
      <c r="C641" s="2" t="inlineStr">
        <is>
          <t>Weak website</t>
        </is>
      </c>
      <c r="D641" s="2" t="inlineStr">
        <is>
          <t>Marlowe Restaurant</t>
        </is>
      </c>
      <c r="E641" s="2" t="inlineStr">
        <is>
          <t>restaurant</t>
        </is>
      </c>
      <c r="F641" s="2" t="inlineStr">
        <is>
          <t>Brisbane</t>
        </is>
      </c>
      <c r="G641" s="2" t="inlineStr">
        <is>
          <t>Instagram</t>
        </is>
      </c>
      <c r="H641" s="4" t="inlineStr">
        <is>
          <t>https://www.instagram.com/marlowebne</t>
        </is>
      </c>
      <c r="I641" s="4" t="inlineStr">
        <is>
          <t>https://www.facebook.com/friendsoffriendsgroup</t>
        </is>
      </c>
      <c r="J641" s="2" t="inlineStr">
        <is>
          <t>+61 7 3505 6412</t>
        </is>
      </c>
      <c r="K641" s="4" t="inlineStr">
        <is>
          <t>https://www.marlowebne.com.au/</t>
        </is>
      </c>
      <c r="L641" s="2" t="inlineStr">
        <is>
          <t>missing meta description</t>
        </is>
      </c>
      <c r="M641" s="2" t="inlineStr">
        <is>
          <t>Hi Marlowe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1" s="4" t="inlineStr">
        <is>
          <t>Open map</t>
        </is>
      </c>
      <c r="O641" s="2" t="inlineStr">
        <is>
          <t>Not contacted</t>
        </is>
      </c>
      <c r="P641" s="2" t="inlineStr"/>
      <c r="Q641" s="2" t="inlineStr"/>
      <c r="R641" s="2" t="inlineStr"/>
      <c r="S641" s="2" t="inlineStr"/>
    </row>
    <row r="642">
      <c r="A642" s="2" t="n">
        <v>641</v>
      </c>
      <c r="B642" s="6" t="inlineStr">
        <is>
          <t>MEDIUM</t>
        </is>
      </c>
      <c r="C642" s="2" t="inlineStr">
        <is>
          <t>Weak website</t>
        </is>
      </c>
      <c r="D642" s="2" t="inlineStr">
        <is>
          <t>Maru</t>
        </is>
      </c>
      <c r="E642" s="2" t="inlineStr">
        <is>
          <t>restaurant</t>
        </is>
      </c>
      <c r="F642" s="2" t="inlineStr">
        <is>
          <t>Brisbane</t>
        </is>
      </c>
      <c r="G642" s="2" t="inlineStr">
        <is>
          <t>Facebook</t>
        </is>
      </c>
      <c r="H642" s="2" t="inlineStr"/>
      <c r="I642" s="4" t="inlineStr">
        <is>
          <t>http://www.facebook.com/pages/Maru-Korean-Restaurant/170697606348616</t>
        </is>
      </c>
      <c r="J642" s="2" t="inlineStr"/>
      <c r="K642" s="4" t="inlineStr">
        <is>
          <t>https://marukoreanbbq.weebly.com/</t>
        </is>
      </c>
      <c r="L642" s="2" t="inlineStr">
        <is>
          <t>not mobile-friendly (no viewport tag); missing meta description</t>
        </is>
      </c>
      <c r="M642" s="2" t="inlineStr">
        <is>
          <t>Hi Maru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642" s="4" t="inlineStr">
        <is>
          <t>Open map</t>
        </is>
      </c>
      <c r="O642" s="2" t="inlineStr">
        <is>
          <t>Not contacted</t>
        </is>
      </c>
      <c r="P642" s="2" t="inlineStr"/>
      <c r="Q642" s="2" t="inlineStr"/>
      <c r="R642" s="2" t="inlineStr"/>
      <c r="S642" s="2" t="inlineStr"/>
    </row>
    <row r="643">
      <c r="A643" s="2" t="n">
        <v>642</v>
      </c>
      <c r="B643" s="6" t="inlineStr">
        <is>
          <t>MEDIUM</t>
        </is>
      </c>
      <c r="C643" s="2" t="inlineStr">
        <is>
          <t>Weak website</t>
        </is>
      </c>
      <c r="D643" s="2" t="inlineStr">
        <is>
          <t>Mono Dining</t>
        </is>
      </c>
      <c r="E643" s="2" t="inlineStr">
        <is>
          <t>restaurant</t>
        </is>
      </c>
      <c r="F643" s="2" t="inlineStr">
        <is>
          <t>Brisbane</t>
        </is>
      </c>
      <c r="G643" s="2" t="inlineStr">
        <is>
          <t>Instagram</t>
        </is>
      </c>
      <c r="H643" s="4" t="inlineStr">
        <is>
          <t>https://www.instagram.com/mono.dining</t>
        </is>
      </c>
      <c r="I643" s="4" t="inlineStr">
        <is>
          <t>https://www.facebook.com/wix</t>
        </is>
      </c>
      <c r="J643" s="2" t="inlineStr">
        <is>
          <t>+61 7 3150 8814</t>
        </is>
      </c>
      <c r="K643" s="4" t="inlineStr">
        <is>
          <t>https://www.monodining.com.au/</t>
        </is>
      </c>
      <c r="L643" s="2" t="inlineStr">
        <is>
          <t>looks outdated (copyright 2023); missing meta description</t>
        </is>
      </c>
      <c r="M643" s="2" t="inlineStr">
        <is>
          <t>Hi Mono Dining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3" s="4" t="inlineStr">
        <is>
          <t>Open map</t>
        </is>
      </c>
      <c r="O643" s="2" t="inlineStr">
        <is>
          <t>Not contacted</t>
        </is>
      </c>
      <c r="P643" s="2" t="inlineStr"/>
      <c r="Q643" s="2" t="inlineStr"/>
      <c r="R643" s="2" t="inlineStr"/>
      <c r="S643" s="2" t="inlineStr"/>
    </row>
    <row r="644">
      <c r="A644" s="2" t="n">
        <v>643</v>
      </c>
      <c r="B644" s="6" t="inlineStr">
        <is>
          <t>MEDIUM</t>
        </is>
      </c>
      <c r="C644" s="2" t="inlineStr">
        <is>
          <t>Weak website</t>
        </is>
      </c>
      <c r="D644" s="2" t="inlineStr">
        <is>
          <t>New Farm Seafood</t>
        </is>
      </c>
      <c r="E644" s="2" t="inlineStr">
        <is>
          <t>restaurant</t>
        </is>
      </c>
      <c r="F644" s="2" t="inlineStr">
        <is>
          <t>Brisbane</t>
        </is>
      </c>
      <c r="G644" s="2" t="inlineStr">
        <is>
          <t>Instagram</t>
        </is>
      </c>
      <c r="H644" s="4" t="inlineStr">
        <is>
          <t>https://www.instagram.com/newfarmseafoodmarket</t>
        </is>
      </c>
      <c r="I644" s="4" t="inlineStr">
        <is>
          <t>https://www.facebook.com/newfarmseafoodmarket</t>
        </is>
      </c>
      <c r="J644" s="2" t="inlineStr"/>
      <c r="K644" s="4" t="inlineStr">
        <is>
          <t>http://newfarmseafood.com.au/kitchen</t>
        </is>
      </c>
      <c r="L644" s="2" t="inlineStr">
        <is>
          <t>no HTTPS (browser shows 'Not secure'); missing meta description</t>
        </is>
      </c>
      <c r="M644" s="2" t="inlineStr">
        <is>
          <t>Hi New Farm Seafood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4" s="4" t="inlineStr">
        <is>
          <t>Open map</t>
        </is>
      </c>
      <c r="O644" s="2" t="inlineStr">
        <is>
          <t>Not contacted</t>
        </is>
      </c>
      <c r="P644" s="2" t="inlineStr"/>
      <c r="Q644" s="2" t="inlineStr"/>
      <c r="R644" s="2" t="inlineStr"/>
      <c r="S644" s="2" t="inlineStr"/>
    </row>
    <row r="645">
      <c r="A645" s="2" t="n">
        <v>644</v>
      </c>
      <c r="B645" s="6" t="inlineStr">
        <is>
          <t>MEDIUM</t>
        </is>
      </c>
      <c r="C645" s="2" t="inlineStr">
        <is>
          <t>Weak website</t>
        </is>
      </c>
      <c r="D645" s="2" t="inlineStr">
        <is>
          <t>Offano's Pizza</t>
        </is>
      </c>
      <c r="E645" s="2" t="inlineStr">
        <is>
          <t>restaurant</t>
        </is>
      </c>
      <c r="F645" s="2" t="inlineStr">
        <is>
          <t>Brisbane</t>
        </is>
      </c>
      <c r="G645" s="2" t="inlineStr">
        <is>
          <t>Instagram</t>
        </is>
      </c>
      <c r="H645" s="4" t="inlineStr">
        <is>
          <t>https://www.instagram.com/ofanospizza</t>
        </is>
      </c>
      <c r="I645" s="4" t="inlineStr">
        <is>
          <t>https://www.facebook.com/profile.php</t>
        </is>
      </c>
      <c r="J645" s="2" t="inlineStr">
        <is>
          <t>+61 7 3343 3323</t>
        </is>
      </c>
      <c r="K645" s="4" t="inlineStr">
        <is>
          <t>https://ofanospizza.com.au/</t>
        </is>
      </c>
      <c r="L645" s="2" t="inlineStr">
        <is>
          <t>missing meta description</t>
        </is>
      </c>
      <c r="M645" s="2" t="inlineStr">
        <is>
          <t>Hi Offano's Pizza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5" s="4" t="inlineStr">
        <is>
          <t>Open map</t>
        </is>
      </c>
      <c r="O645" s="2" t="inlineStr">
        <is>
          <t>Not contacted</t>
        </is>
      </c>
      <c r="P645" s="2" t="inlineStr"/>
      <c r="Q645" s="2" t="inlineStr"/>
      <c r="R645" s="2" t="inlineStr"/>
      <c r="S645" s="2" t="inlineStr"/>
    </row>
    <row r="646">
      <c r="A646" s="2" t="n">
        <v>645</v>
      </c>
      <c r="B646" s="6" t="inlineStr">
        <is>
          <t>MEDIUM</t>
        </is>
      </c>
      <c r="C646" s="2" t="inlineStr">
        <is>
          <t>Weak website</t>
        </is>
      </c>
      <c r="D646" s="2" t="inlineStr">
        <is>
          <t>Otto Osteria</t>
        </is>
      </c>
      <c r="E646" s="2" t="inlineStr">
        <is>
          <t>restaurant</t>
        </is>
      </c>
      <c r="F646" s="2" t="inlineStr">
        <is>
          <t>Brisbane</t>
        </is>
      </c>
      <c r="G646" s="2" t="inlineStr">
        <is>
          <t>Instagram</t>
        </is>
      </c>
      <c r="H646" s="4" t="inlineStr">
        <is>
          <t>https://www.instagram.com/ottobrisbane</t>
        </is>
      </c>
      <c r="I646" s="4" t="inlineStr">
        <is>
          <t>https://www.facebook.com/ottoristorantebrisbane</t>
        </is>
      </c>
      <c r="J646" s="2" t="inlineStr"/>
      <c r="K646" s="4" t="inlineStr">
        <is>
          <t>https://ottoristorante.com.au/brisbane/</t>
        </is>
      </c>
      <c r="L646" s="2" t="inlineStr">
        <is>
          <t>missing meta description</t>
        </is>
      </c>
      <c r="M646" s="2" t="inlineStr">
        <is>
          <t>Hi Otto Osteria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6" s="4" t="inlineStr">
        <is>
          <t>Open map</t>
        </is>
      </c>
      <c r="O646" s="2" t="inlineStr">
        <is>
          <t>Not contacted</t>
        </is>
      </c>
      <c r="P646" s="2" t="inlineStr"/>
      <c r="Q646" s="2" t="inlineStr"/>
      <c r="R646" s="2" t="inlineStr"/>
      <c r="S646" s="2" t="inlineStr"/>
    </row>
    <row r="647">
      <c r="A647" s="2" t="n">
        <v>646</v>
      </c>
      <c r="B647" s="6" t="inlineStr">
        <is>
          <t>MEDIUM</t>
        </is>
      </c>
      <c r="C647" s="2" t="inlineStr">
        <is>
          <t>Weak website</t>
        </is>
      </c>
      <c r="D647" s="2" t="inlineStr">
        <is>
          <t>Otto Ristorante</t>
        </is>
      </c>
      <c r="E647" s="2" t="inlineStr">
        <is>
          <t>restaurant</t>
        </is>
      </c>
      <c r="F647" s="2" t="inlineStr">
        <is>
          <t>Brisbane</t>
        </is>
      </c>
      <c r="G647" s="2" t="inlineStr">
        <is>
          <t>Instagram</t>
        </is>
      </c>
      <c r="H647" s="4" t="inlineStr">
        <is>
          <t>https://www.instagram.com/ottobrisbane</t>
        </is>
      </c>
      <c r="I647" s="4" t="inlineStr">
        <is>
          <t>https://www.facebook.com/ottoristorantebrisbane</t>
        </is>
      </c>
      <c r="J647" s="2" t="inlineStr">
        <is>
          <t>+61 7 3835 2888</t>
        </is>
      </c>
      <c r="K647" s="4" t="inlineStr">
        <is>
          <t>https://ottoristorante.com.au/brisbane</t>
        </is>
      </c>
      <c r="L647" s="2" t="inlineStr">
        <is>
          <t>missing meta description</t>
        </is>
      </c>
      <c r="M647" s="2" t="inlineStr">
        <is>
          <t>Hi Otto Ristorante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7" s="4" t="inlineStr">
        <is>
          <t>Open map</t>
        </is>
      </c>
      <c r="O647" s="2" t="inlineStr">
        <is>
          <t>Not contacted</t>
        </is>
      </c>
      <c r="P647" s="2" t="inlineStr"/>
      <c r="Q647" s="2" t="inlineStr"/>
      <c r="R647" s="2" t="inlineStr"/>
      <c r="S647" s="2" t="inlineStr"/>
    </row>
    <row r="648">
      <c r="A648" s="2" t="n">
        <v>647</v>
      </c>
      <c r="B648" s="6" t="inlineStr">
        <is>
          <t>MEDIUM</t>
        </is>
      </c>
      <c r="C648" s="2" t="inlineStr">
        <is>
          <t>Weak website</t>
        </is>
      </c>
      <c r="D648" s="2" t="inlineStr">
        <is>
          <t>Pappadams Indian Restaurant</t>
        </is>
      </c>
      <c r="E648" s="2" t="inlineStr">
        <is>
          <t>restaurant</t>
        </is>
      </c>
      <c r="F648" s="2" t="inlineStr">
        <is>
          <t>Brisbane</t>
        </is>
      </c>
      <c r="G648" s="2" t="inlineStr">
        <is>
          <t>Instagram</t>
        </is>
      </c>
      <c r="H648" s="4" t="inlineStr">
        <is>
          <t>https://www.instagram.com/pappadamscapestone</t>
        </is>
      </c>
      <c r="I648" s="4" t="inlineStr">
        <is>
          <t>https://www.facebook.com/Pappadams-113401011126327</t>
        </is>
      </c>
      <c r="J648" s="2" t="inlineStr">
        <is>
          <t>+61 403 720 663</t>
        </is>
      </c>
      <c r="K648" s="4" t="inlineStr">
        <is>
          <t>https://www.pappadams.com.au/</t>
        </is>
      </c>
      <c r="L648" s="2" t="inlineStr">
        <is>
          <t>missing meta description</t>
        </is>
      </c>
      <c r="M648" s="2" t="inlineStr">
        <is>
          <t>Hi Pappadams Indian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8" s="4" t="inlineStr">
        <is>
          <t>Open map</t>
        </is>
      </c>
      <c r="O648" s="2" t="inlineStr">
        <is>
          <t>Not contacted</t>
        </is>
      </c>
      <c r="P648" s="2" t="inlineStr"/>
      <c r="Q648" s="2" t="inlineStr"/>
      <c r="R648" s="2" t="inlineStr"/>
      <c r="S648" s="2" t="inlineStr"/>
    </row>
    <row r="649">
      <c r="A649" s="2" t="n">
        <v>648</v>
      </c>
      <c r="B649" s="6" t="inlineStr">
        <is>
          <t>MEDIUM</t>
        </is>
      </c>
      <c r="C649" s="2" t="inlineStr">
        <is>
          <t>Weak website</t>
        </is>
      </c>
      <c r="D649" s="2" t="inlineStr">
        <is>
          <t>Petrichor &amp; Co</t>
        </is>
      </c>
      <c r="E649" s="2" t="inlineStr">
        <is>
          <t>restaurant</t>
        </is>
      </c>
      <c r="F649" s="2" t="inlineStr">
        <is>
          <t>Brisbane</t>
        </is>
      </c>
      <c r="G649" s="2" t="inlineStr">
        <is>
          <t>Facebook</t>
        </is>
      </c>
      <c r="H649" s="2" t="inlineStr"/>
      <c r="I649" s="4" t="inlineStr">
        <is>
          <t>https://www.facebook.com/petrichorcoffee</t>
        </is>
      </c>
      <c r="J649" s="2" t="inlineStr">
        <is>
          <t>+61 7 3194 9185</t>
        </is>
      </c>
      <c r="K649" s="4" t="inlineStr">
        <is>
          <t>https://petrichorandco.com/</t>
        </is>
      </c>
      <c r="L649" s="2" t="inlineStr">
        <is>
          <t>could not check (site refused automated visit, HTTP 403)</t>
        </is>
      </c>
      <c r="M649" s="2" t="inlineStr">
        <is>
          <t>Hi Petrichor &amp; Co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49" s="4" t="inlineStr">
        <is>
          <t>Open map</t>
        </is>
      </c>
      <c r="O649" s="2" t="inlineStr">
        <is>
          <t>Not contacted</t>
        </is>
      </c>
      <c r="P649" s="2" t="inlineStr"/>
      <c r="Q649" s="2" t="inlineStr"/>
      <c r="R649" s="2" t="inlineStr"/>
      <c r="S649" s="2" t="inlineStr"/>
    </row>
    <row r="650">
      <c r="A650" s="2" t="n">
        <v>649</v>
      </c>
      <c r="B650" s="6" t="inlineStr">
        <is>
          <t>MEDIUM</t>
        </is>
      </c>
      <c r="C650" s="2" t="inlineStr">
        <is>
          <t>Weak website</t>
        </is>
      </c>
      <c r="D650" s="2" t="inlineStr">
        <is>
          <t>Plenty</t>
        </is>
      </c>
      <c r="E650" s="2" t="inlineStr">
        <is>
          <t>restaurant</t>
        </is>
      </c>
      <c r="F650" s="2" t="inlineStr">
        <is>
          <t>Brisbane</t>
        </is>
      </c>
      <c r="G650" s="2" t="inlineStr">
        <is>
          <t>Instagram</t>
        </is>
      </c>
      <c r="H650" s="4" t="inlineStr">
        <is>
          <t>https://www.instagram.com/plentywestend/</t>
        </is>
      </c>
      <c r="I650" s="4" t="inlineStr">
        <is>
          <t>https://www.facebook.com/plentywestend/</t>
        </is>
      </c>
      <c r="J650" s="2" t="inlineStr"/>
      <c r="K650" s="4" t="inlineStr">
        <is>
          <t>https://plentywestend.com</t>
        </is>
      </c>
      <c r="L650" s="2" t="inlineStr">
        <is>
          <t>could not check (site refused automated visit, HTTP 403)</t>
        </is>
      </c>
      <c r="M650" s="2" t="inlineStr">
        <is>
          <t>Hi Plenty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0" s="4" t="inlineStr">
        <is>
          <t>Open map</t>
        </is>
      </c>
      <c r="O650" s="2" t="inlineStr">
        <is>
          <t>Not contacted</t>
        </is>
      </c>
      <c r="P650" s="2" t="inlineStr"/>
      <c r="Q650" s="2" t="inlineStr"/>
      <c r="R650" s="2" t="inlineStr"/>
      <c r="S650" s="2" t="inlineStr"/>
    </row>
    <row r="651">
      <c r="A651" s="2" t="n">
        <v>650</v>
      </c>
      <c r="B651" s="6" t="inlineStr">
        <is>
          <t>MEDIUM</t>
        </is>
      </c>
      <c r="C651" s="2" t="inlineStr">
        <is>
          <t>Weak website</t>
        </is>
      </c>
      <c r="D651" s="2" t="inlineStr">
        <is>
          <t>Pompoko Ramen</t>
        </is>
      </c>
      <c r="E651" s="2" t="inlineStr">
        <is>
          <t>restaurant</t>
        </is>
      </c>
      <c r="F651" s="2" t="inlineStr">
        <is>
          <t>Brisbane</t>
        </is>
      </c>
      <c r="G651" s="2" t="inlineStr">
        <is>
          <t>Instagram</t>
        </is>
      </c>
      <c r="H651" s="4" t="inlineStr">
        <is>
          <t>https://www.instagram.com/pompokoramen</t>
        </is>
      </c>
      <c r="I651" s="4" t="inlineStr">
        <is>
          <t>https://www.facebook.com/profile.php</t>
        </is>
      </c>
      <c r="J651" s="2" t="inlineStr"/>
      <c r="K651" s="4" t="inlineStr">
        <is>
          <t>https://www.pompokoramen.com.au/</t>
        </is>
      </c>
      <c r="L651" s="2" t="inlineStr">
        <is>
          <t>missing meta description</t>
        </is>
      </c>
      <c r="M651" s="2" t="inlineStr">
        <is>
          <t>Hi Pompoko Ramen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1" s="4" t="inlineStr">
        <is>
          <t>Open map</t>
        </is>
      </c>
      <c r="O651" s="2" t="inlineStr">
        <is>
          <t>Not contacted</t>
        </is>
      </c>
      <c r="P651" s="2" t="inlineStr"/>
      <c r="Q651" s="2" t="inlineStr"/>
      <c r="R651" s="2" t="inlineStr"/>
      <c r="S651" s="2" t="inlineStr"/>
    </row>
    <row r="652">
      <c r="A652" s="2" t="n">
        <v>651</v>
      </c>
      <c r="B652" s="6" t="inlineStr">
        <is>
          <t>MEDIUM</t>
        </is>
      </c>
      <c r="C652" s="2" t="inlineStr">
        <is>
          <t>Weak website</t>
        </is>
      </c>
      <c r="D652" s="2" t="inlineStr">
        <is>
          <t>Punjab Curry Club</t>
        </is>
      </c>
      <c r="E652" s="2" t="inlineStr">
        <is>
          <t>restaurant</t>
        </is>
      </c>
      <c r="F652" s="2" t="inlineStr">
        <is>
          <t>Brisbane</t>
        </is>
      </c>
      <c r="G652" s="2" t="inlineStr">
        <is>
          <t>Facebook</t>
        </is>
      </c>
      <c r="H652" s="2" t="inlineStr"/>
      <c r="I652" s="4" t="inlineStr">
        <is>
          <t>https://www.facebook.com/punjabcurryclubwellingtonpoint/</t>
        </is>
      </c>
      <c r="J652" s="2" t="inlineStr"/>
      <c r="K652" s="4" t="inlineStr">
        <is>
          <t>https://punjabcurryclub.com.au/</t>
        </is>
      </c>
      <c r="L652" s="2" t="inlineStr">
        <is>
          <t>missing meta description</t>
        </is>
      </c>
      <c r="M652" s="2" t="inlineStr">
        <is>
          <t>Hi Punjab Curry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2" s="4" t="inlineStr">
        <is>
          <t>Open map</t>
        </is>
      </c>
      <c r="O652" s="2" t="inlineStr">
        <is>
          <t>Not contacted</t>
        </is>
      </c>
      <c r="P652" s="2" t="inlineStr"/>
      <c r="Q652" s="2" t="inlineStr"/>
      <c r="R652" s="2" t="inlineStr"/>
      <c r="S652" s="2" t="inlineStr"/>
    </row>
    <row r="653">
      <c r="A653" s="2" t="n">
        <v>652</v>
      </c>
      <c r="B653" s="6" t="inlineStr">
        <is>
          <t>MEDIUM</t>
        </is>
      </c>
      <c r="C653" s="2" t="inlineStr">
        <is>
          <t>Weak website</t>
        </is>
      </c>
      <c r="D653" s="2" t="inlineStr">
        <is>
          <t>Rashays Underwood</t>
        </is>
      </c>
      <c r="E653" s="2" t="inlineStr">
        <is>
          <t>restaurant</t>
        </is>
      </c>
      <c r="F653" s="2" t="inlineStr">
        <is>
          <t>Brisbane</t>
        </is>
      </c>
      <c r="G653" s="2" t="inlineStr">
        <is>
          <t>Instagram</t>
        </is>
      </c>
      <c r="H653" s="4" t="inlineStr">
        <is>
          <t>https://www.instagram.com/rashays</t>
        </is>
      </c>
      <c r="I653" s="4" t="inlineStr">
        <is>
          <t>https://www.facebook.com/rashayscasualdining</t>
        </is>
      </c>
      <c r="J653" s="2" t="inlineStr"/>
      <c r="K653" s="4" t="inlineStr">
        <is>
          <t>https://rashays.com/find-us/restaurants/underwood/</t>
        </is>
      </c>
      <c r="L653" s="2" t="inlineStr">
        <is>
          <t>missing meta description</t>
        </is>
      </c>
      <c r="M653" s="2" t="inlineStr">
        <is>
          <t>Hi Rashays Underwood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3" s="4" t="inlineStr">
        <is>
          <t>Open map</t>
        </is>
      </c>
      <c r="O653" s="2" t="inlineStr">
        <is>
          <t>Not contacted</t>
        </is>
      </c>
      <c r="P653" s="2" t="inlineStr"/>
      <c r="Q653" s="2" t="inlineStr"/>
      <c r="R653" s="2" t="inlineStr"/>
      <c r="S653" s="2" t="inlineStr"/>
    </row>
    <row r="654">
      <c r="A654" s="2" t="n">
        <v>653</v>
      </c>
      <c r="B654" s="6" t="inlineStr">
        <is>
          <t>MEDIUM</t>
        </is>
      </c>
      <c r="C654" s="2" t="inlineStr">
        <is>
          <t>Weak website</t>
        </is>
      </c>
      <c r="D654" s="2" t="inlineStr">
        <is>
          <t>Redlands Sporting Club</t>
        </is>
      </c>
      <c r="E654" s="2" t="inlineStr">
        <is>
          <t>restaurant</t>
        </is>
      </c>
      <c r="F654" s="2" t="inlineStr">
        <is>
          <t>Brisbane</t>
        </is>
      </c>
      <c r="G654" s="2" t="inlineStr">
        <is>
          <t>Instagram</t>
        </is>
      </c>
      <c r="H654" s="4" t="inlineStr">
        <is>
          <t>https://www.instagram.com/redlandssportingclub</t>
        </is>
      </c>
      <c r="I654" s="4" t="inlineStr">
        <is>
          <t>https://www.facebook.com/RedlandsBocce</t>
        </is>
      </c>
      <c r="J654" s="2" t="inlineStr">
        <is>
          <t>+61 7 3207 1133</t>
        </is>
      </c>
      <c r="K654" s="4" t="inlineStr">
        <is>
          <t>https://www.redlandssportingclub.com.au/</t>
        </is>
      </c>
      <c r="L654" s="2" t="inlineStr">
        <is>
          <t>missing meta description; slow to load (3.9s)</t>
        </is>
      </c>
      <c r="M654" s="2" t="inlineStr">
        <is>
          <t>Hi Redlands Sporting Club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54" s="4" t="inlineStr">
        <is>
          <t>Open map</t>
        </is>
      </c>
      <c r="O654" s="2" t="inlineStr">
        <is>
          <t>Not contacted</t>
        </is>
      </c>
      <c r="P654" s="2" t="inlineStr"/>
      <c r="Q654" s="2" t="inlineStr"/>
      <c r="R654" s="2" t="inlineStr"/>
      <c r="S654" s="2" t="inlineStr"/>
    </row>
    <row r="655">
      <c r="A655" s="2" t="n">
        <v>654</v>
      </c>
      <c r="B655" s="6" t="inlineStr">
        <is>
          <t>MEDIUM</t>
        </is>
      </c>
      <c r="C655" s="2" t="inlineStr">
        <is>
          <t>Weak website</t>
        </is>
      </c>
      <c r="D655" s="2" t="inlineStr">
        <is>
          <t>Ristorante Tartufo</t>
        </is>
      </c>
      <c r="E655" s="2" t="inlineStr">
        <is>
          <t>restaurant</t>
        </is>
      </c>
      <c r="F655" s="2" t="inlineStr">
        <is>
          <t>Brisbane</t>
        </is>
      </c>
      <c r="G655" s="2" t="inlineStr">
        <is>
          <t>Instagram</t>
        </is>
      </c>
      <c r="H655" s="4" t="inlineStr">
        <is>
          <t>https://www.instagram.com/tartufo_brisbane</t>
        </is>
      </c>
      <c r="I655" s="4" t="inlineStr">
        <is>
          <t>https://www.facebook.com/tartufobrisbane</t>
        </is>
      </c>
      <c r="J655" s="2" t="inlineStr">
        <is>
          <t>+61 7 3852 1500</t>
        </is>
      </c>
      <c r="K655" s="4" t="inlineStr">
        <is>
          <t>https://tartufo.com.au/</t>
        </is>
      </c>
      <c r="L655" s="2" t="inlineStr">
        <is>
          <t>looks outdated (copyright 2023)</t>
        </is>
      </c>
      <c r="M655" s="2" t="inlineStr">
        <is>
          <t>Hi Ristorante Tartufo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5" s="4" t="inlineStr">
        <is>
          <t>Open map</t>
        </is>
      </c>
      <c r="O655" s="2" t="inlineStr">
        <is>
          <t>Not contacted</t>
        </is>
      </c>
      <c r="P655" s="2" t="inlineStr"/>
      <c r="Q655" s="2" t="inlineStr"/>
      <c r="R655" s="2" t="inlineStr"/>
      <c r="S655" s="2" t="inlineStr"/>
    </row>
    <row r="656">
      <c r="A656" s="2" t="n">
        <v>655</v>
      </c>
      <c r="B656" s="6" t="inlineStr">
        <is>
          <t>MEDIUM</t>
        </is>
      </c>
      <c r="C656" s="2" t="inlineStr">
        <is>
          <t>Weak website</t>
        </is>
      </c>
      <c r="D656" s="2" t="inlineStr">
        <is>
          <t>Seoul Bistro</t>
        </is>
      </c>
      <c r="E656" s="2" t="inlineStr">
        <is>
          <t>restaurant</t>
        </is>
      </c>
      <c r="F656" s="2" t="inlineStr">
        <is>
          <t>Brisbane</t>
        </is>
      </c>
      <c r="G656" s="2" t="inlineStr">
        <is>
          <t>Instagram</t>
        </is>
      </c>
      <c r="H656" s="4" t="inlineStr">
        <is>
          <t>https://www.instagram.com/seoulbistroau</t>
        </is>
      </c>
      <c r="I656" s="4" t="inlineStr">
        <is>
          <t>https://www.facebook.com/seoul.bistro.australia</t>
        </is>
      </c>
      <c r="J656" s="2" t="inlineStr">
        <is>
          <t>+61 7 3345 6360</t>
        </is>
      </c>
      <c r="K656" s="4" t="inlineStr">
        <is>
          <t>https://seoulbistro.com.au/</t>
        </is>
      </c>
      <c r="L656" s="2" t="inlineStr">
        <is>
          <t>looks outdated (copyright 2013)</t>
        </is>
      </c>
      <c r="M656" s="2" t="inlineStr">
        <is>
          <t>Hi Seoul Bistro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6" s="4" t="inlineStr">
        <is>
          <t>Open map</t>
        </is>
      </c>
      <c r="O656" s="2" t="inlineStr">
        <is>
          <t>Not contacted</t>
        </is>
      </c>
      <c r="P656" s="2" t="inlineStr"/>
      <c r="Q656" s="2" t="inlineStr"/>
      <c r="R656" s="2" t="inlineStr"/>
      <c r="S656" s="2" t="inlineStr"/>
    </row>
    <row r="657">
      <c r="A657" s="2" t="n">
        <v>656</v>
      </c>
      <c r="B657" s="6" t="inlineStr">
        <is>
          <t>MEDIUM</t>
        </is>
      </c>
      <c r="C657" s="2" t="inlineStr">
        <is>
          <t>Weak website</t>
        </is>
      </c>
      <c r="D657" s="2" t="inlineStr">
        <is>
          <t>Smokey Moo</t>
        </is>
      </c>
      <c r="E657" s="2" t="inlineStr">
        <is>
          <t>restaurant</t>
        </is>
      </c>
      <c r="F657" s="2" t="inlineStr">
        <is>
          <t>Brisbane</t>
        </is>
      </c>
      <c r="G657" s="2" t="inlineStr">
        <is>
          <t>Instagram</t>
        </is>
      </c>
      <c r="H657" s="4" t="inlineStr">
        <is>
          <t>https://www.instagram.com/smokeymoobrisbane</t>
        </is>
      </c>
      <c r="I657" s="4" t="inlineStr">
        <is>
          <t>https://www.facebook.com/Smokeymoobrisbane</t>
        </is>
      </c>
      <c r="J657" s="2" t="inlineStr">
        <is>
          <t>+61 7 3148 2665</t>
        </is>
      </c>
      <c r="K657" s="4" t="inlineStr">
        <is>
          <t>https://smokeymoo.com.au/</t>
        </is>
      </c>
      <c r="L657" s="2" t="inlineStr">
        <is>
          <t>looks outdated (copyright 2020); missing meta description</t>
        </is>
      </c>
      <c r="M657" s="2" t="inlineStr">
        <is>
          <t>Hi Smokey Moo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7" s="4" t="inlineStr">
        <is>
          <t>Open map</t>
        </is>
      </c>
      <c r="O657" s="2" t="inlineStr">
        <is>
          <t>Not contacted</t>
        </is>
      </c>
      <c r="P657" s="2" t="inlineStr"/>
      <c r="Q657" s="2" t="inlineStr"/>
      <c r="R657" s="2" t="inlineStr"/>
      <c r="S657" s="2" t="inlineStr"/>
    </row>
    <row r="658">
      <c r="A658" s="2" t="n">
        <v>657</v>
      </c>
      <c r="B658" s="6" t="inlineStr">
        <is>
          <t>MEDIUM</t>
        </is>
      </c>
      <c r="C658" s="2" t="inlineStr">
        <is>
          <t>Weak website</t>
        </is>
      </c>
      <c r="D658" s="2" t="inlineStr">
        <is>
          <t>Soo Delhi</t>
        </is>
      </c>
      <c r="E658" s="2" t="inlineStr">
        <is>
          <t>restaurant</t>
        </is>
      </c>
      <c r="F658" s="2" t="inlineStr">
        <is>
          <t>Brisbane</t>
        </is>
      </c>
      <c r="G658" s="2" t="inlineStr">
        <is>
          <t>Instagram</t>
        </is>
      </c>
      <c r="H658" s="4" t="inlineStr">
        <is>
          <t>http://instagram.com/indimex_brisbane</t>
        </is>
      </c>
      <c r="I658" s="4" t="inlineStr">
        <is>
          <t>https://www.facebook.com/Indimex.Aus</t>
        </is>
      </c>
      <c r="J658" s="2" t="inlineStr"/>
      <c r="K658" s="4" t="inlineStr">
        <is>
          <t>https://www.indimex.com.au</t>
        </is>
      </c>
      <c r="L658" s="2" t="inlineStr">
        <is>
          <t>slow to load (3.6s)</t>
        </is>
      </c>
      <c r="M658" s="2" t="inlineStr">
        <is>
          <t>Hi Soo Delhi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58" s="4" t="inlineStr">
        <is>
          <t>Open map</t>
        </is>
      </c>
      <c r="O658" s="2" t="inlineStr">
        <is>
          <t>Not contacted</t>
        </is>
      </c>
      <c r="P658" s="2" t="inlineStr"/>
      <c r="Q658" s="2" t="inlineStr"/>
      <c r="R658" s="2" t="inlineStr"/>
      <c r="S658" s="2" t="inlineStr"/>
    </row>
    <row r="659">
      <c r="A659" s="2" t="n">
        <v>658</v>
      </c>
      <c r="B659" s="6" t="inlineStr">
        <is>
          <t>MEDIUM</t>
        </is>
      </c>
      <c r="C659" s="2" t="inlineStr">
        <is>
          <t>Weak website</t>
        </is>
      </c>
      <c r="D659" s="2" t="inlineStr">
        <is>
          <t>Southside Restaurant</t>
        </is>
      </c>
      <c r="E659" s="2" t="inlineStr">
        <is>
          <t>restaurant</t>
        </is>
      </c>
      <c r="F659" s="2" t="inlineStr">
        <is>
          <t>Brisbane</t>
        </is>
      </c>
      <c r="G659" s="2" t="inlineStr">
        <is>
          <t>Instagram</t>
        </is>
      </c>
      <c r="H659" s="4" t="inlineStr">
        <is>
          <t>https://www.instagram.com/southside_restaurant/</t>
        </is>
      </c>
      <c r="I659" s="4" t="inlineStr">
        <is>
          <t>https://www.facebook.com/friendsoffriendsgroup</t>
        </is>
      </c>
      <c r="J659" s="2" t="inlineStr">
        <is>
          <t>+61 7 3067 7269</t>
        </is>
      </c>
      <c r="K659" s="4" t="inlineStr">
        <is>
          <t>https://www.southside-restaurant.com.au/</t>
        </is>
      </c>
      <c r="L659" s="2" t="inlineStr">
        <is>
          <t>missing meta description</t>
        </is>
      </c>
      <c r="M659" s="2" t="inlineStr">
        <is>
          <t>Hi Southside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9" s="4" t="inlineStr">
        <is>
          <t>Open map</t>
        </is>
      </c>
      <c r="O659" s="2" t="inlineStr">
        <is>
          <t>Not contacted</t>
        </is>
      </c>
      <c r="P659" s="2" t="inlineStr"/>
      <c r="Q659" s="2" t="inlineStr"/>
      <c r="R659" s="2" t="inlineStr"/>
      <c r="S659" s="2" t="inlineStr"/>
    </row>
    <row r="660">
      <c r="A660" s="2" t="n">
        <v>659</v>
      </c>
      <c r="B660" s="6" t="inlineStr">
        <is>
          <t>MEDIUM</t>
        </is>
      </c>
      <c r="C660" s="2" t="inlineStr">
        <is>
          <t>Weak website</t>
        </is>
      </c>
      <c r="D660" s="2" t="inlineStr">
        <is>
          <t>Sugo Mi</t>
        </is>
      </c>
      <c r="E660" s="2" t="inlineStr">
        <is>
          <t>restaurant</t>
        </is>
      </c>
      <c r="F660" s="2" t="inlineStr">
        <is>
          <t>Brisbane</t>
        </is>
      </c>
      <c r="G660" s="2" t="inlineStr">
        <is>
          <t>Instagram</t>
        </is>
      </c>
      <c r="H660" s="4" t="inlineStr">
        <is>
          <t>https://www.instagram.com/sugo_tu_pizza</t>
        </is>
      </c>
      <c r="I660" s="4" t="inlineStr">
        <is>
          <t>https://www.facebook.com/sugotupizza</t>
        </is>
      </c>
      <c r="J660" s="2" t="inlineStr">
        <is>
          <t>+61 7 3395 6327</t>
        </is>
      </c>
      <c r="K660" s="4" t="inlineStr">
        <is>
          <t>http://www.sugomi.com.au/</t>
        </is>
      </c>
      <c r="L660" s="2" t="inlineStr">
        <is>
          <t>looks outdated (copyright 2023)</t>
        </is>
      </c>
      <c r="M660" s="2" t="inlineStr">
        <is>
          <t>Hi Sugo Mi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0" s="4" t="inlineStr">
        <is>
          <t>Open map</t>
        </is>
      </c>
      <c r="O660" s="2" t="inlineStr">
        <is>
          <t>Not contacted</t>
        </is>
      </c>
      <c r="P660" s="2" t="inlineStr"/>
      <c r="Q660" s="2" t="inlineStr"/>
      <c r="R660" s="2" t="inlineStr"/>
      <c r="S660" s="2" t="inlineStr"/>
    </row>
    <row r="661">
      <c r="A661" s="2" t="n">
        <v>660</v>
      </c>
      <c r="B661" s="6" t="inlineStr">
        <is>
          <t>MEDIUM</t>
        </is>
      </c>
      <c r="C661" s="2" t="inlineStr">
        <is>
          <t>Weak website</t>
        </is>
      </c>
      <c r="D661" s="2" t="inlineStr">
        <is>
          <t>Sushi Kotobuki</t>
        </is>
      </c>
      <c r="E661" s="2" t="inlineStr">
        <is>
          <t>restaurant</t>
        </is>
      </c>
      <c r="F661" s="2" t="inlineStr">
        <is>
          <t>Brisbane</t>
        </is>
      </c>
      <c r="G661" s="2" t="inlineStr">
        <is>
          <t>Facebook</t>
        </is>
      </c>
      <c r="H661" s="2" t="inlineStr"/>
      <c r="I661" s="4" t="inlineStr">
        <is>
          <t>https://www.facebook.com/pages/Sushi-Kotobuki/157072508488</t>
        </is>
      </c>
      <c r="J661" s="2" t="inlineStr">
        <is>
          <t>+61 7 3392 2301</t>
        </is>
      </c>
      <c r="K661" s="4" t="inlineStr">
        <is>
          <t>https://sushikotobuki.com.au/sushikotobuki</t>
        </is>
      </c>
      <c r="L661" s="2" t="inlineStr">
        <is>
          <t>missing meta description; slow to load (4.2s)</t>
        </is>
      </c>
      <c r="M661" s="2" t="inlineStr">
        <is>
          <t>Hi Sushi Kotobuki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61" s="4" t="inlineStr">
        <is>
          <t>Open map</t>
        </is>
      </c>
      <c r="O661" s="2" t="inlineStr">
        <is>
          <t>Not contacted</t>
        </is>
      </c>
      <c r="P661" s="2" t="inlineStr"/>
      <c r="Q661" s="2" t="inlineStr"/>
      <c r="R661" s="2" t="inlineStr"/>
      <c r="S661" s="2" t="inlineStr"/>
    </row>
    <row r="662">
      <c r="A662" s="2" t="n">
        <v>661</v>
      </c>
      <c r="B662" s="6" t="inlineStr">
        <is>
          <t>MEDIUM</t>
        </is>
      </c>
      <c r="C662" s="2" t="inlineStr">
        <is>
          <t>Weak website</t>
        </is>
      </c>
      <c r="D662" s="2" t="inlineStr">
        <is>
          <t>Sushi Train Sunnybank</t>
        </is>
      </c>
      <c r="E662" s="2" t="inlineStr">
        <is>
          <t>restaurant</t>
        </is>
      </c>
      <c r="F662" s="2" t="inlineStr">
        <is>
          <t>Brisbane</t>
        </is>
      </c>
      <c r="G662" s="2" t="inlineStr">
        <is>
          <t>Instagram</t>
        </is>
      </c>
      <c r="H662" s="4" t="inlineStr">
        <is>
          <t>https://www.instagram.com/sushitrainaus</t>
        </is>
      </c>
      <c r="I662" s="4" t="inlineStr">
        <is>
          <t>https://www.facebook.com/sushitrainaus</t>
        </is>
      </c>
      <c r="J662" s="2" t="inlineStr"/>
      <c r="K662" s="4" t="inlineStr">
        <is>
          <t>https://www.sushitrain.com.au/</t>
        </is>
      </c>
      <c r="L662" s="2" t="inlineStr">
        <is>
          <t>slow to load (3.7s)</t>
        </is>
      </c>
      <c r="M662" s="2" t="inlineStr">
        <is>
          <t>Hi Sushi Train Sunnybank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62" s="4" t="inlineStr">
        <is>
          <t>Open map</t>
        </is>
      </c>
      <c r="O662" s="2" t="inlineStr">
        <is>
          <t>Not contacted</t>
        </is>
      </c>
      <c r="P662" s="2" t="inlineStr"/>
      <c r="Q662" s="2" t="inlineStr"/>
      <c r="R662" s="2" t="inlineStr"/>
      <c r="S662" s="2" t="inlineStr"/>
    </row>
    <row r="663">
      <c r="A663" s="2" t="n">
        <v>662</v>
      </c>
      <c r="B663" s="6" t="inlineStr">
        <is>
          <t>MEDIUM</t>
        </is>
      </c>
      <c r="C663" s="2" t="inlineStr">
        <is>
          <t>Weak website</t>
        </is>
      </c>
      <c r="D663" s="2" t="inlineStr">
        <is>
          <t>Tarbouche Mezza Bar</t>
        </is>
      </c>
      <c r="E663" s="2" t="inlineStr">
        <is>
          <t>restaurant</t>
        </is>
      </c>
      <c r="F663" s="2" t="inlineStr">
        <is>
          <t>Brisbane</t>
        </is>
      </c>
      <c r="G663" s="2" t="inlineStr">
        <is>
          <t>Instagram</t>
        </is>
      </c>
      <c r="H663" s="4" t="inlineStr">
        <is>
          <t>https://www.instagram.com/tarbouche_mezza_bar</t>
        </is>
      </c>
      <c r="I663" s="4" t="inlineStr">
        <is>
          <t>https://www.facebook.com/TarboucheMezzaBar</t>
        </is>
      </c>
      <c r="J663" s="2" t="inlineStr">
        <is>
          <t>+61 480 341 853</t>
        </is>
      </c>
      <c r="K663" s="4" t="inlineStr">
        <is>
          <t>https://www.tarbouche.com.au/</t>
        </is>
      </c>
      <c r="L663" s="2" t="inlineStr">
        <is>
          <t>slow to load (4.2s)</t>
        </is>
      </c>
      <c r="M663" s="2" t="inlineStr">
        <is>
          <t>Hi Tarbouche Mezza Bar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63" s="4" t="inlineStr">
        <is>
          <t>Open map</t>
        </is>
      </c>
      <c r="O663" s="2" t="inlineStr">
        <is>
          <t>Not contacted</t>
        </is>
      </c>
      <c r="P663" s="2" t="inlineStr"/>
      <c r="Q663" s="2" t="inlineStr"/>
      <c r="R663" s="2" t="inlineStr"/>
      <c r="S663" s="2" t="inlineStr"/>
    </row>
    <row r="664">
      <c r="A664" s="2" t="n">
        <v>663</v>
      </c>
      <c r="B664" s="6" t="inlineStr">
        <is>
          <t>MEDIUM</t>
        </is>
      </c>
      <c r="C664" s="2" t="inlineStr">
        <is>
          <t>Weak website</t>
        </is>
      </c>
      <c r="D664" s="2" t="inlineStr">
        <is>
          <t>Taro's Ramen</t>
        </is>
      </c>
      <c r="E664" s="2" t="inlineStr">
        <is>
          <t>restaurant</t>
        </is>
      </c>
      <c r="F664" s="2" t="inlineStr">
        <is>
          <t>Brisbane</t>
        </is>
      </c>
      <c r="G664" s="2" t="inlineStr">
        <is>
          <t>Instagram</t>
        </is>
      </c>
      <c r="H664" s="4" t="inlineStr">
        <is>
          <t>https://www.instagram.com/tarosramen</t>
        </is>
      </c>
      <c r="I664" s="4" t="inlineStr">
        <is>
          <t>https://www.facebook.com/tarosramen</t>
        </is>
      </c>
      <c r="J664" s="2" t="inlineStr">
        <is>
          <t>+61 7 3839 4840</t>
        </is>
      </c>
      <c r="K664" s="4" t="inlineStr">
        <is>
          <t>https://taros.com.au/</t>
        </is>
      </c>
      <c r="L664" s="2" t="inlineStr">
        <is>
          <t>missing meta description</t>
        </is>
      </c>
      <c r="M664" s="2" t="inlineStr">
        <is>
          <t>Hi Taro's Ramen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4" s="4" t="inlineStr">
        <is>
          <t>Open map</t>
        </is>
      </c>
      <c r="O664" s="2" t="inlineStr">
        <is>
          <t>Not contacted</t>
        </is>
      </c>
      <c r="P664" s="2" t="inlineStr"/>
      <c r="Q664" s="2" t="inlineStr"/>
      <c r="R664" s="2" t="inlineStr"/>
      <c r="S664" s="2" t="inlineStr"/>
    </row>
    <row r="665">
      <c r="A665" s="2" t="n">
        <v>664</v>
      </c>
      <c r="B665" s="6" t="inlineStr">
        <is>
          <t>MEDIUM</t>
        </is>
      </c>
      <c r="C665" s="2" t="inlineStr">
        <is>
          <t>Weak website</t>
        </is>
      </c>
      <c r="D665" s="2" t="inlineStr">
        <is>
          <t>Taro's Ramen</t>
        </is>
      </c>
      <c r="E665" s="2" t="inlineStr">
        <is>
          <t>restaurant</t>
        </is>
      </c>
      <c r="F665" s="2" t="inlineStr">
        <is>
          <t>Brisbane</t>
        </is>
      </c>
      <c r="G665" s="2" t="inlineStr">
        <is>
          <t>Instagram</t>
        </is>
      </c>
      <c r="H665" s="4" t="inlineStr">
        <is>
          <t>https://www.instagram.com/tarosramen</t>
        </is>
      </c>
      <c r="I665" s="4" t="inlineStr">
        <is>
          <t>https://www.facebook.com/tarosramen</t>
        </is>
      </c>
      <c r="J665" s="2" t="inlineStr"/>
      <c r="K665" s="4" t="inlineStr">
        <is>
          <t>https://taros.com.au/</t>
        </is>
      </c>
      <c r="L665" s="2" t="inlineStr">
        <is>
          <t>missing meta description</t>
        </is>
      </c>
      <c r="M665" s="2" t="inlineStr">
        <is>
          <t>Hi Taro's Ramen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5" s="4" t="inlineStr">
        <is>
          <t>Open map</t>
        </is>
      </c>
      <c r="O665" s="2" t="inlineStr">
        <is>
          <t>Not contacted</t>
        </is>
      </c>
      <c r="P665" s="2" t="inlineStr"/>
      <c r="Q665" s="2" t="inlineStr"/>
      <c r="R665" s="2" t="inlineStr"/>
      <c r="S665" s="2" t="inlineStr"/>
    </row>
    <row r="666">
      <c r="A666" s="2" t="n">
        <v>665</v>
      </c>
      <c r="B666" s="6" t="inlineStr">
        <is>
          <t>MEDIUM</t>
        </is>
      </c>
      <c r="C666" s="2" t="inlineStr">
        <is>
          <t>Weak website</t>
        </is>
      </c>
      <c r="D666" s="2" t="inlineStr">
        <is>
          <t>Thai Antique Restaurant</t>
        </is>
      </c>
      <c r="E666" s="2" t="inlineStr">
        <is>
          <t>restaurant</t>
        </is>
      </c>
      <c r="F666" s="2" t="inlineStr">
        <is>
          <t>Brisbane</t>
        </is>
      </c>
      <c r="G666" s="2" t="inlineStr">
        <is>
          <t>Instagram</t>
        </is>
      </c>
      <c r="H666" s="4" t="inlineStr">
        <is>
          <t>https://www.instagram.com/thaiantique_carindale</t>
        </is>
      </c>
      <c r="I666" s="4" t="inlineStr">
        <is>
          <t>https://www.facebook.com/ThaiAntique</t>
        </is>
      </c>
      <c r="J666" s="2" t="inlineStr">
        <is>
          <t>+61 7 3395 2868</t>
        </is>
      </c>
      <c r="K666" s="4" t="inlineStr">
        <is>
          <t>https://www.thaiantique.com.au/</t>
        </is>
      </c>
      <c r="L666" s="2" t="inlineStr">
        <is>
          <t>looks outdated (copyright 2022)</t>
        </is>
      </c>
      <c r="M666" s="2" t="inlineStr">
        <is>
          <t>Hi Thai Antique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6" s="4" t="inlineStr">
        <is>
          <t>Open map</t>
        </is>
      </c>
      <c r="O666" s="2" t="inlineStr">
        <is>
          <t>Not contacted</t>
        </is>
      </c>
      <c r="P666" s="2" t="inlineStr"/>
      <c r="Q666" s="2" t="inlineStr"/>
      <c r="R666" s="2" t="inlineStr"/>
      <c r="S666" s="2" t="inlineStr"/>
    </row>
    <row r="667">
      <c r="A667" s="2" t="n">
        <v>666</v>
      </c>
      <c r="B667" s="6" t="inlineStr">
        <is>
          <t>MEDIUM</t>
        </is>
      </c>
      <c r="C667" s="2" t="inlineStr">
        <is>
          <t>Weak website</t>
        </is>
      </c>
      <c r="D667" s="2" t="inlineStr">
        <is>
          <t>Thai Daisy Hill Restaurant</t>
        </is>
      </c>
      <c r="E667" s="2" t="inlineStr">
        <is>
          <t>restaurant</t>
        </is>
      </c>
      <c r="F667" s="2" t="inlineStr">
        <is>
          <t>Brisbane</t>
        </is>
      </c>
      <c r="G667" s="2" t="inlineStr">
        <is>
          <t>Facebook</t>
        </is>
      </c>
      <c r="H667" s="2" t="inlineStr"/>
      <c r="I667" s="4" t="inlineStr">
        <is>
          <t>https://www.facebook.com/thaidaisyhill</t>
        </is>
      </c>
      <c r="J667" s="2" t="inlineStr">
        <is>
          <t>+61 7 3133 0515</t>
        </is>
      </c>
      <c r="K667" s="4" t="inlineStr">
        <is>
          <t>https://www.thaidaisyhill.com.au/</t>
        </is>
      </c>
      <c r="L667" s="2" t="inlineStr">
        <is>
          <t>looks outdated (copyright 2019)</t>
        </is>
      </c>
      <c r="M667" s="2" t="inlineStr">
        <is>
          <t>Hi Thai Daisy Hill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7" s="4" t="inlineStr">
        <is>
          <t>Open map</t>
        </is>
      </c>
      <c r="O667" s="2" t="inlineStr">
        <is>
          <t>Not contacted</t>
        </is>
      </c>
      <c r="P667" s="2" t="inlineStr"/>
      <c r="Q667" s="2" t="inlineStr"/>
      <c r="R667" s="2" t="inlineStr"/>
      <c r="S667" s="2" t="inlineStr"/>
    </row>
    <row r="668">
      <c r="A668" s="2" t="n">
        <v>667</v>
      </c>
      <c r="B668" s="6" t="inlineStr">
        <is>
          <t>MEDIUM</t>
        </is>
      </c>
      <c r="C668" s="2" t="inlineStr">
        <is>
          <t>Weak website</t>
        </is>
      </c>
      <c r="D668" s="2" t="inlineStr">
        <is>
          <t>The Burrow</t>
        </is>
      </c>
      <c r="E668" s="2" t="inlineStr">
        <is>
          <t>restaurant</t>
        </is>
      </c>
      <c r="F668" s="2" t="inlineStr">
        <is>
          <t>Brisbane</t>
        </is>
      </c>
      <c r="G668" s="2" t="inlineStr">
        <is>
          <t>Instagram</t>
        </is>
      </c>
      <c r="H668" s="4" t="inlineStr">
        <is>
          <t>https://www.instagram.com/theburrowwestend</t>
        </is>
      </c>
      <c r="I668" s="4" t="inlineStr">
        <is>
          <t>https://www.facebook.com/theburrowwestend</t>
        </is>
      </c>
      <c r="J668" s="2" t="inlineStr"/>
      <c r="K668" s="4" t="inlineStr">
        <is>
          <t>https://theburrowwestend.com.au/</t>
        </is>
      </c>
      <c r="L668" s="2" t="inlineStr">
        <is>
          <t>missing meta description</t>
        </is>
      </c>
      <c r="M668" s="2" t="inlineStr">
        <is>
          <t>Hi The Burrow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8" s="4" t="inlineStr">
        <is>
          <t>Open map</t>
        </is>
      </c>
      <c r="O668" s="2" t="inlineStr">
        <is>
          <t>Not contacted</t>
        </is>
      </c>
      <c r="P668" s="2" t="inlineStr"/>
      <c r="Q668" s="2" t="inlineStr"/>
      <c r="R668" s="2" t="inlineStr"/>
      <c r="S668" s="2" t="inlineStr"/>
    </row>
    <row r="669">
      <c r="A669" s="2" t="n">
        <v>668</v>
      </c>
      <c r="B669" s="6" t="inlineStr">
        <is>
          <t>MEDIUM</t>
        </is>
      </c>
      <c r="C669" s="2" t="inlineStr">
        <is>
          <t>Weak website</t>
        </is>
      </c>
      <c r="D669" s="2" t="inlineStr">
        <is>
          <t>The Godfathers</t>
        </is>
      </c>
      <c r="E669" s="2" t="inlineStr">
        <is>
          <t>restaurant</t>
        </is>
      </c>
      <c r="F669" s="2" t="inlineStr">
        <is>
          <t>Brisbane</t>
        </is>
      </c>
      <c r="G669" s="2" t="inlineStr">
        <is>
          <t>Facebook</t>
        </is>
      </c>
      <c r="H669" s="2" t="inlineStr"/>
      <c r="I669" s="4" t="inlineStr">
        <is>
          <t>https://www.facebook.com/thegodfatherpizza.com.au</t>
        </is>
      </c>
      <c r="J669" s="2" t="inlineStr"/>
      <c r="K669" s="4" t="inlineStr">
        <is>
          <t>https://www.thegodfatherpizza.com.au/</t>
        </is>
      </c>
      <c r="L669" s="2" t="inlineStr">
        <is>
          <t>website address not working (check the business is still open)</t>
        </is>
      </c>
      <c r="M669" s="2" t="inlineStr">
        <is>
          <t>Hi The Godfathers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69" s="4" t="inlineStr">
        <is>
          <t>Open map</t>
        </is>
      </c>
      <c r="O669" s="2" t="inlineStr">
        <is>
          <t>Not contacted</t>
        </is>
      </c>
      <c r="P669" s="2" t="inlineStr"/>
      <c r="Q669" s="2" t="inlineStr"/>
      <c r="R669" s="2" t="inlineStr"/>
      <c r="S669" s="2" t="inlineStr"/>
    </row>
    <row r="670">
      <c r="A670" s="2" t="n">
        <v>669</v>
      </c>
      <c r="B670" s="6" t="inlineStr">
        <is>
          <t>MEDIUM</t>
        </is>
      </c>
      <c r="C670" s="2" t="inlineStr">
        <is>
          <t>Weak website</t>
        </is>
      </c>
      <c r="D670" s="2" t="inlineStr">
        <is>
          <t>The Grove Kitchen + Bar</t>
        </is>
      </c>
      <c r="E670" s="2" t="inlineStr">
        <is>
          <t>restaurant</t>
        </is>
      </c>
      <c r="F670" s="2" t="inlineStr">
        <is>
          <t>Brisbane</t>
        </is>
      </c>
      <c r="G670" s="2" t="inlineStr">
        <is>
          <t>Instagram</t>
        </is>
      </c>
      <c r="H670" s="4" t="inlineStr">
        <is>
          <t>https://www.instagram.com/thegrovekitchenbar</t>
        </is>
      </c>
      <c r="I670" s="4" t="inlineStr">
        <is>
          <t>https://www.facebook.com/TheGroveKitchenBar</t>
        </is>
      </c>
      <c r="J670" s="2" t="inlineStr"/>
      <c r="K670" s="4" t="inlineStr">
        <is>
          <t>https://thegrovekitchenbar.com.au/</t>
        </is>
      </c>
      <c r="L670" s="2" t="inlineStr">
        <is>
          <t>looks outdated (copyright 2020)</t>
        </is>
      </c>
      <c r="M670" s="2" t="inlineStr">
        <is>
          <t>Hi The Grove Kitchen +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0" s="4" t="inlineStr">
        <is>
          <t>Open map</t>
        </is>
      </c>
      <c r="O670" s="2" t="inlineStr">
        <is>
          <t>Not contacted</t>
        </is>
      </c>
      <c r="P670" s="2" t="inlineStr"/>
      <c r="Q670" s="2" t="inlineStr"/>
      <c r="R670" s="2" t="inlineStr"/>
      <c r="S670" s="2" t="inlineStr"/>
    </row>
    <row r="671">
      <c r="A671" s="2" t="n">
        <v>670</v>
      </c>
      <c r="B671" s="6" t="inlineStr">
        <is>
          <t>MEDIUM</t>
        </is>
      </c>
      <c r="C671" s="2" t="inlineStr">
        <is>
          <t>Weak website</t>
        </is>
      </c>
      <c r="D671" s="2" t="inlineStr">
        <is>
          <t>The Komo</t>
        </is>
      </c>
      <c r="E671" s="2" t="inlineStr">
        <is>
          <t>restaurant</t>
        </is>
      </c>
      <c r="F671" s="2" t="inlineStr">
        <is>
          <t>Brisbane</t>
        </is>
      </c>
      <c r="G671" s="2" t="inlineStr">
        <is>
          <t>Instagram</t>
        </is>
      </c>
      <c r="H671" s="4" t="inlineStr">
        <is>
          <t>https://www.instagram.com/thekomoredcliffe</t>
        </is>
      </c>
      <c r="I671" s="4" t="inlineStr">
        <is>
          <t>https://www.facebook.com/thekomoredcliffe</t>
        </is>
      </c>
      <c r="J671" s="2" t="inlineStr">
        <is>
          <t>+61 7 3284 6520</t>
        </is>
      </c>
      <c r="K671" s="4" t="inlineStr">
        <is>
          <t>https://www.thekomo.com.au/</t>
        </is>
      </c>
      <c r="L671" s="2" t="inlineStr">
        <is>
          <t>missing meta description</t>
        </is>
      </c>
      <c r="M671" s="2" t="inlineStr">
        <is>
          <t>Hi The Komo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1" s="4" t="inlineStr">
        <is>
          <t>Open map</t>
        </is>
      </c>
      <c r="O671" s="2" t="inlineStr">
        <is>
          <t>Not contacted</t>
        </is>
      </c>
      <c r="P671" s="2" t="inlineStr"/>
      <c r="Q671" s="2" t="inlineStr"/>
      <c r="R671" s="2" t="inlineStr"/>
      <c r="S671" s="2" t="inlineStr"/>
    </row>
    <row r="672">
      <c r="A672" s="2" t="n">
        <v>671</v>
      </c>
      <c r="B672" s="6" t="inlineStr">
        <is>
          <t>MEDIUM</t>
        </is>
      </c>
      <c r="C672" s="2" t="inlineStr">
        <is>
          <t>Weak website</t>
        </is>
      </c>
      <c r="D672" s="2" t="inlineStr">
        <is>
          <t>The Lex</t>
        </is>
      </c>
      <c r="E672" s="2" t="inlineStr">
        <is>
          <t>restaurant</t>
        </is>
      </c>
      <c r="F672" s="2" t="inlineStr">
        <is>
          <t>Brisbane</t>
        </is>
      </c>
      <c r="G672" s="2" t="inlineStr">
        <is>
          <t>Instagram</t>
        </is>
      </c>
      <c r="H672" s="4" t="inlineStr">
        <is>
          <t>https://www.instagram.com/thelexbrisbane</t>
        </is>
      </c>
      <c r="I672" s="4" t="inlineStr">
        <is>
          <t>https://www.facebook.com/TheLexBrisbane</t>
        </is>
      </c>
      <c r="J672" s="2" t="inlineStr">
        <is>
          <t>+61 7 3556 8833</t>
        </is>
      </c>
      <c r="K672" s="4" t="inlineStr">
        <is>
          <t>https://www.thelexbrisbane.com/</t>
        </is>
      </c>
      <c r="L672" s="2" t="inlineStr">
        <is>
          <t>could not check (site refused automated visit, HTTP 403)</t>
        </is>
      </c>
      <c r="M672" s="2" t="inlineStr">
        <is>
          <t>Hi The Lex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2" s="4" t="inlineStr">
        <is>
          <t>Open map</t>
        </is>
      </c>
      <c r="O672" s="2" t="inlineStr">
        <is>
          <t>Not contacted</t>
        </is>
      </c>
      <c r="P672" s="2" t="inlineStr"/>
      <c r="Q672" s="2" t="inlineStr"/>
      <c r="R672" s="2" t="inlineStr"/>
      <c r="S672" s="2" t="inlineStr"/>
    </row>
    <row r="673">
      <c r="A673" s="2" t="n">
        <v>672</v>
      </c>
      <c r="B673" s="6" t="inlineStr">
        <is>
          <t>MEDIUM</t>
        </is>
      </c>
      <c r="C673" s="2" t="inlineStr">
        <is>
          <t>Weak website</t>
        </is>
      </c>
      <c r="D673" s="2" t="inlineStr">
        <is>
          <t>The Rustic Olive</t>
        </is>
      </c>
      <c r="E673" s="2" t="inlineStr">
        <is>
          <t>restaurant</t>
        </is>
      </c>
      <c r="F673" s="2" t="inlineStr">
        <is>
          <t>Brisbane</t>
        </is>
      </c>
      <c r="G673" s="2" t="inlineStr">
        <is>
          <t>Instagram</t>
        </is>
      </c>
      <c r="H673" s="4" t="inlineStr">
        <is>
          <t>https://www.instagram.com/the_rustic_olive</t>
        </is>
      </c>
      <c r="I673" s="4" t="inlineStr">
        <is>
          <t>https://www.facebook.com/therusticolive</t>
        </is>
      </c>
      <c r="J673" s="2" t="inlineStr">
        <is>
          <t>+61 7 3889 3199</t>
        </is>
      </c>
      <c r="K673" s="4" t="inlineStr">
        <is>
          <t>https://www.therusticolive.com/</t>
        </is>
      </c>
      <c r="L673" s="2" t="inlineStr">
        <is>
          <t>looks outdated (copyright 2022)</t>
        </is>
      </c>
      <c r="M673" s="2" t="inlineStr">
        <is>
          <t>Hi The Rustic Olive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3" s="4" t="inlineStr">
        <is>
          <t>Open map</t>
        </is>
      </c>
      <c r="O673" s="2" t="inlineStr">
        <is>
          <t>Not contacted</t>
        </is>
      </c>
      <c r="P673" s="2" t="inlineStr"/>
      <c r="Q673" s="2" t="inlineStr"/>
      <c r="R673" s="2" t="inlineStr"/>
      <c r="S673" s="2" t="inlineStr"/>
    </row>
    <row r="674">
      <c r="A674" s="2" t="n">
        <v>673</v>
      </c>
      <c r="B674" s="6" t="inlineStr">
        <is>
          <t>MEDIUM</t>
        </is>
      </c>
      <c r="C674" s="2" t="inlineStr">
        <is>
          <t>Weak website</t>
        </is>
      </c>
      <c r="D674" s="2" t="inlineStr">
        <is>
          <t>Tiger Eye</t>
        </is>
      </c>
      <c r="E674" s="2" t="inlineStr">
        <is>
          <t>restaurant</t>
        </is>
      </c>
      <c r="F674" s="2" t="inlineStr">
        <is>
          <t>Brisbane</t>
        </is>
      </c>
      <c r="G674" s="2" t="inlineStr">
        <is>
          <t>Instagram</t>
        </is>
      </c>
      <c r="H674" s="4" t="inlineStr">
        <is>
          <t>https://www.instagram.com/tigereyebar</t>
        </is>
      </c>
      <c r="I674" s="4" t="inlineStr">
        <is>
          <t>https://www.facebook.com/TigerEyeBar</t>
        </is>
      </c>
      <c r="J674" s="2" t="inlineStr">
        <is>
          <t>+61 7 3369 3009</t>
        </is>
      </c>
      <c r="K674" s="4" t="inlineStr">
        <is>
          <t>https://tigereyebar.com.au/</t>
        </is>
      </c>
      <c r="L674" s="2" t="inlineStr">
        <is>
          <t>looks outdated (copyright 2016); missing meta description</t>
        </is>
      </c>
      <c r="M674" s="2" t="inlineStr">
        <is>
          <t>Hi Tiger Eye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4" s="4" t="inlineStr">
        <is>
          <t>Open map</t>
        </is>
      </c>
      <c r="O674" s="2" t="inlineStr">
        <is>
          <t>Not contacted</t>
        </is>
      </c>
      <c r="P674" s="2" t="inlineStr"/>
      <c r="Q674" s="2" t="inlineStr"/>
      <c r="R674" s="2" t="inlineStr"/>
      <c r="S674" s="2" t="inlineStr"/>
    </row>
    <row r="675">
      <c r="A675" s="2" t="n">
        <v>674</v>
      </c>
      <c r="B675" s="6" t="inlineStr">
        <is>
          <t>MEDIUM</t>
        </is>
      </c>
      <c r="C675" s="2" t="inlineStr">
        <is>
          <t>Weak website</t>
        </is>
      </c>
      <c r="D675" s="2" t="inlineStr">
        <is>
          <t>Vege Rama</t>
        </is>
      </c>
      <c r="E675" s="2" t="inlineStr">
        <is>
          <t>restaurant</t>
        </is>
      </c>
      <c r="F675" s="2" t="inlineStr">
        <is>
          <t>Brisbane</t>
        </is>
      </c>
      <c r="G675" s="2" t="inlineStr">
        <is>
          <t>Instagram</t>
        </is>
      </c>
      <c r="H675" s="4" t="inlineStr">
        <is>
          <t>https://www.instagram.com/vegerama</t>
        </is>
      </c>
      <c r="I675" s="4" t="inlineStr">
        <is>
          <t>https://www.facebook.com/VegeRama</t>
        </is>
      </c>
      <c r="J675" s="2" t="inlineStr"/>
      <c r="K675" s="4" t="inlineStr">
        <is>
          <t>https://www.vegerama.com.au</t>
        </is>
      </c>
      <c r="L675" s="2" t="inlineStr">
        <is>
          <t>missing meta description</t>
        </is>
      </c>
      <c r="M675" s="2" t="inlineStr">
        <is>
          <t>Hi Vege Rama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5" s="4" t="inlineStr">
        <is>
          <t>Open map</t>
        </is>
      </c>
      <c r="O675" s="2" t="inlineStr">
        <is>
          <t>Not contacted</t>
        </is>
      </c>
      <c r="P675" s="2" t="inlineStr"/>
      <c r="Q675" s="2" t="inlineStr"/>
      <c r="R675" s="2" t="inlineStr"/>
      <c r="S675" s="2" t="inlineStr"/>
    </row>
    <row r="676">
      <c r="A676" s="2" t="n">
        <v>675</v>
      </c>
      <c r="B676" s="6" t="inlineStr">
        <is>
          <t>MEDIUM</t>
        </is>
      </c>
      <c r="C676" s="2" t="inlineStr">
        <is>
          <t>Weak website</t>
        </is>
      </c>
      <c r="D676" s="2" t="inlineStr">
        <is>
          <t>Wara Sushi</t>
        </is>
      </c>
      <c r="E676" s="2" t="inlineStr">
        <is>
          <t>restaurant</t>
        </is>
      </c>
      <c r="F676" s="2" t="inlineStr">
        <is>
          <t>Brisbane</t>
        </is>
      </c>
      <c r="G676" s="2" t="inlineStr">
        <is>
          <t>Instagram</t>
        </is>
      </c>
      <c r="H676" s="4" t="inlineStr">
        <is>
          <t>https://instagram.com/warasushi.official</t>
        </is>
      </c>
      <c r="I676" s="4" t="inlineStr">
        <is>
          <t>https://www.facebook.com/warasushi</t>
        </is>
      </c>
      <c r="J676" s="2" t="inlineStr"/>
      <c r="K676" s="4" t="inlineStr">
        <is>
          <t>https://www.warasushi.com.au/</t>
        </is>
      </c>
      <c r="L676" s="2" t="inlineStr">
        <is>
          <t>looks outdated (copyright 2021)</t>
        </is>
      </c>
      <c r="M676" s="2" t="inlineStr">
        <is>
          <t>Hi Wara Sushi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6" s="4" t="inlineStr">
        <is>
          <t>Open map</t>
        </is>
      </c>
      <c r="O676" s="2" t="inlineStr">
        <is>
          <t>Not contacted</t>
        </is>
      </c>
      <c r="P676" s="2" t="inlineStr"/>
      <c r="Q676" s="2" t="inlineStr"/>
      <c r="R676" s="2" t="inlineStr"/>
      <c r="S676" s="2" t="inlineStr"/>
    </row>
    <row r="677">
      <c r="A677" s="2" t="n">
        <v>676</v>
      </c>
      <c r="B677" s="6" t="inlineStr">
        <is>
          <t>MEDIUM</t>
        </is>
      </c>
      <c r="C677" s="2" t="inlineStr">
        <is>
          <t>Weak website</t>
        </is>
      </c>
      <c r="D677" s="2" t="inlineStr">
        <is>
          <t>Boba Chicken</t>
        </is>
      </c>
      <c r="E677" s="2" t="inlineStr">
        <is>
          <t>takeaway</t>
        </is>
      </c>
      <c r="F677" s="2" t="inlineStr">
        <is>
          <t>Brisbane</t>
        </is>
      </c>
      <c r="G677" s="2" t="inlineStr">
        <is>
          <t>Facebook</t>
        </is>
      </c>
      <c r="H677" s="2" t="inlineStr"/>
      <c r="I677" s="4" t="inlineStr">
        <is>
          <t>https://www.facebook.com/login</t>
        </is>
      </c>
      <c r="J677" s="2" t="inlineStr"/>
      <c r="K677" s="4" t="inlineStr">
        <is>
          <t>www.bobachicken.com</t>
        </is>
      </c>
      <c r="L677" s="2" t="inlineStr">
        <is>
          <t>not mobile-friendly (no viewport tag); missing meta description</t>
        </is>
      </c>
      <c r="M677" s="2" t="inlineStr">
        <is>
          <t>Hi Boba Chicken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677" s="4" t="inlineStr">
        <is>
          <t>Open map</t>
        </is>
      </c>
      <c r="O677" s="2" t="inlineStr">
        <is>
          <t>Not contacted</t>
        </is>
      </c>
      <c r="P677" s="2" t="inlineStr"/>
      <c r="Q677" s="2" t="inlineStr"/>
      <c r="R677" s="2" t="inlineStr"/>
      <c r="S677" s="2" t="inlineStr"/>
    </row>
    <row r="678">
      <c r="A678" s="2" t="n">
        <v>677</v>
      </c>
      <c r="B678" s="6" t="inlineStr">
        <is>
          <t>MEDIUM</t>
        </is>
      </c>
      <c r="C678" s="2" t="inlineStr">
        <is>
          <t>Weak website</t>
        </is>
      </c>
      <c r="D678" s="2" t="inlineStr">
        <is>
          <t>Country Fried Chicken</t>
        </is>
      </c>
      <c r="E678" s="2" t="inlineStr">
        <is>
          <t>takeaway</t>
        </is>
      </c>
      <c r="F678" s="2" t="inlineStr">
        <is>
          <t>Brisbane</t>
        </is>
      </c>
      <c r="G678" s="2" t="inlineStr">
        <is>
          <t>Instagram</t>
        </is>
      </c>
      <c r="H678" s="4" t="inlineStr">
        <is>
          <t>https://www.instagram.com/countryfriedchickenofficial</t>
        </is>
      </c>
      <c r="I678" s="4" t="inlineStr">
        <is>
          <t>http://www.facebook.com/CountryFriedChickenServices</t>
        </is>
      </c>
      <c r="J678" s="2" t="inlineStr">
        <is>
          <t>+61 7 3282 2290</t>
        </is>
      </c>
      <c r="K678" s="4" t="inlineStr">
        <is>
          <t>https://www.countryfriedchicken.com</t>
        </is>
      </c>
      <c r="L678" s="2" t="inlineStr">
        <is>
          <t>looks outdated (copyright 2023)</t>
        </is>
      </c>
      <c r="M678" s="2" t="inlineStr">
        <is>
          <t>Hi Country Fried Chicken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8" s="4" t="inlineStr">
        <is>
          <t>Open map</t>
        </is>
      </c>
      <c r="O678" s="2" t="inlineStr">
        <is>
          <t>Not contacted</t>
        </is>
      </c>
      <c r="P678" s="2" t="inlineStr"/>
      <c r="Q678" s="2" t="inlineStr"/>
      <c r="R678" s="2" t="inlineStr"/>
      <c r="S678" s="2" t="inlineStr"/>
    </row>
    <row r="679">
      <c r="A679" s="2" t="n">
        <v>678</v>
      </c>
      <c r="B679" s="6" t="inlineStr">
        <is>
          <t>MEDIUM</t>
        </is>
      </c>
      <c r="C679" s="2" t="inlineStr">
        <is>
          <t>Weak website</t>
        </is>
      </c>
      <c r="D679" s="2" t="inlineStr">
        <is>
          <t>Fishies on Vienna</t>
        </is>
      </c>
      <c r="E679" s="2" t="inlineStr">
        <is>
          <t>takeaway</t>
        </is>
      </c>
      <c r="F679" s="2" t="inlineStr">
        <is>
          <t>Brisbane</t>
        </is>
      </c>
      <c r="G679" s="2" t="inlineStr">
        <is>
          <t>Facebook</t>
        </is>
      </c>
      <c r="H679" s="2" t="inlineStr"/>
      <c r="I679" s="4" t="inlineStr">
        <is>
          <t>https://www.facebook.com/fishiesonvienna/</t>
        </is>
      </c>
      <c r="J679" s="2" t="inlineStr">
        <is>
          <t>+61 7 3824 4323</t>
        </is>
      </c>
      <c r="K679" s="4" t="inlineStr">
        <is>
          <t>http://www.fishies.com.au/</t>
        </is>
      </c>
      <c r="L679" s="2" t="inlineStr">
        <is>
          <t>website address not working (check the business is still open)</t>
        </is>
      </c>
      <c r="M679" s="2" t="inlineStr">
        <is>
          <t>Hi Fishies on Vienna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9" s="4" t="inlineStr">
        <is>
          <t>Open map</t>
        </is>
      </c>
      <c r="O679" s="2" t="inlineStr">
        <is>
          <t>Not contacted</t>
        </is>
      </c>
      <c r="P679" s="2" t="inlineStr"/>
      <c r="Q679" s="2" t="inlineStr"/>
      <c r="R679" s="2" t="inlineStr"/>
      <c r="S679" s="2" t="inlineStr"/>
    </row>
    <row r="680">
      <c r="A680" s="2" t="n">
        <v>679</v>
      </c>
      <c r="B680" s="6" t="inlineStr">
        <is>
          <t>MEDIUM</t>
        </is>
      </c>
      <c r="C680" s="2" t="inlineStr">
        <is>
          <t>Weak website</t>
        </is>
      </c>
      <c r="D680" s="2" t="inlineStr">
        <is>
          <t>Main St Market Burger</t>
        </is>
      </c>
      <c r="E680" s="2" t="inlineStr">
        <is>
          <t>takeaway</t>
        </is>
      </c>
      <c r="F680" s="2" t="inlineStr">
        <is>
          <t>Brisbane</t>
        </is>
      </c>
      <c r="G680" s="2" t="inlineStr">
        <is>
          <t>Instagram</t>
        </is>
      </c>
      <c r="H680" s="4" t="inlineStr">
        <is>
          <t>https://www.instagram.com/marketburgersamford</t>
        </is>
      </c>
      <c r="I680" s="4" t="inlineStr">
        <is>
          <t>https://www.facebook.com/MainStMarketBurger</t>
        </is>
      </c>
      <c r="J680" s="2" t="inlineStr">
        <is>
          <t>+61 7 3289 3349</t>
        </is>
      </c>
      <c r="K680" s="4" t="inlineStr">
        <is>
          <t>https://marketburger.com.au/</t>
        </is>
      </c>
      <c r="L680" s="2" t="inlineStr">
        <is>
          <t>missing meta description</t>
        </is>
      </c>
      <c r="M680" s="2" t="inlineStr">
        <is>
          <t>Hi Main St Market Burger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0" s="4" t="inlineStr">
        <is>
          <t>Open map</t>
        </is>
      </c>
      <c r="O680" s="2" t="inlineStr">
        <is>
          <t>Not contacted</t>
        </is>
      </c>
      <c r="P680" s="2" t="inlineStr"/>
      <c r="Q680" s="2" t="inlineStr"/>
      <c r="R680" s="2" t="inlineStr"/>
      <c r="S680" s="2" t="inlineStr"/>
    </row>
    <row r="681">
      <c r="A681" s="2" t="n">
        <v>680</v>
      </c>
      <c r="B681" s="6" t="inlineStr">
        <is>
          <t>MEDIUM</t>
        </is>
      </c>
      <c r="C681" s="2" t="inlineStr">
        <is>
          <t>Weak website</t>
        </is>
      </c>
      <c r="D681" s="2" t="inlineStr">
        <is>
          <t>Moo-Free Burgers</t>
        </is>
      </c>
      <c r="E681" s="2" t="inlineStr">
        <is>
          <t>takeaway</t>
        </is>
      </c>
      <c r="F681" s="2" t="inlineStr">
        <is>
          <t>Brisbane</t>
        </is>
      </c>
      <c r="G681" s="2" t="inlineStr">
        <is>
          <t>Instagram</t>
        </is>
      </c>
      <c r="H681" s="4" t="inlineStr">
        <is>
          <t>https://www.instagram.com/moofreeburgers/</t>
        </is>
      </c>
      <c r="I681" s="4" t="inlineStr">
        <is>
          <t>https://www.facebook.com/moofreeburgers/</t>
        </is>
      </c>
      <c r="J681" s="2" t="inlineStr"/>
      <c r="K681" s="4" t="inlineStr">
        <is>
          <t>https://moofreeburgers.com.au/</t>
        </is>
      </c>
      <c r="L681" s="2" t="inlineStr">
        <is>
          <t>website address not working (check the business is still open)</t>
        </is>
      </c>
      <c r="M681" s="2" t="inlineStr">
        <is>
          <t>Hi Moo-Free Burgers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1" s="4" t="inlineStr">
        <is>
          <t>Open map</t>
        </is>
      </c>
      <c r="O681" s="2" t="inlineStr">
        <is>
          <t>Not contacted</t>
        </is>
      </c>
      <c r="P681" s="2" t="inlineStr"/>
      <c r="Q681" s="2" t="inlineStr"/>
      <c r="R681" s="2" t="inlineStr"/>
      <c r="S681" s="2" t="inlineStr"/>
    </row>
    <row r="682">
      <c r="A682" s="2" t="n">
        <v>681</v>
      </c>
      <c r="B682" s="6" t="inlineStr">
        <is>
          <t>MEDIUM</t>
        </is>
      </c>
      <c r="C682" s="2" t="inlineStr">
        <is>
          <t>Weak website</t>
        </is>
      </c>
      <c r="D682" s="2" t="inlineStr">
        <is>
          <t>The Farm Shack</t>
        </is>
      </c>
      <c r="E682" s="2" t="inlineStr">
        <is>
          <t>takeaway</t>
        </is>
      </c>
      <c r="F682" s="2" t="inlineStr">
        <is>
          <t>Brisbane</t>
        </is>
      </c>
      <c r="G682" s="2" t="inlineStr">
        <is>
          <t>Instagram</t>
        </is>
      </c>
      <c r="H682" s="4" t="inlineStr">
        <is>
          <t>https://www.instagram.com/thefarmshackfernyhills</t>
        </is>
      </c>
      <c r="I682" s="4" t="inlineStr">
        <is>
          <t>https://www.facebook.com/TheFarmShack1</t>
        </is>
      </c>
      <c r="J682" s="2" t="inlineStr">
        <is>
          <t>+61 449 944 406</t>
        </is>
      </c>
      <c r="K682" s="4" t="inlineStr">
        <is>
          <t>https://thefarmshack.com.au/</t>
        </is>
      </c>
      <c r="L682" s="2" t="inlineStr">
        <is>
          <t>looks outdated (copyright 2021)</t>
        </is>
      </c>
      <c r="M682" s="2" t="inlineStr">
        <is>
          <t>Hi The Farm Shack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2" s="4" t="inlineStr">
        <is>
          <t>Open map</t>
        </is>
      </c>
      <c r="O682" s="2" t="inlineStr">
        <is>
          <t>Not contacted</t>
        </is>
      </c>
      <c r="P682" s="2" t="inlineStr"/>
      <c r="Q682" s="2" t="inlineStr"/>
      <c r="R682" s="2" t="inlineStr"/>
      <c r="S682" s="2" t="inlineStr"/>
    </row>
    <row r="683">
      <c r="A683" s="2" t="n">
        <v>682</v>
      </c>
      <c r="B683" s="6" t="inlineStr">
        <is>
          <t>MEDIUM</t>
        </is>
      </c>
      <c r="C683" s="2" t="inlineStr">
        <is>
          <t>Weak website</t>
        </is>
      </c>
      <c r="D683" s="2" t="inlineStr">
        <is>
          <t>Zorba’s Pizza</t>
        </is>
      </c>
      <c r="E683" s="2" t="inlineStr">
        <is>
          <t>takeaway</t>
        </is>
      </c>
      <c r="F683" s="2" t="inlineStr">
        <is>
          <t>Brisbane</t>
        </is>
      </c>
      <c r="G683" s="2" t="inlineStr">
        <is>
          <t>Facebook</t>
        </is>
      </c>
      <c r="H683" s="2" t="inlineStr"/>
      <c r="I683" s="4" t="inlineStr">
        <is>
          <t>https://www.facebook.com/ZorbasPizzaAndPasta</t>
        </is>
      </c>
      <c r="J683" s="2" t="inlineStr">
        <is>
          <t>+61 7 3283 7000</t>
        </is>
      </c>
      <c r="K683" s="4" t="inlineStr">
        <is>
          <t>https://www.zorbas.com.au/</t>
        </is>
      </c>
      <c r="L683" s="2" t="inlineStr">
        <is>
          <t>looks outdated (copyright 2015); missing meta description</t>
        </is>
      </c>
      <c r="M683" s="2" t="inlineStr">
        <is>
          <t>Hi Zorba’s Pizza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3" s="4" t="inlineStr">
        <is>
          <t>Open map</t>
        </is>
      </c>
      <c r="O683" s="2" t="inlineStr">
        <is>
          <t>Not contacted</t>
        </is>
      </c>
      <c r="P683" s="2" t="inlineStr"/>
      <c r="Q683" s="2" t="inlineStr"/>
      <c r="R683" s="2" t="inlineStr"/>
      <c r="S683" s="2" t="inlineStr"/>
    </row>
    <row r="684">
      <c r="A684" s="2" t="n">
        <v>683</v>
      </c>
      <c r="B684" s="6" t="inlineStr">
        <is>
          <t>MEDIUM</t>
        </is>
      </c>
      <c r="C684" s="2" t="inlineStr">
        <is>
          <t>Weak website</t>
        </is>
      </c>
      <c r="D684" s="2" t="inlineStr">
        <is>
          <t>Sacred Skin Tattoo</t>
        </is>
      </c>
      <c r="E684" s="2" t="inlineStr">
        <is>
          <t>tattoo studio</t>
        </is>
      </c>
      <c r="F684" s="2" t="inlineStr">
        <is>
          <t>Brisbane</t>
        </is>
      </c>
      <c r="G684" s="2" t="inlineStr">
        <is>
          <t>Instagram</t>
        </is>
      </c>
      <c r="H684" s="4" t="inlineStr">
        <is>
          <t>https://www.instagram.com/sacredskintattoo</t>
        </is>
      </c>
      <c r="I684" s="4" t="inlineStr">
        <is>
          <t>https://www.facebook.com/SacredSkin</t>
        </is>
      </c>
      <c r="J684" s="2" t="inlineStr"/>
      <c r="K684" s="4" t="inlineStr">
        <is>
          <t>https://www.sacredskin.com.au/</t>
        </is>
      </c>
      <c r="L684" s="2" t="inlineStr">
        <is>
          <t>missing meta description</t>
        </is>
      </c>
      <c r="M684" s="2" t="inlineStr">
        <is>
          <t>Hi Sacred Skin Tattoo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4" s="4" t="inlineStr">
        <is>
          <t>Open map</t>
        </is>
      </c>
      <c r="O684" s="2" t="inlineStr">
        <is>
          <t>Not contacted</t>
        </is>
      </c>
      <c r="P684" s="2" t="inlineStr"/>
      <c r="Q684" s="2" t="inlineStr"/>
      <c r="R684" s="2" t="inlineStr"/>
      <c r="S684" s="2" t="inlineStr"/>
    </row>
    <row r="685">
      <c r="A685" s="2" t="n">
        <v>684</v>
      </c>
      <c r="B685" s="6" t="inlineStr">
        <is>
          <t>MEDIUM</t>
        </is>
      </c>
      <c r="C685" s="2" t="inlineStr">
        <is>
          <t>Weak website</t>
        </is>
      </c>
      <c r="D685" s="2" t="inlineStr">
        <is>
          <t>Bakers &amp; Co Painting And Decorating</t>
        </is>
      </c>
      <c r="E685" s="2" t="inlineStr">
        <is>
          <t>trades</t>
        </is>
      </c>
      <c r="F685" s="2" t="inlineStr">
        <is>
          <t>Brisbane</t>
        </is>
      </c>
      <c r="G685" s="2" t="inlineStr">
        <is>
          <t>Instagram</t>
        </is>
      </c>
      <c r="H685" s="4" t="inlineStr">
        <is>
          <t>https://www.instagram.com/bakerscopainting</t>
        </is>
      </c>
      <c r="I685" s="4" t="inlineStr">
        <is>
          <t>https://www.facebook.com/BakersCoPaintingDecorating</t>
        </is>
      </c>
      <c r="J685" s="2" t="inlineStr">
        <is>
          <t>+61 7 3356 7482</t>
        </is>
      </c>
      <c r="K685" s="4" t="inlineStr">
        <is>
          <t>https://bakersco.com.au/</t>
        </is>
      </c>
      <c r="L685" s="2" t="inlineStr">
        <is>
          <t>slow to load (4.7s)</t>
        </is>
      </c>
      <c r="M685" s="2" t="inlineStr">
        <is>
          <t>Hi Bakers &amp; Co Painting And Decorating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85" s="4" t="inlineStr">
        <is>
          <t>Open map</t>
        </is>
      </c>
      <c r="O685" s="2" t="inlineStr">
        <is>
          <t>Not contacted</t>
        </is>
      </c>
      <c r="P685" s="2" t="inlineStr"/>
      <c r="Q685" s="2" t="inlineStr"/>
      <c r="R685" s="2" t="inlineStr"/>
      <c r="S685" s="2" t="inlineStr"/>
    </row>
    <row r="686">
      <c r="A686" s="2" t="n">
        <v>685</v>
      </c>
      <c r="B686" s="6" t="inlineStr">
        <is>
          <t>MEDIUM</t>
        </is>
      </c>
      <c r="C686" s="2" t="inlineStr">
        <is>
          <t>Weak website</t>
        </is>
      </c>
      <c r="D686" s="2" t="inlineStr">
        <is>
          <t>Garsden &amp; Clarke Kitchens</t>
        </is>
      </c>
      <c r="E686" s="2" t="inlineStr">
        <is>
          <t>trades</t>
        </is>
      </c>
      <c r="F686" s="2" t="inlineStr">
        <is>
          <t>Brisbane</t>
        </is>
      </c>
      <c r="G686" s="2" t="inlineStr">
        <is>
          <t>Instagram</t>
        </is>
      </c>
      <c r="H686" s="4" t="inlineStr">
        <is>
          <t>https://www.instagram.com/garsdenandclarke</t>
        </is>
      </c>
      <c r="I686" s="4" t="inlineStr">
        <is>
          <t>https://www.facebook.com/garsdenandclarke</t>
        </is>
      </c>
      <c r="J686" s="2" t="inlineStr"/>
      <c r="K686" s="4" t="inlineStr">
        <is>
          <t>https://garsdenclarke.com.au/</t>
        </is>
      </c>
      <c r="L686" s="2" t="inlineStr">
        <is>
          <t>looks outdated (copyright 2021)</t>
        </is>
      </c>
      <c r="M686" s="2" t="inlineStr">
        <is>
          <t>Hi Garsden &amp; Clarke Kitchens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6" s="4" t="inlineStr">
        <is>
          <t>Open map</t>
        </is>
      </c>
      <c r="O686" s="2" t="inlineStr">
        <is>
          <t>Not contacted</t>
        </is>
      </c>
      <c r="P686" s="2" t="inlineStr"/>
      <c r="Q686" s="2" t="inlineStr"/>
      <c r="R686" s="2" t="inlineStr"/>
      <c r="S686" s="2" t="inlineStr"/>
    </row>
    <row r="687">
      <c r="A687" s="2" t="n">
        <v>686</v>
      </c>
      <c r="B687" s="6" t="inlineStr">
        <is>
          <t>MEDIUM</t>
        </is>
      </c>
      <c r="C687" s="2" t="inlineStr">
        <is>
          <t>Weak website</t>
        </is>
      </c>
      <c r="D687" s="2" t="inlineStr">
        <is>
          <t>Slicks Barbershop</t>
        </is>
      </c>
      <c r="E687" s="2" t="inlineStr">
        <is>
          <t>barber or hairdresser</t>
        </is>
      </c>
      <c r="F687" s="2" t="inlineStr">
        <is>
          <t>Bundaberg</t>
        </is>
      </c>
      <c r="G687" s="2" t="inlineStr">
        <is>
          <t>Instagram</t>
        </is>
      </c>
      <c r="H687" s="4" t="inlineStr">
        <is>
          <t>https://www.instagram.com/slicksbarbershop4670</t>
        </is>
      </c>
      <c r="I687" s="4" t="inlineStr">
        <is>
          <t>https://www.facebook.com/slicksbarbershop4670</t>
        </is>
      </c>
      <c r="J687" s="2" t="inlineStr"/>
      <c r="K687" s="4" t="inlineStr">
        <is>
          <t>https://www.slicksbarbershop.com.au/</t>
        </is>
      </c>
      <c r="L687" s="2" t="inlineStr">
        <is>
          <t>looks outdated (copyright 2023)</t>
        </is>
      </c>
      <c r="M687" s="2" t="inlineStr">
        <is>
          <t>Hi Slicks Barbershop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7" s="4" t="inlineStr">
        <is>
          <t>Open map</t>
        </is>
      </c>
      <c r="O687" s="2" t="inlineStr">
        <is>
          <t>Not contacted</t>
        </is>
      </c>
      <c r="P687" s="2" t="inlineStr"/>
      <c r="Q687" s="2" t="inlineStr"/>
      <c r="R687" s="2" t="inlineStr"/>
      <c r="S687" s="2" t="inlineStr"/>
    </row>
    <row r="688">
      <c r="A688" s="2" t="n">
        <v>687</v>
      </c>
      <c r="B688" s="6" t="inlineStr">
        <is>
          <t>MEDIUM</t>
        </is>
      </c>
      <c r="C688" s="2" t="inlineStr">
        <is>
          <t>Weak website</t>
        </is>
      </c>
      <c r="D688" s="2" t="inlineStr">
        <is>
          <t>Alamanda Palm Cove by Lancemore</t>
        </is>
      </c>
      <c r="E688" s="2" t="inlineStr">
        <is>
          <t>accommodation</t>
        </is>
      </c>
      <c r="F688" s="2" t="inlineStr">
        <is>
          <t>Cairns</t>
        </is>
      </c>
      <c r="G688" s="2" t="inlineStr">
        <is>
          <t>Instagram</t>
        </is>
      </c>
      <c r="H688" s="4" t="inlineStr">
        <is>
          <t>https://www.instagram.com/lancemorehotels</t>
        </is>
      </c>
      <c r="I688" s="2" t="inlineStr"/>
      <c r="J688" s="2" t="inlineStr">
        <is>
          <t>+61 7 4055 3000</t>
        </is>
      </c>
      <c r="K688" s="4" t="inlineStr">
        <is>
          <t>https://www.lancemore.com.au/alamanda</t>
        </is>
      </c>
      <c r="L688" s="2" t="inlineStr">
        <is>
          <t>slow to load (3.1s)</t>
        </is>
      </c>
      <c r="M688" s="2" t="inlineStr">
        <is>
          <t>Hi Alamanda Palm Cove by Lancemore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88" s="4" t="inlineStr">
        <is>
          <t>Open map</t>
        </is>
      </c>
      <c r="O688" s="2" t="inlineStr">
        <is>
          <t>Not contacted</t>
        </is>
      </c>
      <c r="P688" s="2" t="inlineStr"/>
      <c r="Q688" s="2" t="inlineStr"/>
      <c r="R688" s="2" t="inlineStr"/>
      <c r="S688" s="2" t="inlineStr"/>
    </row>
    <row r="689">
      <c r="A689" s="2" t="n">
        <v>688</v>
      </c>
      <c r="B689" s="6" t="inlineStr">
        <is>
          <t>MEDIUM</t>
        </is>
      </c>
      <c r="C689" s="2" t="inlineStr">
        <is>
          <t>Weak website</t>
        </is>
      </c>
      <c r="D689" s="2" t="inlineStr">
        <is>
          <t>Cairns Holiday Lodge</t>
        </is>
      </c>
      <c r="E689" s="2" t="inlineStr">
        <is>
          <t>accommodation</t>
        </is>
      </c>
      <c r="F689" s="2" t="inlineStr">
        <is>
          <t>Cairns</t>
        </is>
      </c>
      <c r="G689" s="2" t="inlineStr">
        <is>
          <t>Facebook</t>
        </is>
      </c>
      <c r="H689" s="2" t="inlineStr"/>
      <c r="I689" s="4" t="inlineStr">
        <is>
          <t>https://www.facebook.com/cairnsholidayaccommodation</t>
        </is>
      </c>
      <c r="J689" s="2" t="inlineStr">
        <is>
          <t>+61 7 4052 5000</t>
        </is>
      </c>
      <c r="K689" s="4" t="inlineStr">
        <is>
          <t>https://www.cairnsholidaylodge.com.au</t>
        </is>
      </c>
      <c r="L689" s="2" t="inlineStr">
        <is>
          <t>not mobile-friendly (no viewport tag)</t>
        </is>
      </c>
      <c r="M689" s="2" t="inlineStr">
        <is>
          <t>Hi Cairns Holiday Lodge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689" s="4" t="inlineStr">
        <is>
          <t>Open map</t>
        </is>
      </c>
      <c r="O689" s="2" t="inlineStr">
        <is>
          <t>Not contacted</t>
        </is>
      </c>
      <c r="P689" s="2" t="inlineStr"/>
      <c r="Q689" s="2" t="inlineStr"/>
      <c r="R689" s="2" t="inlineStr"/>
      <c r="S689" s="2" t="inlineStr"/>
    </row>
    <row r="690">
      <c r="A690" s="2" t="n">
        <v>689</v>
      </c>
      <c r="B690" s="6" t="inlineStr">
        <is>
          <t>MEDIUM</t>
        </is>
      </c>
      <c r="C690" s="2" t="inlineStr">
        <is>
          <t>Weak website</t>
        </is>
      </c>
      <c r="D690" s="2" t="inlineStr">
        <is>
          <t>Getaway on Grafton</t>
        </is>
      </c>
      <c r="E690" s="2" t="inlineStr">
        <is>
          <t>accommodation</t>
        </is>
      </c>
      <c r="F690" s="2" t="inlineStr">
        <is>
          <t>Cairns</t>
        </is>
      </c>
      <c r="G690" s="2" t="inlineStr">
        <is>
          <t>Instagram</t>
        </is>
      </c>
      <c r="H690" s="4" t="inlineStr">
        <is>
          <t>https://www.instagram.com/getawaycairns</t>
        </is>
      </c>
      <c r="I690" s="4" t="inlineStr">
        <is>
          <t>https://www.facebook.com/GetawayOnGrafton</t>
        </is>
      </c>
      <c r="J690" s="2" t="inlineStr"/>
      <c r="K690" s="4" t="inlineStr">
        <is>
          <t>https://www.getawaycairns.com.au/</t>
        </is>
      </c>
      <c r="L690" s="2" t="inlineStr">
        <is>
          <t>missing meta description</t>
        </is>
      </c>
      <c r="M690" s="2" t="inlineStr">
        <is>
          <t>Hi Getaway on Grafton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0" s="4" t="inlineStr">
        <is>
          <t>Open map</t>
        </is>
      </c>
      <c r="O690" s="2" t="inlineStr">
        <is>
          <t>Not contacted</t>
        </is>
      </c>
      <c r="P690" s="2" t="inlineStr"/>
      <c r="Q690" s="2" t="inlineStr"/>
      <c r="R690" s="2" t="inlineStr"/>
      <c r="S690" s="2" t="inlineStr"/>
    </row>
    <row r="691">
      <c r="A691" s="2" t="n">
        <v>690</v>
      </c>
      <c r="B691" s="6" t="inlineStr">
        <is>
          <t>MEDIUM</t>
        </is>
      </c>
      <c r="C691" s="2" t="inlineStr">
        <is>
          <t>Weak website</t>
        </is>
      </c>
      <c r="D691" s="2" t="inlineStr">
        <is>
          <t>Pacific Hotel Cairns</t>
        </is>
      </c>
      <c r="E691" s="2" t="inlineStr">
        <is>
          <t>accommodation</t>
        </is>
      </c>
      <c r="F691" s="2" t="inlineStr">
        <is>
          <t>Cairns</t>
        </is>
      </c>
      <c r="G691" s="2" t="inlineStr">
        <is>
          <t>Instagram</t>
        </is>
      </c>
      <c r="H691" s="4" t="inlineStr">
        <is>
          <t>https://www.instagram.com/pacifichotelcairns</t>
        </is>
      </c>
      <c r="I691" s="4" t="inlineStr">
        <is>
          <t>https://www.facebook.com/PacificHotelCairns</t>
        </is>
      </c>
      <c r="J691" s="2" t="inlineStr"/>
      <c r="K691" s="4" t="inlineStr">
        <is>
          <t>https://pacifichotelcairns.com.au/</t>
        </is>
      </c>
      <c r="L691" s="2" t="inlineStr">
        <is>
          <t>missing meta description; slow to load (7.9s)</t>
        </is>
      </c>
      <c r="M691" s="2" t="inlineStr">
        <is>
          <t>Hi Pacific Hotel Cairns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91" s="4" t="inlineStr">
        <is>
          <t>Open map</t>
        </is>
      </c>
      <c r="O691" s="2" t="inlineStr">
        <is>
          <t>Not contacted</t>
        </is>
      </c>
      <c r="P691" s="2" t="inlineStr"/>
      <c r="Q691" s="2" t="inlineStr"/>
      <c r="R691" s="2" t="inlineStr"/>
      <c r="S691" s="2" t="inlineStr"/>
    </row>
    <row r="692">
      <c r="A692" s="2" t="n">
        <v>691</v>
      </c>
      <c r="B692" s="6" t="inlineStr">
        <is>
          <t>MEDIUM</t>
        </is>
      </c>
      <c r="C692" s="2" t="inlineStr">
        <is>
          <t>Weak website</t>
        </is>
      </c>
      <c r="D692" s="2" t="inlineStr">
        <is>
          <t>Palm Royale Cairns</t>
        </is>
      </c>
      <c r="E692" s="2" t="inlineStr">
        <is>
          <t>accommodation</t>
        </is>
      </c>
      <c r="F692" s="2" t="inlineStr">
        <is>
          <t>Cairns</t>
        </is>
      </c>
      <c r="G692" s="2" t="inlineStr">
        <is>
          <t>Facebook</t>
        </is>
      </c>
      <c r="H692" s="2" t="inlineStr"/>
      <c r="I692" s="4" t="inlineStr">
        <is>
          <t>https://www.facebook.com/Palm-Royale-Cairns-412706668819983</t>
        </is>
      </c>
      <c r="J692" s="2" t="inlineStr"/>
      <c r="K692" s="4" t="inlineStr">
        <is>
          <t>https://palmroyale.com.au/</t>
        </is>
      </c>
      <c r="L692" s="2" t="inlineStr">
        <is>
          <t>missing meta description</t>
        </is>
      </c>
      <c r="M692" s="2" t="inlineStr">
        <is>
          <t>Hi Palm Royale Cairns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2" s="4" t="inlineStr">
        <is>
          <t>Open map</t>
        </is>
      </c>
      <c r="O692" s="2" t="inlineStr">
        <is>
          <t>Not contacted</t>
        </is>
      </c>
      <c r="P692" s="2" t="inlineStr"/>
      <c r="Q692" s="2" t="inlineStr"/>
      <c r="R692" s="2" t="inlineStr"/>
      <c r="S692" s="2" t="inlineStr"/>
    </row>
    <row r="693">
      <c r="A693" s="2" t="n">
        <v>692</v>
      </c>
      <c r="B693" s="6" t="inlineStr">
        <is>
          <t>MEDIUM</t>
        </is>
      </c>
      <c r="C693" s="2" t="inlineStr">
        <is>
          <t>Weak website</t>
        </is>
      </c>
      <c r="D693" s="2" t="inlineStr">
        <is>
          <t>Tropical Heritage Cairns</t>
        </is>
      </c>
      <c r="E693" s="2" t="inlineStr">
        <is>
          <t>accommodation</t>
        </is>
      </c>
      <c r="F693" s="2" t="inlineStr">
        <is>
          <t>Cairns</t>
        </is>
      </c>
      <c r="G693" s="2" t="inlineStr">
        <is>
          <t>Instagram</t>
        </is>
      </c>
      <c r="H693" s="4" t="inlineStr">
        <is>
          <t>https://www.instagram.com/heritagecairns</t>
        </is>
      </c>
      <c r="I693" s="2" t="inlineStr"/>
      <c r="J693" s="2" t="inlineStr">
        <is>
          <t>+61 7 4051 1211</t>
        </is>
      </c>
      <c r="K693" s="4" t="inlineStr">
        <is>
          <t>http://www.heritagecairns.com.au/</t>
        </is>
      </c>
      <c r="L693" s="2" t="inlineStr">
        <is>
          <t>missing meta description</t>
        </is>
      </c>
      <c r="M693" s="2" t="inlineStr">
        <is>
          <t>Hi Tropical Heritage Cairns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3" s="4" t="inlineStr">
        <is>
          <t>Open map</t>
        </is>
      </c>
      <c r="O693" s="2" t="inlineStr">
        <is>
          <t>Not contacted</t>
        </is>
      </c>
      <c r="P693" s="2" t="inlineStr"/>
      <c r="Q693" s="2" t="inlineStr"/>
      <c r="R693" s="2" t="inlineStr"/>
      <c r="S693" s="2" t="inlineStr"/>
    </row>
    <row r="694">
      <c r="A694" s="2" t="n">
        <v>693</v>
      </c>
      <c r="B694" s="6" t="inlineStr">
        <is>
          <t>MEDIUM</t>
        </is>
      </c>
      <c r="C694" s="2" t="inlineStr">
        <is>
          <t>Weak website</t>
        </is>
      </c>
      <c r="D694" s="2" t="inlineStr">
        <is>
          <t>The Fox</t>
        </is>
      </c>
      <c r="E694" s="2" t="inlineStr">
        <is>
          <t>bar or pub</t>
        </is>
      </c>
      <c r="F694" s="2" t="inlineStr">
        <is>
          <t>Cairns</t>
        </is>
      </c>
      <c r="G694" s="2" t="inlineStr">
        <is>
          <t>Instagram</t>
        </is>
      </c>
      <c r="H694" s="4" t="inlineStr">
        <is>
          <t>https://instagram.com/thefoxsmallbar</t>
        </is>
      </c>
      <c r="I694" s="4" t="inlineStr">
        <is>
          <t>https://www.facebook.com/TheFoxSmallBar</t>
        </is>
      </c>
      <c r="J694" s="2" t="inlineStr">
        <is>
          <t>+61 7 4000 6814</t>
        </is>
      </c>
      <c r="K694" s="4" t="inlineStr">
        <is>
          <t>https://www.thefoxsmallbar.com.au/</t>
        </is>
      </c>
      <c r="L694" s="2" t="inlineStr">
        <is>
          <t>missing meta description</t>
        </is>
      </c>
      <c r="M694" s="2" t="inlineStr">
        <is>
          <t>Hi The Fox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4" s="4" t="inlineStr">
        <is>
          <t>Open map</t>
        </is>
      </c>
      <c r="O694" s="2" t="inlineStr">
        <is>
          <t>Not contacted</t>
        </is>
      </c>
      <c r="P694" s="2" t="inlineStr"/>
      <c r="Q694" s="2" t="inlineStr"/>
      <c r="R694" s="2" t="inlineStr"/>
      <c r="S694" s="2" t="inlineStr"/>
    </row>
    <row r="695">
      <c r="A695" s="2" t="n">
        <v>694</v>
      </c>
      <c r="B695" s="6" t="inlineStr">
        <is>
          <t>MEDIUM</t>
        </is>
      </c>
      <c r="C695" s="2" t="inlineStr">
        <is>
          <t>Weak website</t>
        </is>
      </c>
      <c r="D695" s="2" t="inlineStr">
        <is>
          <t>Three Wolves</t>
        </is>
      </c>
      <c r="E695" s="2" t="inlineStr">
        <is>
          <t>bar or pub</t>
        </is>
      </c>
      <c r="F695" s="2" t="inlineStr">
        <is>
          <t>Cairns</t>
        </is>
      </c>
      <c r="G695" s="2" t="inlineStr">
        <is>
          <t>Instagram</t>
        </is>
      </c>
      <c r="H695" s="4" t="inlineStr">
        <is>
          <t>https://www.instagram.com/threewolvescairns</t>
        </is>
      </c>
      <c r="I695" s="4" t="inlineStr">
        <is>
          <t>https://www.facebook.com/threewolvescairns</t>
        </is>
      </c>
      <c r="J695" s="2" t="inlineStr">
        <is>
          <t>+61 7 4031 8040</t>
        </is>
      </c>
      <c r="K695" s="4" t="inlineStr">
        <is>
          <t>https://www.threewolves.com.au/</t>
        </is>
      </c>
      <c r="L695" s="2" t="inlineStr">
        <is>
          <t>missing meta description</t>
        </is>
      </c>
      <c r="M695" s="2" t="inlineStr">
        <is>
          <t>Hi Three Wolves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5" s="4" t="inlineStr">
        <is>
          <t>Open map</t>
        </is>
      </c>
      <c r="O695" s="2" t="inlineStr">
        <is>
          <t>Not contacted</t>
        </is>
      </c>
      <c r="P695" s="2" t="inlineStr"/>
      <c r="Q695" s="2" t="inlineStr"/>
      <c r="R695" s="2" t="inlineStr"/>
      <c r="S695" s="2" t="inlineStr"/>
    </row>
    <row r="696">
      <c r="A696" s="2" t="n">
        <v>695</v>
      </c>
      <c r="B696" s="6" t="inlineStr">
        <is>
          <t>MEDIUM</t>
        </is>
      </c>
      <c r="C696" s="2" t="inlineStr">
        <is>
          <t>Weak website</t>
        </is>
      </c>
      <c r="D696" s="2" t="inlineStr">
        <is>
          <t>Woree Tavern</t>
        </is>
      </c>
      <c r="E696" s="2" t="inlineStr">
        <is>
          <t>bar or pub</t>
        </is>
      </c>
      <c r="F696" s="2" t="inlineStr">
        <is>
          <t>Cairns</t>
        </is>
      </c>
      <c r="G696" s="2" t="inlineStr">
        <is>
          <t>Instagram</t>
        </is>
      </c>
      <c r="H696" s="4" t="inlineStr">
        <is>
          <t>https://www.instagram.com/woreetavern</t>
        </is>
      </c>
      <c r="I696" s="4" t="inlineStr">
        <is>
          <t>https://www.facebook.com/WoreeTavern</t>
        </is>
      </c>
      <c r="J696" s="2" t="inlineStr"/>
      <c r="K696" s="4" t="inlineStr">
        <is>
          <t>https://www.woreetavern.com.au/</t>
        </is>
      </c>
      <c r="L696" s="2" t="inlineStr">
        <is>
          <t>looks outdated (copyright 2021)</t>
        </is>
      </c>
      <c r="M696" s="2" t="inlineStr">
        <is>
          <t>Hi Woree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6" s="4" t="inlineStr">
        <is>
          <t>Open map</t>
        </is>
      </c>
      <c r="O696" s="2" t="inlineStr">
        <is>
          <t>Not contacted</t>
        </is>
      </c>
      <c r="P696" s="2" t="inlineStr"/>
      <c r="Q696" s="2" t="inlineStr"/>
      <c r="R696" s="2" t="inlineStr"/>
      <c r="S696" s="2" t="inlineStr"/>
    </row>
    <row r="697">
      <c r="A697" s="2" t="n">
        <v>696</v>
      </c>
      <c r="B697" s="6" t="inlineStr">
        <is>
          <t>MEDIUM</t>
        </is>
      </c>
      <c r="C697" s="2" t="inlineStr">
        <is>
          <t>Weak website</t>
        </is>
      </c>
      <c r="D697" s="2" t="inlineStr">
        <is>
          <t>Mama Coco</t>
        </is>
      </c>
      <c r="E697" s="2" t="inlineStr">
        <is>
          <t>cafe</t>
        </is>
      </c>
      <c r="F697" s="2" t="inlineStr">
        <is>
          <t>Cairns</t>
        </is>
      </c>
      <c r="G697" s="2" t="inlineStr">
        <is>
          <t>Instagram</t>
        </is>
      </c>
      <c r="H697" s="4" t="inlineStr">
        <is>
          <t>http://instagram.com/mama_coco</t>
        </is>
      </c>
      <c r="I697" s="4" t="inlineStr">
        <is>
          <t>https://www.facebook.com/mamacococafe</t>
        </is>
      </c>
      <c r="J697" s="2" t="inlineStr">
        <is>
          <t>+61 7 4052 1226</t>
        </is>
      </c>
      <c r="K697" s="4" t="inlineStr">
        <is>
          <t>http://www.mamacoco.com.au</t>
        </is>
      </c>
      <c r="L697" s="2" t="inlineStr">
        <is>
          <t>no HTTPS (browser shows 'Not secure'); missing meta description</t>
        </is>
      </c>
      <c r="M697" s="2" t="inlineStr">
        <is>
          <t>Hi Mama Coco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7" s="4" t="inlineStr">
        <is>
          <t>Open map</t>
        </is>
      </c>
      <c r="O697" s="2" t="inlineStr">
        <is>
          <t>Not contacted</t>
        </is>
      </c>
      <c r="P697" s="2" t="inlineStr"/>
      <c r="Q697" s="2" t="inlineStr"/>
      <c r="R697" s="2" t="inlineStr"/>
      <c r="S697" s="2" t="inlineStr"/>
    </row>
    <row r="698">
      <c r="A698" s="2" t="n">
        <v>697</v>
      </c>
      <c r="B698" s="6" t="inlineStr">
        <is>
          <t>MEDIUM</t>
        </is>
      </c>
      <c r="C698" s="2" t="inlineStr">
        <is>
          <t>Weak website</t>
        </is>
      </c>
      <c r="D698" s="2" t="inlineStr">
        <is>
          <t>Wharf One Cafe</t>
        </is>
      </c>
      <c r="E698" s="2" t="inlineStr">
        <is>
          <t>cafe</t>
        </is>
      </c>
      <c r="F698" s="2" t="inlineStr">
        <is>
          <t>Cairns</t>
        </is>
      </c>
      <c r="G698" s="2" t="inlineStr">
        <is>
          <t>Instagram</t>
        </is>
      </c>
      <c r="H698" s="4" t="inlineStr">
        <is>
          <t>https://www.instagram.com/wharfonecairns</t>
        </is>
      </c>
      <c r="I698" s="4" t="inlineStr">
        <is>
          <t>https://www.facebook.com/wharfonecafe</t>
        </is>
      </c>
      <c r="J698" s="2" t="inlineStr">
        <is>
          <t>+61 7 4031 4820</t>
        </is>
      </c>
      <c r="K698" s="4" t="inlineStr">
        <is>
          <t>https://wharfonecafe.com.au/</t>
        </is>
      </c>
      <c r="L698" s="2" t="inlineStr">
        <is>
          <t>missing meta description; slow to load (3.1s)</t>
        </is>
      </c>
      <c r="M698" s="2" t="inlineStr">
        <is>
          <t>Hi Wharf One Cafe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98" s="4" t="inlineStr">
        <is>
          <t>Open map</t>
        </is>
      </c>
      <c r="O698" s="2" t="inlineStr">
        <is>
          <t>Not contacted</t>
        </is>
      </c>
      <c r="P698" s="2" t="inlineStr"/>
      <c r="Q698" s="2" t="inlineStr"/>
      <c r="R698" s="2" t="inlineStr"/>
      <c r="S698" s="2" t="inlineStr"/>
    </row>
    <row r="699">
      <c r="A699" s="2" t="n">
        <v>698</v>
      </c>
      <c r="B699" s="6" t="inlineStr">
        <is>
          <t>MEDIUM</t>
        </is>
      </c>
      <c r="C699" s="2" t="inlineStr">
        <is>
          <t>Weak website</t>
        </is>
      </c>
      <c r="D699" s="2" t="inlineStr">
        <is>
          <t>Kor Fitness &amp; Health</t>
        </is>
      </c>
      <c r="E699" s="2" t="inlineStr">
        <is>
          <t>gym or studio</t>
        </is>
      </c>
      <c r="F699" s="2" t="inlineStr">
        <is>
          <t>Cairns</t>
        </is>
      </c>
      <c r="G699" s="2" t="inlineStr">
        <is>
          <t>Instagram</t>
        </is>
      </c>
      <c r="H699" s="4" t="inlineStr">
        <is>
          <t>https://www.instagram.com/korfitnesshealth</t>
        </is>
      </c>
      <c r="I699" s="2" t="inlineStr"/>
      <c r="J699" s="2" t="inlineStr">
        <is>
          <t>+61 7 4045 6699</t>
        </is>
      </c>
      <c r="K699" s="4" t="inlineStr">
        <is>
          <t>https://www.korfitness.com.au/</t>
        </is>
      </c>
      <c r="L699" s="2" t="inlineStr">
        <is>
          <t>looks outdated (copyright 2023)</t>
        </is>
      </c>
      <c r="M699" s="2" t="inlineStr">
        <is>
          <t>Hi Kor Fitness &amp; Health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9" s="4" t="inlineStr">
        <is>
          <t>Open map</t>
        </is>
      </c>
      <c r="O699" s="2" t="inlineStr">
        <is>
          <t>Not contacted</t>
        </is>
      </c>
      <c r="P699" s="2" t="inlineStr"/>
      <c r="Q699" s="2" t="inlineStr"/>
      <c r="R699" s="2" t="inlineStr"/>
      <c r="S699" s="2" t="inlineStr"/>
    </row>
    <row r="700">
      <c r="A700" s="2" t="n">
        <v>699</v>
      </c>
      <c r="B700" s="6" t="inlineStr">
        <is>
          <t>MEDIUM</t>
        </is>
      </c>
      <c r="C700" s="2" t="inlineStr">
        <is>
          <t>Weak website</t>
        </is>
      </c>
      <c r="D700" s="2" t="inlineStr">
        <is>
          <t>FNQ Stump Grinding</t>
        </is>
      </c>
      <c r="E700" s="2" t="inlineStr">
        <is>
          <t>landscaper</t>
        </is>
      </c>
      <c r="F700" s="2" t="inlineStr">
        <is>
          <t>Cairns</t>
        </is>
      </c>
      <c r="G700" s="2" t="inlineStr">
        <is>
          <t>Instagram</t>
        </is>
      </c>
      <c r="H700" s="4" t="inlineStr">
        <is>
          <t>https://www.instagram.com/fnq_stump_grinding</t>
        </is>
      </c>
      <c r="I700" s="2" t="inlineStr"/>
      <c r="J700" s="2" t="inlineStr">
        <is>
          <t>+61 437 172 853</t>
        </is>
      </c>
      <c r="K700" s="4" t="inlineStr">
        <is>
          <t>https://fnqstumpgrinding.com.au/</t>
        </is>
      </c>
      <c r="L700" s="2" t="inlineStr">
        <is>
          <t>looks outdated (copyright 2023)</t>
        </is>
      </c>
      <c r="M700" s="2" t="inlineStr">
        <is>
          <t>Hi FNQ Stump Grinding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00" s="4" t="inlineStr">
        <is>
          <t>Open map</t>
        </is>
      </c>
      <c r="O700" s="2" t="inlineStr">
        <is>
          <t>Not contacted</t>
        </is>
      </c>
      <c r="P700" s="2" t="inlineStr"/>
      <c r="Q700" s="2" t="inlineStr"/>
      <c r="R700" s="2" t="inlineStr"/>
      <c r="S700" s="2" t="inlineStr"/>
    </row>
    <row r="701">
      <c r="A701" s="2" t="n">
        <v>700</v>
      </c>
      <c r="B701" s="6" t="inlineStr">
        <is>
          <t>MEDIUM</t>
        </is>
      </c>
      <c r="C701" s="2" t="inlineStr">
        <is>
          <t>Weak website</t>
        </is>
      </c>
      <c r="D701" s="2" t="inlineStr">
        <is>
          <t>Watergardens Nursery</t>
        </is>
      </c>
      <c r="E701" s="2" t="inlineStr">
        <is>
          <t>landscaper</t>
        </is>
      </c>
      <c r="F701" s="2" t="inlineStr">
        <is>
          <t>Cairns</t>
        </is>
      </c>
      <c r="G701" s="2" t="inlineStr">
        <is>
          <t>Instagram</t>
        </is>
      </c>
      <c r="H701" s="4" t="inlineStr">
        <is>
          <t>https://instagram.com/watergardensnursery</t>
        </is>
      </c>
      <c r="I701" s="4" t="inlineStr">
        <is>
          <t>https://www.facebook.com/Watergardens-Nursery-160690125682350</t>
        </is>
      </c>
      <c r="J701" s="2" t="inlineStr">
        <is>
          <t>+61 7 4281 6789</t>
        </is>
      </c>
      <c r="K701" s="4" t="inlineStr">
        <is>
          <t>https://watergardensnursery.com</t>
        </is>
      </c>
      <c r="L701" s="2" t="inlineStr">
        <is>
          <t>looks outdated (copyright 2021)</t>
        </is>
      </c>
      <c r="M701" s="2" t="inlineStr">
        <is>
          <t>Hi Watergardens Nursery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01" s="4" t="inlineStr">
        <is>
          <t>Open map</t>
        </is>
      </c>
      <c r="O701" s="2" t="inlineStr">
        <is>
          <t>Not contacted</t>
        </is>
      </c>
      <c r="P701" s="2" t="inlineStr"/>
      <c r="Q701" s="2" t="inlineStr"/>
      <c r="R701" s="2" t="inlineStr"/>
      <c r="S701" s="2" t="inlineStr"/>
    </row>
    <row r="702">
      <c r="A702" s="2" t="n">
        <v>701</v>
      </c>
      <c r="B702" s="6" t="inlineStr">
        <is>
          <t>MEDIUM</t>
        </is>
      </c>
      <c r="C702" s="2" t="inlineStr">
        <is>
          <t>Weak website</t>
        </is>
      </c>
      <c r="D702" s="2" t="inlineStr">
        <is>
          <t>Smithfield Central Doctors</t>
        </is>
      </c>
      <c r="E702" s="2" t="inlineStr">
        <is>
          <t>medical clinic</t>
        </is>
      </c>
      <c r="F702" s="2" t="inlineStr">
        <is>
          <t>Cairns</t>
        </is>
      </c>
      <c r="G702" s="2" t="inlineStr">
        <is>
          <t>Facebook</t>
        </is>
      </c>
      <c r="H702" s="2" t="inlineStr"/>
      <c r="I702" s="4" t="inlineStr">
        <is>
          <t>https://www.facebook.com/smithfieldcentraldoctors</t>
        </is>
      </c>
      <c r="J702" s="2" t="inlineStr">
        <is>
          <t>+61 7 4033 9900</t>
        </is>
      </c>
      <c r="K702" s="4" t="inlineStr">
        <is>
          <t>https://smithfielddoctors.com.au/</t>
        </is>
      </c>
      <c r="L702" s="2" t="inlineStr">
        <is>
          <t>slow to load (6.1s)</t>
        </is>
      </c>
      <c r="M702" s="2" t="inlineStr">
        <is>
          <t>Hi Smithfield Central Doctors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2" s="4" t="inlineStr">
        <is>
          <t>Open map</t>
        </is>
      </c>
      <c r="O702" s="2" t="inlineStr">
        <is>
          <t>Not contacted</t>
        </is>
      </c>
      <c r="P702" s="2" t="inlineStr"/>
      <c r="Q702" s="2" t="inlineStr"/>
      <c r="R702" s="2" t="inlineStr"/>
      <c r="S702" s="2" t="inlineStr"/>
    </row>
    <row r="703">
      <c r="A703" s="2" t="n">
        <v>702</v>
      </c>
      <c r="B703" s="6" t="inlineStr">
        <is>
          <t>MEDIUM</t>
        </is>
      </c>
      <c r="C703" s="2" t="inlineStr">
        <is>
          <t>Weak website</t>
        </is>
      </c>
      <c r="D703" s="2" t="inlineStr">
        <is>
          <t>HKS Russell</t>
        </is>
      </c>
      <c r="E703" s="2" t="inlineStr">
        <is>
          <t>professional services</t>
        </is>
      </c>
      <c r="F703" s="2" t="inlineStr">
        <is>
          <t>Cairns</t>
        </is>
      </c>
      <c r="G703" s="2" t="inlineStr">
        <is>
          <t>Instagram</t>
        </is>
      </c>
      <c r="H703" s="4" t="inlineStr">
        <is>
          <t>https://www.instagram.com/hksrussellofficial</t>
        </is>
      </c>
      <c r="I703" s="4" t="inlineStr">
        <is>
          <t>https://www.facebook.com/hksrussell</t>
        </is>
      </c>
      <c r="J703" s="2" t="inlineStr">
        <is>
          <t>+61 7 3177 4120</t>
        </is>
      </c>
      <c r="K703" s="4" t="inlineStr">
        <is>
          <t>https://hksrussell.com/</t>
        </is>
      </c>
      <c r="L703" s="2" t="inlineStr">
        <is>
          <t>slow to load (4.0s)</t>
        </is>
      </c>
      <c r="M703" s="2" t="inlineStr">
        <is>
          <t>Hi HKS Russell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3" s="4" t="inlineStr">
        <is>
          <t>Open map</t>
        </is>
      </c>
      <c r="O703" s="2" t="inlineStr">
        <is>
          <t>Not contacted</t>
        </is>
      </c>
      <c r="P703" s="2" t="inlineStr"/>
      <c r="Q703" s="2" t="inlineStr"/>
      <c r="R703" s="2" t="inlineStr"/>
      <c r="S703" s="2" t="inlineStr"/>
    </row>
    <row r="704">
      <c r="A704" s="2" t="n">
        <v>703</v>
      </c>
      <c r="B704" s="6" t="inlineStr">
        <is>
          <t>MEDIUM</t>
        </is>
      </c>
      <c r="C704" s="2" t="inlineStr">
        <is>
          <t>Weak website</t>
        </is>
      </c>
      <c r="D704" s="2" t="inlineStr">
        <is>
          <t>Neater Homes</t>
        </is>
      </c>
      <c r="E704" s="2" t="inlineStr">
        <is>
          <t>real estate agent</t>
        </is>
      </c>
      <c r="F704" s="2" t="inlineStr">
        <is>
          <t>Cairns</t>
        </is>
      </c>
      <c r="G704" s="2" t="inlineStr">
        <is>
          <t>Instagram</t>
        </is>
      </c>
      <c r="H704" s="4" t="inlineStr">
        <is>
          <t>https://www.instagram.com/neaterhomescairns</t>
        </is>
      </c>
      <c r="I704" s="4" t="inlineStr">
        <is>
          <t>https://www.facebook.com/NeaterHomesCairns</t>
        </is>
      </c>
      <c r="J704" s="2" t="inlineStr">
        <is>
          <t>+61 7 4055 2500</t>
        </is>
      </c>
      <c r="K704" s="4" t="inlineStr">
        <is>
          <t>https://www.neaterhomesnq.com.au/</t>
        </is>
      </c>
      <c r="L704" s="2" t="inlineStr">
        <is>
          <t>slow to load (3.2s)</t>
        </is>
      </c>
      <c r="M704" s="2" t="inlineStr">
        <is>
          <t>Hi Neater Homes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4" s="4" t="inlineStr">
        <is>
          <t>Open map</t>
        </is>
      </c>
      <c r="O704" s="2" t="inlineStr">
        <is>
          <t>Not contacted</t>
        </is>
      </c>
      <c r="P704" s="2" t="inlineStr"/>
      <c r="Q704" s="2" t="inlineStr"/>
      <c r="R704" s="2" t="inlineStr"/>
      <c r="S704" s="2" t="inlineStr"/>
    </row>
    <row r="705">
      <c r="A705" s="2" t="n">
        <v>704</v>
      </c>
      <c r="B705" s="6" t="inlineStr">
        <is>
          <t>MEDIUM</t>
        </is>
      </c>
      <c r="C705" s="2" t="inlineStr">
        <is>
          <t>Weak website</t>
        </is>
      </c>
      <c r="D705" s="2" t="inlineStr">
        <is>
          <t>Bayleaf</t>
        </is>
      </c>
      <c r="E705" s="2" t="inlineStr">
        <is>
          <t>restaurant</t>
        </is>
      </c>
      <c r="F705" s="2" t="inlineStr">
        <is>
          <t>Cairns</t>
        </is>
      </c>
      <c r="G705" s="2" t="inlineStr">
        <is>
          <t>Instagram</t>
        </is>
      </c>
      <c r="H705" s="4" t="inlineStr">
        <is>
          <t>https://www.instagram.com/bayvillageretreat</t>
        </is>
      </c>
      <c r="I705" s="4" t="inlineStr">
        <is>
          <t>https://www.facebook.com/bayvillageretreat</t>
        </is>
      </c>
      <c r="J705" s="2" t="inlineStr">
        <is>
          <t>+61 7 4051 4622</t>
        </is>
      </c>
      <c r="K705" s="4" t="inlineStr">
        <is>
          <t>https://www.bayvillage.com.au/bayleaf</t>
        </is>
      </c>
      <c r="L705" s="2" t="inlineStr">
        <is>
          <t>slow to load (4.8s)</t>
        </is>
      </c>
      <c r="M705" s="2" t="inlineStr">
        <is>
          <t>Hi Bayleaf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5" s="4" t="inlineStr">
        <is>
          <t>Open map</t>
        </is>
      </c>
      <c r="O705" s="2" t="inlineStr">
        <is>
          <t>Not contacted</t>
        </is>
      </c>
      <c r="P705" s="2" t="inlineStr"/>
      <c r="Q705" s="2" t="inlineStr"/>
      <c r="R705" s="2" t="inlineStr"/>
      <c r="S705" s="2" t="inlineStr"/>
    </row>
    <row r="706">
      <c r="A706" s="2" t="n">
        <v>705</v>
      </c>
      <c r="B706" s="6" t="inlineStr">
        <is>
          <t>MEDIUM</t>
        </is>
      </c>
      <c r="C706" s="2" t="inlineStr">
        <is>
          <t>Weak website</t>
        </is>
      </c>
      <c r="D706" s="2" t="inlineStr">
        <is>
          <t>Bushfire Flame Grill</t>
        </is>
      </c>
      <c r="E706" s="2" t="inlineStr">
        <is>
          <t>restaurant</t>
        </is>
      </c>
      <c r="F706" s="2" t="inlineStr">
        <is>
          <t>Cairns</t>
        </is>
      </c>
      <c r="G706" s="2" t="inlineStr">
        <is>
          <t>Instagram</t>
        </is>
      </c>
      <c r="H706" s="4" t="inlineStr">
        <is>
          <t>https://www.instagram.com/bushfirecairns</t>
        </is>
      </c>
      <c r="I706" s="4" t="inlineStr">
        <is>
          <t>https://www.facebook.com/BushfireCairns</t>
        </is>
      </c>
      <c r="J706" s="2" t="inlineStr">
        <is>
          <t>+61 7 4044 1879</t>
        </is>
      </c>
      <c r="K706" s="4" t="inlineStr">
        <is>
          <t>https://bushfirecairns.com/</t>
        </is>
      </c>
      <c r="L706" s="2" t="inlineStr">
        <is>
          <t>missing meta description</t>
        </is>
      </c>
      <c r="M706" s="2" t="inlineStr">
        <is>
          <t>Hi Bushfire Flame Grill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06" s="4" t="inlineStr">
        <is>
          <t>Open map</t>
        </is>
      </c>
      <c r="O706" s="2" t="inlineStr">
        <is>
          <t>Not contacted</t>
        </is>
      </c>
      <c r="P706" s="2" t="inlineStr"/>
      <c r="Q706" s="2" t="inlineStr"/>
      <c r="R706" s="2" t="inlineStr"/>
      <c r="S706" s="2" t="inlineStr"/>
    </row>
    <row r="707">
      <c r="A707" s="2" t="n">
        <v>706</v>
      </c>
      <c r="B707" s="6" t="inlineStr">
        <is>
          <t>MEDIUM</t>
        </is>
      </c>
      <c r="C707" s="2" t="inlineStr">
        <is>
          <t>Weak website</t>
        </is>
      </c>
      <c r="D707" s="2" t="inlineStr">
        <is>
          <t>Jimmys</t>
        </is>
      </c>
      <c r="E707" s="2" t="inlineStr">
        <is>
          <t>restaurant</t>
        </is>
      </c>
      <c r="F707" s="2" t="inlineStr">
        <is>
          <t>Cairns</t>
        </is>
      </c>
      <c r="G707" s="2" t="inlineStr">
        <is>
          <t>Instagram</t>
        </is>
      </c>
      <c r="H707" s="4" t="inlineStr">
        <is>
          <t>http://instagram.com/jimmysburger_co</t>
        </is>
      </c>
      <c r="I707" s="4" t="inlineStr">
        <is>
          <t>https://www.facebook.com/jimmysburgerco</t>
        </is>
      </c>
      <c r="J707" s="2" t="inlineStr">
        <is>
          <t>+61 7 4041 6651</t>
        </is>
      </c>
      <c r="K707" s="4" t="inlineStr">
        <is>
          <t>http://www.jimmysburgerco.com/</t>
        </is>
      </c>
      <c r="L707" s="2" t="inlineStr">
        <is>
          <t>no HTTPS (browser shows 'Not secure')</t>
        </is>
      </c>
      <c r="M707" s="2" t="inlineStr">
        <is>
          <t>Hi Jimmys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07" s="4" t="inlineStr">
        <is>
          <t>Open map</t>
        </is>
      </c>
      <c r="O707" s="2" t="inlineStr">
        <is>
          <t>Not contacted</t>
        </is>
      </c>
      <c r="P707" s="2" t="inlineStr"/>
      <c r="Q707" s="2" t="inlineStr"/>
      <c r="R707" s="2" t="inlineStr"/>
      <c r="S707" s="2" t="inlineStr"/>
    </row>
    <row r="708">
      <c r="A708" s="2" t="n">
        <v>707</v>
      </c>
      <c r="B708" s="6" t="inlineStr">
        <is>
          <t>MEDIUM</t>
        </is>
      </c>
      <c r="C708" s="2" t="inlineStr">
        <is>
          <t>Weak website</t>
        </is>
      </c>
      <c r="D708" s="2" t="inlineStr">
        <is>
          <t>Palooka</t>
        </is>
      </c>
      <c r="E708" s="2" t="inlineStr">
        <is>
          <t>restaurant</t>
        </is>
      </c>
      <c r="F708" s="2" t="inlineStr">
        <is>
          <t>Cairns</t>
        </is>
      </c>
      <c r="G708" s="2" t="inlineStr">
        <is>
          <t>Instagram</t>
        </is>
      </c>
      <c r="H708" s="4" t="inlineStr">
        <is>
          <t>https://www.instagram.com/palooka.cairns</t>
        </is>
      </c>
      <c r="I708" s="2" t="inlineStr"/>
      <c r="J708" s="2" t="inlineStr">
        <is>
          <t>+61 7 4055 1633</t>
        </is>
      </c>
      <c r="K708" s="4" t="inlineStr">
        <is>
          <t>https://palooka.com.au/</t>
        </is>
      </c>
      <c r="L708" s="2" t="inlineStr">
        <is>
          <t>missing meta description</t>
        </is>
      </c>
      <c r="M708" s="2" t="inlineStr">
        <is>
          <t>Hi Palooka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08" s="4" t="inlineStr">
        <is>
          <t>Open map</t>
        </is>
      </c>
      <c r="O708" s="2" t="inlineStr">
        <is>
          <t>Not contacted</t>
        </is>
      </c>
      <c r="P708" s="2" t="inlineStr"/>
      <c r="Q708" s="2" t="inlineStr"/>
      <c r="R708" s="2" t="inlineStr"/>
      <c r="S708" s="2" t="inlineStr"/>
    </row>
    <row r="709">
      <c r="A709" s="2" t="n">
        <v>708</v>
      </c>
      <c r="B709" s="6" t="inlineStr">
        <is>
          <t>MEDIUM</t>
        </is>
      </c>
      <c r="C709" s="2" t="inlineStr">
        <is>
          <t>Weak website</t>
        </is>
      </c>
      <c r="D709" s="2" t="inlineStr">
        <is>
          <t>Perrotta’s at the Gallery</t>
        </is>
      </c>
      <c r="E709" s="2" t="inlineStr">
        <is>
          <t>restaurant</t>
        </is>
      </c>
      <c r="F709" s="2" t="inlineStr">
        <is>
          <t>Cairns</t>
        </is>
      </c>
      <c r="G709" s="2" t="inlineStr">
        <is>
          <t>Instagram</t>
        </is>
      </c>
      <c r="H709" s="4" t="inlineStr">
        <is>
          <t>https://www.instagram.com/perrottas.cairns</t>
        </is>
      </c>
      <c r="I709" s="4" t="inlineStr">
        <is>
          <t>https://www.facebook.com/perrottas.cairns</t>
        </is>
      </c>
      <c r="J709" s="2" t="inlineStr"/>
      <c r="K709" s="4" t="inlineStr">
        <is>
          <t>https://www.perrottasatg.com</t>
        </is>
      </c>
      <c r="L709" s="2" t="inlineStr">
        <is>
          <t>missing meta description; slow to load (5.2s)</t>
        </is>
      </c>
      <c r="M709" s="2" t="inlineStr">
        <is>
          <t>Hi Perrotta’s at the Gallery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9" s="4" t="inlineStr">
        <is>
          <t>Open map</t>
        </is>
      </c>
      <c r="O709" s="2" t="inlineStr">
        <is>
          <t>Not contacted</t>
        </is>
      </c>
      <c r="P709" s="2" t="inlineStr"/>
      <c r="Q709" s="2" t="inlineStr"/>
      <c r="R709" s="2" t="inlineStr"/>
      <c r="S709" s="2" t="inlineStr"/>
    </row>
    <row r="710">
      <c r="A710" s="2" t="n">
        <v>709</v>
      </c>
      <c r="B710" s="6" t="inlineStr">
        <is>
          <t>MEDIUM</t>
        </is>
      </c>
      <c r="C710" s="2" t="inlineStr">
        <is>
          <t>Weak website</t>
        </is>
      </c>
      <c r="D710" s="2" t="inlineStr">
        <is>
          <t>The Beach House at Trinity Beach</t>
        </is>
      </c>
      <c r="E710" s="2" t="inlineStr">
        <is>
          <t>restaurant</t>
        </is>
      </c>
      <c r="F710" s="2" t="inlineStr">
        <is>
          <t>Cairns</t>
        </is>
      </c>
      <c r="G710" s="2" t="inlineStr">
        <is>
          <t>Facebook</t>
        </is>
      </c>
      <c r="H710" s="2" t="inlineStr"/>
      <c r="I710" s="4" t="inlineStr">
        <is>
          <t>https://www.facebook.com/BeachHouseTrinity</t>
        </is>
      </c>
      <c r="J710" s="2" t="inlineStr">
        <is>
          <t>+61 7 4055 6684</t>
        </is>
      </c>
      <c r="K710" s="4" t="inlineStr">
        <is>
          <t>https://www.beachhousetrinity.com.au/</t>
        </is>
      </c>
      <c r="L710" s="2" t="inlineStr">
        <is>
          <t>looks outdated (copyright 2022); missing meta description</t>
        </is>
      </c>
      <c r="M710" s="2" t="inlineStr">
        <is>
          <t>Hi The Beach House at Trinity Beach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0" s="4" t="inlineStr">
        <is>
          <t>Open map</t>
        </is>
      </c>
      <c r="O710" s="2" t="inlineStr">
        <is>
          <t>Not contacted</t>
        </is>
      </c>
      <c r="P710" s="2" t="inlineStr"/>
      <c r="Q710" s="2" t="inlineStr"/>
      <c r="R710" s="2" t="inlineStr"/>
      <c r="S710" s="2" t="inlineStr"/>
    </row>
    <row r="711">
      <c r="A711" s="2" t="n">
        <v>710</v>
      </c>
      <c r="B711" s="6" t="inlineStr">
        <is>
          <t>MEDIUM</t>
        </is>
      </c>
      <c r="C711" s="2" t="inlineStr">
        <is>
          <t>Weak website</t>
        </is>
      </c>
      <c r="D711" s="2" t="inlineStr">
        <is>
          <t>Royal Tattoo</t>
        </is>
      </c>
      <c r="E711" s="2" t="inlineStr">
        <is>
          <t>tattoo studio</t>
        </is>
      </c>
      <c r="F711" s="2" t="inlineStr">
        <is>
          <t>Cairns</t>
        </is>
      </c>
      <c r="G711" s="2" t="inlineStr">
        <is>
          <t>Instagram</t>
        </is>
      </c>
      <c r="H711" s="4" t="inlineStr">
        <is>
          <t>https://www.instagram.com/royalbluetattoo</t>
        </is>
      </c>
      <c r="I711" s="2" t="inlineStr"/>
      <c r="J711" s="2" t="inlineStr"/>
      <c r="K711" s="4" t="inlineStr">
        <is>
          <t>https://www.royalbluetattoo.com.au/</t>
        </is>
      </c>
      <c r="L711" s="2" t="inlineStr">
        <is>
          <t>looks outdated (copyright 2015)</t>
        </is>
      </c>
      <c r="M711" s="2" t="inlineStr">
        <is>
          <t>Hi Royal Tattoo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1" s="4" t="inlineStr">
        <is>
          <t>Open map</t>
        </is>
      </c>
      <c r="O711" s="2" t="inlineStr">
        <is>
          <t>Not contacted</t>
        </is>
      </c>
      <c r="P711" s="2" t="inlineStr"/>
      <c r="Q711" s="2" t="inlineStr"/>
      <c r="R711" s="2" t="inlineStr"/>
      <c r="S711" s="2" t="inlineStr"/>
    </row>
    <row r="712">
      <c r="A712" s="2" t="n">
        <v>711</v>
      </c>
      <c r="B712" s="6" t="inlineStr">
        <is>
          <t>MEDIUM</t>
        </is>
      </c>
      <c r="C712" s="2" t="inlineStr">
        <is>
          <t>Weak website</t>
        </is>
      </c>
      <c r="D712" s="2" t="inlineStr">
        <is>
          <t>Curtis Central Apartments</t>
        </is>
      </c>
      <c r="E712" s="2" t="inlineStr">
        <is>
          <t>accommodation</t>
        </is>
      </c>
      <c r="F712" s="2" t="inlineStr">
        <is>
          <t>Gladstone</t>
        </is>
      </c>
      <c r="G712" s="2" t="inlineStr">
        <is>
          <t>Instagram</t>
        </is>
      </c>
      <c r="H712" s="4" t="inlineStr">
        <is>
          <t>https://www.instagram.com/cag_australia</t>
        </is>
      </c>
      <c r="I712" s="4" t="inlineStr">
        <is>
          <t>https://www.facebook.com/GladstoneCentralApartmentHotels</t>
        </is>
      </c>
      <c r="J712" s="2" t="inlineStr">
        <is>
          <t>+61 7 4843 7800</t>
        </is>
      </c>
      <c r="K712" s="4" t="inlineStr">
        <is>
          <t>https://www.curtiscentralapartments.com.au/</t>
        </is>
      </c>
      <c r="L712" s="2" t="inlineStr">
        <is>
          <t>missing meta description</t>
        </is>
      </c>
      <c r="M712" s="2" t="inlineStr">
        <is>
          <t>Hi Curtis Central Apartments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2" s="4" t="inlineStr">
        <is>
          <t>Open map</t>
        </is>
      </c>
      <c r="O712" s="2" t="inlineStr">
        <is>
          <t>Not contacted</t>
        </is>
      </c>
      <c r="P712" s="2" t="inlineStr"/>
      <c r="Q712" s="2" t="inlineStr"/>
      <c r="R712" s="2" t="inlineStr"/>
      <c r="S712" s="2" t="inlineStr"/>
    </row>
    <row r="713">
      <c r="A713" s="2" t="n">
        <v>712</v>
      </c>
      <c r="B713" s="6" t="inlineStr">
        <is>
          <t>MEDIUM</t>
        </is>
      </c>
      <c r="C713" s="2" t="inlineStr">
        <is>
          <t>Weak website</t>
        </is>
      </c>
      <c r="D713" s="2" t="inlineStr">
        <is>
          <t>Gladstone City Central Apartment Hotel</t>
        </is>
      </c>
      <c r="E713" s="2" t="inlineStr">
        <is>
          <t>accommodation</t>
        </is>
      </c>
      <c r="F713" s="2" t="inlineStr">
        <is>
          <t>Gladstone</t>
        </is>
      </c>
      <c r="G713" s="2" t="inlineStr">
        <is>
          <t>Instagram</t>
        </is>
      </c>
      <c r="H713" s="4" t="inlineStr">
        <is>
          <t>https://www.instagram.com/cag_australia</t>
        </is>
      </c>
      <c r="I713" s="4" t="inlineStr">
        <is>
          <t>https://www.facebook.com/GladstoneCentralApartmentHotels</t>
        </is>
      </c>
      <c r="J713" s="2" t="inlineStr">
        <is>
          <t>+61 7 4971 0000</t>
        </is>
      </c>
      <c r="K713" s="4" t="inlineStr">
        <is>
          <t>https://www.gladstonecitycentral.com.au/</t>
        </is>
      </c>
      <c r="L713" s="2" t="inlineStr">
        <is>
          <t>missing meta description</t>
        </is>
      </c>
      <c r="M713" s="2" t="inlineStr">
        <is>
          <t>Hi Gladstone City Central Apartment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3" s="4" t="inlineStr">
        <is>
          <t>Open map</t>
        </is>
      </c>
      <c r="O713" s="2" t="inlineStr">
        <is>
          <t>Not contacted</t>
        </is>
      </c>
      <c r="P713" s="2" t="inlineStr"/>
      <c r="Q713" s="2" t="inlineStr"/>
      <c r="R713" s="2" t="inlineStr"/>
      <c r="S713" s="2" t="inlineStr"/>
    </row>
    <row r="714">
      <c r="A714" s="2" t="n">
        <v>713</v>
      </c>
      <c r="B714" s="6" t="inlineStr">
        <is>
          <t>MEDIUM</t>
        </is>
      </c>
      <c r="C714" s="2" t="inlineStr">
        <is>
          <t>Weak website</t>
        </is>
      </c>
      <c r="D714" s="2" t="inlineStr">
        <is>
          <t>Gladstone Downtown Central</t>
        </is>
      </c>
      <c r="E714" s="2" t="inlineStr">
        <is>
          <t>accommodation</t>
        </is>
      </c>
      <c r="F714" s="2" t="inlineStr">
        <is>
          <t>Gladstone</t>
        </is>
      </c>
      <c r="G714" s="2" t="inlineStr">
        <is>
          <t>Instagram</t>
        </is>
      </c>
      <c r="H714" s="4" t="inlineStr">
        <is>
          <t>https://www.instagram.com/cag_australia</t>
        </is>
      </c>
      <c r="I714" s="4" t="inlineStr">
        <is>
          <t>https://www.facebook.com/GladstoneCentralApartmentHotels</t>
        </is>
      </c>
      <c r="J714" s="2" t="inlineStr">
        <is>
          <t>+61 7 4971 0088</t>
        </is>
      </c>
      <c r="K714" s="4" t="inlineStr">
        <is>
          <t>https://www.gladstonedowntowncentral.com.au/</t>
        </is>
      </c>
      <c r="L714" s="2" t="inlineStr">
        <is>
          <t>missing meta description</t>
        </is>
      </c>
      <c r="M714" s="2" t="inlineStr">
        <is>
          <t>Hi Gladstone Downtown Central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4" s="4" t="inlineStr">
        <is>
          <t>Open map</t>
        </is>
      </c>
      <c r="O714" s="2" t="inlineStr">
        <is>
          <t>Not contacted</t>
        </is>
      </c>
      <c r="P714" s="2" t="inlineStr"/>
      <c r="Q714" s="2" t="inlineStr"/>
      <c r="R714" s="2" t="inlineStr"/>
      <c r="S714" s="2" t="inlineStr"/>
    </row>
    <row r="715">
      <c r="A715" s="2" t="n">
        <v>714</v>
      </c>
      <c r="B715" s="6" t="inlineStr">
        <is>
          <t>MEDIUM</t>
        </is>
      </c>
      <c r="C715" s="2" t="inlineStr">
        <is>
          <t>Weak website</t>
        </is>
      </c>
      <c r="D715" s="2" t="inlineStr">
        <is>
          <t>Coffee on Oaka</t>
        </is>
      </c>
      <c r="E715" s="2" t="inlineStr">
        <is>
          <t>deli or specialty food</t>
        </is>
      </c>
      <c r="F715" s="2" t="inlineStr">
        <is>
          <t>Gladstone</t>
        </is>
      </c>
      <c r="G715" s="2" t="inlineStr">
        <is>
          <t>Instagram</t>
        </is>
      </c>
      <c r="H715" s="4" t="inlineStr">
        <is>
          <t>https://www.instagram.com/coffeeonoaka</t>
        </is>
      </c>
      <c r="I715" s="4" t="inlineStr">
        <is>
          <t>https://www.facebook.com/61555035516159</t>
        </is>
      </c>
      <c r="J715" s="2" t="inlineStr"/>
      <c r="K715" s="4" t="inlineStr">
        <is>
          <t>https://www.coffeeonoaka.com.au/</t>
        </is>
      </c>
      <c r="L715" s="2" t="inlineStr">
        <is>
          <t>website address not working (check the business is still open)</t>
        </is>
      </c>
      <c r="M715" s="2" t="inlineStr">
        <is>
          <t>Hi Coffee on Oaka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5" s="4" t="inlineStr">
        <is>
          <t>Open map</t>
        </is>
      </c>
      <c r="O715" s="2" t="inlineStr">
        <is>
          <t>Not contacted</t>
        </is>
      </c>
      <c r="P715" s="2" t="inlineStr"/>
      <c r="Q715" s="2" t="inlineStr"/>
      <c r="R715" s="2" t="inlineStr"/>
      <c r="S715" s="2" t="inlineStr"/>
    </row>
    <row r="716">
      <c r="A716" s="2" t="n">
        <v>715</v>
      </c>
      <c r="B716" s="6" t="inlineStr">
        <is>
          <t>MEDIUM</t>
        </is>
      </c>
      <c r="C716" s="2" t="inlineStr">
        <is>
          <t>Weak website</t>
        </is>
      </c>
      <c r="D716" s="2" t="inlineStr">
        <is>
          <t>Bayswater Tweed</t>
        </is>
      </c>
      <c r="E716" s="2" t="inlineStr">
        <is>
          <t>accommodation</t>
        </is>
      </c>
      <c r="F716" s="2" t="inlineStr">
        <is>
          <t>Gold Coast</t>
        </is>
      </c>
      <c r="G716" s="2" t="inlineStr">
        <is>
          <t>Instagram</t>
        </is>
      </c>
      <c r="H716" s="4" t="inlineStr">
        <is>
          <t>https://www.instagram.com/bayswater.tweed.motel</t>
        </is>
      </c>
      <c r="I716" s="4" t="inlineStr">
        <is>
          <t>https://www.facebook.com/bayswatertweedmotel</t>
        </is>
      </c>
      <c r="J716" s="2" t="inlineStr">
        <is>
          <t>+61 7 5599 4111</t>
        </is>
      </c>
      <c r="K716" s="4" t="inlineStr">
        <is>
          <t>https://www.bayswatertweed.com.au/</t>
        </is>
      </c>
      <c r="L716" s="2" t="inlineStr">
        <is>
          <t>missing meta description; slow to load (7.9s)</t>
        </is>
      </c>
      <c r="M716" s="2" t="inlineStr">
        <is>
          <t>Hi Bayswater Tweed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16" s="4" t="inlineStr">
        <is>
          <t>Open map</t>
        </is>
      </c>
      <c r="O716" s="2" t="inlineStr">
        <is>
          <t>Not contacted</t>
        </is>
      </c>
      <c r="P716" s="2" t="inlineStr"/>
      <c r="Q716" s="2" t="inlineStr"/>
      <c r="R716" s="2" t="inlineStr"/>
      <c r="S716" s="2" t="inlineStr"/>
    </row>
    <row r="717">
      <c r="A717" s="2" t="n">
        <v>716</v>
      </c>
      <c r="B717" s="6" t="inlineStr">
        <is>
          <t>MEDIUM</t>
        </is>
      </c>
      <c r="C717" s="2" t="inlineStr">
        <is>
          <t>Weak website</t>
        </is>
      </c>
      <c r="D717" s="2" t="inlineStr">
        <is>
          <t>Blue Pelican Motel</t>
        </is>
      </c>
      <c r="E717" s="2" t="inlineStr">
        <is>
          <t>accommodation</t>
        </is>
      </c>
      <c r="F717" s="2" t="inlineStr">
        <is>
          <t>Gold Coast</t>
        </is>
      </c>
      <c r="G717" s="2" t="inlineStr">
        <is>
          <t>Instagram</t>
        </is>
      </c>
      <c r="H717" s="4" t="inlineStr">
        <is>
          <t>https://instagram.com/wix</t>
        </is>
      </c>
      <c r="I717" s="4" t="inlineStr">
        <is>
          <t>https://www.facebook.com/pages/Blue-pelican-motel-TWEED-HEADS/155153954530130</t>
        </is>
      </c>
      <c r="J717" s="2" t="inlineStr">
        <is>
          <t>+61 7 5536 1777</t>
        </is>
      </c>
      <c r="K717" s="4" t="inlineStr">
        <is>
          <t>https://www.bluepelicanmotel.com.au/</t>
        </is>
      </c>
      <c r="L717" s="2" t="inlineStr">
        <is>
          <t>looks outdated (copyright 2018); missing meta description</t>
        </is>
      </c>
      <c r="M717" s="2" t="inlineStr">
        <is>
          <t>Hi Blue Pelican Motel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7" s="4" t="inlineStr">
        <is>
          <t>Open map</t>
        </is>
      </c>
      <c r="O717" s="2" t="inlineStr">
        <is>
          <t>Not contacted</t>
        </is>
      </c>
      <c r="P717" s="2" t="inlineStr"/>
      <c r="Q717" s="2" t="inlineStr"/>
      <c r="R717" s="2" t="inlineStr"/>
      <c r="S717" s="2" t="inlineStr"/>
    </row>
    <row r="718">
      <c r="A718" s="2" t="n">
        <v>717</v>
      </c>
      <c r="B718" s="6" t="inlineStr">
        <is>
          <t>MEDIUM</t>
        </is>
      </c>
      <c r="C718" s="2" t="inlineStr">
        <is>
          <t>Weak website</t>
        </is>
      </c>
      <c r="D718" s="2" t="inlineStr">
        <is>
          <t>Burleigh Surf</t>
        </is>
      </c>
      <c r="E718" s="2" t="inlineStr">
        <is>
          <t>accommodation</t>
        </is>
      </c>
      <c r="F718" s="2" t="inlineStr">
        <is>
          <t>Gold Coast</t>
        </is>
      </c>
      <c r="G718" s="2" t="inlineStr">
        <is>
          <t>Instagram</t>
        </is>
      </c>
      <c r="H718" s="4" t="inlineStr">
        <is>
          <t>https://www.instagram.com/coastbreakz</t>
        </is>
      </c>
      <c r="I718" s="4" t="inlineStr">
        <is>
          <t>https://www.facebook.com/Burleigh-Surf-Beachfront-Apartments-101129500003773</t>
        </is>
      </c>
      <c r="J718" s="2" t="inlineStr">
        <is>
          <t>+61 7 5535 8866</t>
        </is>
      </c>
      <c r="K718" s="4" t="inlineStr">
        <is>
          <t>https://www.burleighsurf.com.au/</t>
        </is>
      </c>
      <c r="L718" s="2" t="inlineStr">
        <is>
          <t>looks outdated (copyright 2020)</t>
        </is>
      </c>
      <c r="M718" s="2" t="inlineStr">
        <is>
          <t>Hi Burleigh Surf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8" s="4" t="inlineStr">
        <is>
          <t>Open map</t>
        </is>
      </c>
      <c r="O718" s="2" t="inlineStr">
        <is>
          <t>Not contacted</t>
        </is>
      </c>
      <c r="P718" s="2" t="inlineStr"/>
      <c r="Q718" s="2" t="inlineStr"/>
      <c r="R718" s="2" t="inlineStr"/>
      <c r="S718" s="2" t="inlineStr"/>
    </row>
    <row r="719">
      <c r="A719" s="2" t="n">
        <v>718</v>
      </c>
      <c r="B719" s="6" t="inlineStr">
        <is>
          <t>MEDIUM</t>
        </is>
      </c>
      <c r="C719" s="2" t="inlineStr">
        <is>
          <t>Weak website</t>
        </is>
      </c>
      <c r="D719" s="2" t="inlineStr">
        <is>
          <t>Cook's Endeavour Motor Inn</t>
        </is>
      </c>
      <c r="E719" s="2" t="inlineStr">
        <is>
          <t>accommodation</t>
        </is>
      </c>
      <c r="F719" s="2" t="inlineStr">
        <is>
          <t>Gold Coast</t>
        </is>
      </c>
      <c r="G719" s="2" t="inlineStr">
        <is>
          <t>Facebook</t>
        </is>
      </c>
      <c r="H719" s="2" t="inlineStr"/>
      <c r="I719" s="4" t="inlineStr">
        <is>
          <t>https://www.facebook.com/CooksEndeavourTweed</t>
        </is>
      </c>
      <c r="J719" s="2" t="inlineStr">
        <is>
          <t>+61 7 5536 5399</t>
        </is>
      </c>
      <c r="K719" s="4" t="inlineStr">
        <is>
          <t>https://cooksendeavourmotorinn.com.au/</t>
        </is>
      </c>
      <c r="L719" s="2" t="inlineStr">
        <is>
          <t>missing meta description</t>
        </is>
      </c>
      <c r="M719" s="2" t="inlineStr">
        <is>
          <t>Hi Cook's Endeavour Motor Inn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9" s="4" t="inlineStr">
        <is>
          <t>Open map</t>
        </is>
      </c>
      <c r="O719" s="2" t="inlineStr">
        <is>
          <t>Not contacted</t>
        </is>
      </c>
      <c r="P719" s="2" t="inlineStr"/>
      <c r="Q719" s="2" t="inlineStr"/>
      <c r="R719" s="2" t="inlineStr"/>
      <c r="S719" s="2" t="inlineStr"/>
    </row>
    <row r="720">
      <c r="A720" s="2" t="n">
        <v>719</v>
      </c>
      <c r="B720" s="6" t="inlineStr">
        <is>
          <t>MEDIUM</t>
        </is>
      </c>
      <c r="C720" s="2" t="inlineStr">
        <is>
          <t>Weak website</t>
        </is>
      </c>
      <c r="D720" s="2" t="inlineStr">
        <is>
          <t>Coolangatta Sands Hotel</t>
        </is>
      </c>
      <c r="E720" s="2" t="inlineStr">
        <is>
          <t>accommodation</t>
        </is>
      </c>
      <c r="F720" s="2" t="inlineStr">
        <is>
          <t>Gold Coast</t>
        </is>
      </c>
      <c r="G720" s="2" t="inlineStr">
        <is>
          <t>Facebook</t>
        </is>
      </c>
      <c r="H720" s="2" t="inlineStr"/>
      <c r="I720" s="4" t="inlineStr">
        <is>
          <t>https://www.facebook.com/coolangatta.sands</t>
        </is>
      </c>
      <c r="J720" s="2" t="inlineStr">
        <is>
          <t>+61 7 5536 3066</t>
        </is>
      </c>
      <c r="K720" s="4" t="inlineStr">
        <is>
          <t>https://www.coolangattasandshotel.com.au/</t>
        </is>
      </c>
      <c r="L720" s="2" t="inlineStr">
        <is>
          <t>missing meta description</t>
        </is>
      </c>
      <c r="M720" s="2" t="inlineStr">
        <is>
          <t>Hi Coolangatta Sands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20" s="4" t="inlineStr">
        <is>
          <t>Open map</t>
        </is>
      </c>
      <c r="O720" s="2" t="inlineStr">
        <is>
          <t>Not contacted</t>
        </is>
      </c>
      <c r="P720" s="2" t="inlineStr"/>
      <c r="Q720" s="2" t="inlineStr"/>
      <c r="R720" s="2" t="inlineStr"/>
      <c r="S720" s="2" t="inlineStr"/>
    </row>
    <row r="721">
      <c r="A721" s="2" t="n">
        <v>720</v>
      </c>
      <c r="B721" s="6" t="inlineStr">
        <is>
          <t>MEDIUM</t>
        </is>
      </c>
      <c r="C721" s="2" t="inlineStr">
        <is>
          <t>Weak website</t>
        </is>
      </c>
      <c r="D721" s="2" t="inlineStr">
        <is>
          <t>Diamond Sands Resort</t>
        </is>
      </c>
      <c r="E721" s="2" t="inlineStr">
        <is>
          <t>accommodation</t>
        </is>
      </c>
      <c r="F721" s="2" t="inlineStr">
        <is>
          <t>Gold Coast</t>
        </is>
      </c>
      <c r="G721" s="2" t="inlineStr">
        <is>
          <t>Facebook</t>
        </is>
      </c>
      <c r="H721" s="2" t="inlineStr"/>
      <c r="I721" s="4" t="inlineStr">
        <is>
          <t>https://www.facebook.com/Diamond-Sands-Resort-115663753841</t>
        </is>
      </c>
      <c r="J721" s="2" t="inlineStr">
        <is>
          <t>+61 7 5525 5199</t>
        </is>
      </c>
      <c r="K721" s="4" t="inlineStr">
        <is>
          <t>https://diamondsands.com.au/</t>
        </is>
      </c>
      <c r="L721" s="2" t="inlineStr">
        <is>
          <t>slow to load (3.6s)</t>
        </is>
      </c>
      <c r="M721" s="2" t="inlineStr">
        <is>
          <t>Hi Diamond Sands Resort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1" s="4" t="inlineStr">
        <is>
          <t>Open map</t>
        </is>
      </c>
      <c r="O721" s="2" t="inlineStr">
        <is>
          <t>Not contacted</t>
        </is>
      </c>
      <c r="P721" s="2" t="inlineStr"/>
      <c r="Q721" s="2" t="inlineStr"/>
      <c r="R721" s="2" t="inlineStr"/>
      <c r="S721" s="2" t="inlineStr"/>
    </row>
    <row r="722">
      <c r="A722" s="2" t="n">
        <v>721</v>
      </c>
      <c r="B722" s="6" t="inlineStr">
        <is>
          <t>MEDIUM</t>
        </is>
      </c>
      <c r="C722" s="2" t="inlineStr">
        <is>
          <t>Weak website</t>
        </is>
      </c>
      <c r="D722" s="2" t="inlineStr">
        <is>
          <t>Golden Riviera</t>
        </is>
      </c>
      <c r="E722" s="2" t="inlineStr">
        <is>
          <t>accommodation</t>
        </is>
      </c>
      <c r="F722" s="2" t="inlineStr">
        <is>
          <t>Gold Coast</t>
        </is>
      </c>
      <c r="G722" s="2" t="inlineStr">
        <is>
          <t>Facebook</t>
        </is>
      </c>
      <c r="H722" s="2" t="inlineStr"/>
      <c r="I722" s="4" t="inlineStr">
        <is>
          <t>https://www.facebook.com/goldenrivierabeachresorttugun</t>
        </is>
      </c>
      <c r="J722" s="2" t="inlineStr">
        <is>
          <t>+61 7 5525 9800</t>
        </is>
      </c>
      <c r="K722" s="4" t="inlineStr">
        <is>
          <t>https://www.goldenriviera.com.au/</t>
        </is>
      </c>
      <c r="L722" s="2" t="inlineStr">
        <is>
          <t>slow to load (3.5s)</t>
        </is>
      </c>
      <c r="M722" s="2" t="inlineStr">
        <is>
          <t>Hi Golden Riviera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2" s="4" t="inlineStr">
        <is>
          <t>Open map</t>
        </is>
      </c>
      <c r="O722" s="2" t="inlineStr">
        <is>
          <t>Not contacted</t>
        </is>
      </c>
      <c r="P722" s="2" t="inlineStr"/>
      <c r="Q722" s="2" t="inlineStr"/>
      <c r="R722" s="2" t="inlineStr"/>
      <c r="S722" s="2" t="inlineStr"/>
    </row>
    <row r="723">
      <c r="A723" s="2" t="n">
        <v>722</v>
      </c>
      <c r="B723" s="6" t="inlineStr">
        <is>
          <t>MEDIUM</t>
        </is>
      </c>
      <c r="C723" s="2" t="inlineStr">
        <is>
          <t>Weak website</t>
        </is>
      </c>
      <c r="D723" s="2" t="inlineStr">
        <is>
          <t>Islander Resort Hotel</t>
        </is>
      </c>
      <c r="E723" s="2" t="inlineStr">
        <is>
          <t>accommodation</t>
        </is>
      </c>
      <c r="F723" s="2" t="inlineStr">
        <is>
          <t>Gold Coast</t>
        </is>
      </c>
      <c r="G723" s="2" t="inlineStr">
        <is>
          <t>Instagram</t>
        </is>
      </c>
      <c r="H723" s="4" t="inlineStr">
        <is>
          <t>https://www.instagram.com/theislandgoldcoast</t>
        </is>
      </c>
      <c r="I723" s="2" t="inlineStr"/>
      <c r="J723" s="2" t="inlineStr"/>
      <c r="K723" s="4" t="inlineStr">
        <is>
          <t>islander.com.au</t>
        </is>
      </c>
      <c r="L723" s="2" t="inlineStr">
        <is>
          <t>slow to load (4.4s)</t>
        </is>
      </c>
      <c r="M723" s="2" t="inlineStr">
        <is>
          <t>Hi Islander Resort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3" s="4" t="inlineStr">
        <is>
          <t>Open map</t>
        </is>
      </c>
      <c r="O723" s="2" t="inlineStr">
        <is>
          <t>Not contacted</t>
        </is>
      </c>
      <c r="P723" s="2" t="inlineStr"/>
      <c r="Q723" s="2" t="inlineStr"/>
      <c r="R723" s="2" t="inlineStr"/>
      <c r="S723" s="2" t="inlineStr"/>
    </row>
    <row r="724">
      <c r="A724" s="2" t="n">
        <v>723</v>
      </c>
      <c r="B724" s="6" t="inlineStr">
        <is>
          <t>MEDIUM</t>
        </is>
      </c>
      <c r="C724" s="2" t="inlineStr">
        <is>
          <t>Weak website</t>
        </is>
      </c>
      <c r="D724" s="2" t="inlineStr">
        <is>
          <t>Mariner Shores</t>
        </is>
      </c>
      <c r="E724" s="2" t="inlineStr">
        <is>
          <t>accommodation</t>
        </is>
      </c>
      <c r="F724" s="2" t="inlineStr">
        <is>
          <t>Gold Coast</t>
        </is>
      </c>
      <c r="G724" s="2" t="inlineStr">
        <is>
          <t>Instagram</t>
        </is>
      </c>
      <c r="H724" s="4" t="inlineStr">
        <is>
          <t>https://www.instagram.com/marinershores</t>
        </is>
      </c>
      <c r="I724" s="4" t="inlineStr">
        <is>
          <t>https://www.facebook.com/MarinerShoresResort</t>
        </is>
      </c>
      <c r="J724" s="2" t="inlineStr">
        <is>
          <t>+61 7 5535 2177</t>
        </is>
      </c>
      <c r="K724" s="4" t="inlineStr">
        <is>
          <t>https://marinershores.com.au</t>
        </is>
      </c>
      <c r="L724" s="2" t="inlineStr">
        <is>
          <t>missing meta description; slow to load (4.9s)</t>
        </is>
      </c>
      <c r="M724" s="2" t="inlineStr">
        <is>
          <t>Hi Mariner Shores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4" s="4" t="inlineStr">
        <is>
          <t>Open map</t>
        </is>
      </c>
      <c r="O724" s="2" t="inlineStr">
        <is>
          <t>Not contacted</t>
        </is>
      </c>
      <c r="P724" s="2" t="inlineStr"/>
      <c r="Q724" s="2" t="inlineStr"/>
      <c r="R724" s="2" t="inlineStr"/>
      <c r="S724" s="2" t="inlineStr"/>
    </row>
    <row r="725">
      <c r="A725" s="2" t="n">
        <v>724</v>
      </c>
      <c r="B725" s="6" t="inlineStr">
        <is>
          <t>MEDIUM</t>
        </is>
      </c>
      <c r="C725" s="2" t="inlineStr">
        <is>
          <t>Weak website</t>
        </is>
      </c>
      <c r="D725" s="2" t="inlineStr">
        <is>
          <t>Meridian Tower</t>
        </is>
      </c>
      <c r="E725" s="2" t="inlineStr">
        <is>
          <t>accommodation</t>
        </is>
      </c>
      <c r="F725" s="2" t="inlineStr">
        <is>
          <t>Gold Coast</t>
        </is>
      </c>
      <c r="G725" s="2" t="inlineStr">
        <is>
          <t>Instagram</t>
        </is>
      </c>
      <c r="H725" s="4" t="inlineStr">
        <is>
          <t>https://instagram.com/meridiantower</t>
        </is>
      </c>
      <c r="I725" s="4" t="inlineStr">
        <is>
          <t>https://facebook.com/KirraCoolangatta</t>
        </is>
      </c>
      <c r="J725" s="2" t="inlineStr">
        <is>
          <t>+61 7 5536 9400</t>
        </is>
      </c>
      <c r="K725" s="4" t="inlineStr">
        <is>
          <t>https://meridiantower.com.au/</t>
        </is>
      </c>
      <c r="L725" s="2" t="inlineStr">
        <is>
          <t>missing meta description</t>
        </is>
      </c>
      <c r="M725" s="2" t="inlineStr">
        <is>
          <t>Hi Meridian Tower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25" s="4" t="inlineStr">
        <is>
          <t>Open map</t>
        </is>
      </c>
      <c r="O725" s="2" t="inlineStr">
        <is>
          <t>Not contacted</t>
        </is>
      </c>
      <c r="P725" s="2" t="inlineStr"/>
      <c r="Q725" s="2" t="inlineStr"/>
      <c r="R725" s="2" t="inlineStr"/>
      <c r="S725" s="2" t="inlineStr"/>
    </row>
    <row r="726">
      <c r="A726" s="2" t="n">
        <v>725</v>
      </c>
      <c r="B726" s="6" t="inlineStr">
        <is>
          <t>MEDIUM</t>
        </is>
      </c>
      <c r="C726" s="2" t="inlineStr">
        <is>
          <t>Weak website</t>
        </is>
      </c>
      <c r="D726" s="2" t="inlineStr">
        <is>
          <t>Nirvana by the Sea</t>
        </is>
      </c>
      <c r="E726" s="2" t="inlineStr">
        <is>
          <t>accommodation</t>
        </is>
      </c>
      <c r="F726" s="2" t="inlineStr">
        <is>
          <t>Gold Coast</t>
        </is>
      </c>
      <c r="G726" s="2" t="inlineStr">
        <is>
          <t>Facebook</t>
        </is>
      </c>
      <c r="H726" s="2" t="inlineStr"/>
      <c r="I726" s="4" t="inlineStr">
        <is>
          <t>https://www.facebook.com/NirvanaByTheSea</t>
        </is>
      </c>
      <c r="J726" s="2" t="inlineStr">
        <is>
          <t>+61 7 5506 5555</t>
        </is>
      </c>
      <c r="K726" s="4" t="inlineStr">
        <is>
          <t>https://nirvanabythesea.com.au/</t>
        </is>
      </c>
      <c r="L726" s="2" t="inlineStr">
        <is>
          <t>missing meta description</t>
        </is>
      </c>
      <c r="M726" s="2" t="inlineStr">
        <is>
          <t>Hi Nirvana by the Sea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26" s="4" t="inlineStr">
        <is>
          <t>Open map</t>
        </is>
      </c>
      <c r="O726" s="2" t="inlineStr">
        <is>
          <t>Not contacted</t>
        </is>
      </c>
      <c r="P726" s="2" t="inlineStr"/>
      <c r="Q726" s="2" t="inlineStr"/>
      <c r="R726" s="2" t="inlineStr"/>
      <c r="S726" s="2" t="inlineStr"/>
    </row>
    <row r="727">
      <c r="A727" s="2" t="n">
        <v>726</v>
      </c>
      <c r="B727" s="6" t="inlineStr">
        <is>
          <t>MEDIUM</t>
        </is>
      </c>
      <c r="C727" s="2" t="inlineStr">
        <is>
          <t>Weak website</t>
        </is>
      </c>
      <c r="D727" s="2" t="inlineStr">
        <is>
          <t>Paradise Grove Holiday Apartments</t>
        </is>
      </c>
      <c r="E727" s="2" t="inlineStr">
        <is>
          <t>accommodation</t>
        </is>
      </c>
      <c r="F727" s="2" t="inlineStr">
        <is>
          <t>Gold Coast</t>
        </is>
      </c>
      <c r="G727" s="2" t="inlineStr">
        <is>
          <t>Instagram</t>
        </is>
      </c>
      <c r="H727" s="4" t="inlineStr">
        <is>
          <t>https://www.instagram.com/paradisegroveburleigh</t>
        </is>
      </c>
      <c r="I727" s="4" t="inlineStr">
        <is>
          <t>https://www.facebook.com/paradisegroveburleigh</t>
        </is>
      </c>
      <c r="J727" s="2" t="inlineStr">
        <is>
          <t>+61 7 5576 3833</t>
        </is>
      </c>
      <c r="K727" s="4" t="inlineStr">
        <is>
          <t>https://www.paradisegrove.com.au/contact</t>
        </is>
      </c>
      <c r="L727" s="2" t="inlineStr">
        <is>
          <t>looks outdated (copyright 2023); missing meta description</t>
        </is>
      </c>
      <c r="M727" s="2" t="inlineStr">
        <is>
          <t>Hi Paradise Grove Holiday Apartments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27" s="4" t="inlineStr">
        <is>
          <t>Open map</t>
        </is>
      </c>
      <c r="O727" s="2" t="inlineStr">
        <is>
          <t>Not contacted</t>
        </is>
      </c>
      <c r="P727" s="2" t="inlineStr"/>
      <c r="Q727" s="2" t="inlineStr"/>
      <c r="R727" s="2" t="inlineStr"/>
      <c r="S727" s="2" t="inlineStr"/>
    </row>
    <row r="728">
      <c r="A728" s="2" t="n">
        <v>727</v>
      </c>
      <c r="B728" s="6" t="inlineStr">
        <is>
          <t>MEDIUM</t>
        </is>
      </c>
      <c r="C728" s="2" t="inlineStr">
        <is>
          <t>Weak website</t>
        </is>
      </c>
      <c r="D728" s="2" t="inlineStr">
        <is>
          <t>Sandcastles On The Broadwater</t>
        </is>
      </c>
      <c r="E728" s="2" t="inlineStr">
        <is>
          <t>accommodation</t>
        </is>
      </c>
      <c r="F728" s="2" t="inlineStr">
        <is>
          <t>Gold Coast</t>
        </is>
      </c>
      <c r="G728" s="2" t="inlineStr">
        <is>
          <t>Instagram</t>
        </is>
      </c>
      <c r="H728" s="4" t="inlineStr">
        <is>
          <t>https://www.instagram.com/sandcastlesonthegc</t>
        </is>
      </c>
      <c r="I728" s="4" t="inlineStr">
        <is>
          <t>https://www.facebook.com/sandcastlesonthebroadwater</t>
        </is>
      </c>
      <c r="J728" s="2" t="inlineStr">
        <is>
          <t>+61 7 5537 0000</t>
        </is>
      </c>
      <c r="K728" s="4" t="inlineStr">
        <is>
          <t>https://sandcastles.com.au/</t>
        </is>
      </c>
      <c r="L728" s="2" t="inlineStr">
        <is>
          <t>missing meta description</t>
        </is>
      </c>
      <c r="M728" s="2" t="inlineStr">
        <is>
          <t>Hi Sandcastles On The Broadwater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28" s="4" t="inlineStr">
        <is>
          <t>Open map</t>
        </is>
      </c>
      <c r="O728" s="2" t="inlineStr">
        <is>
          <t>Not contacted</t>
        </is>
      </c>
      <c r="P728" s="2" t="inlineStr"/>
      <c r="Q728" s="2" t="inlineStr"/>
      <c r="R728" s="2" t="inlineStr"/>
      <c r="S728" s="2" t="inlineStr"/>
    </row>
    <row r="729">
      <c r="A729" s="2" t="n">
        <v>728</v>
      </c>
      <c r="B729" s="6" t="inlineStr">
        <is>
          <t>MEDIUM</t>
        </is>
      </c>
      <c r="C729" s="2" t="inlineStr">
        <is>
          <t>Weak website</t>
        </is>
      </c>
      <c r="D729" s="2" t="inlineStr">
        <is>
          <t>The Grand Hotel</t>
        </is>
      </c>
      <c r="E729" s="2" t="inlineStr">
        <is>
          <t>accommodation</t>
        </is>
      </c>
      <c r="F729" s="2" t="inlineStr">
        <is>
          <t>Gold Coast</t>
        </is>
      </c>
      <c r="G729" s="2" t="inlineStr">
        <is>
          <t>Instagram</t>
        </is>
      </c>
      <c r="H729" s="4" t="inlineStr">
        <is>
          <t>https://www.instagram.com/thegrandhotellabrador</t>
        </is>
      </c>
      <c r="I729" s="4" t="inlineStr">
        <is>
          <t>https://www.facebook.com/thegrandhotelgc</t>
        </is>
      </c>
      <c r="J729" s="2" t="inlineStr"/>
      <c r="K729" s="4" t="inlineStr">
        <is>
          <t>https://thegrandhotel.com.au/</t>
        </is>
      </c>
      <c r="L729" s="2" t="inlineStr">
        <is>
          <t>missing meta description; slow to load (3.5s)</t>
        </is>
      </c>
      <c r="M729" s="2" t="inlineStr">
        <is>
          <t>Hi The Grand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9" s="4" t="inlineStr">
        <is>
          <t>Open map</t>
        </is>
      </c>
      <c r="O729" s="2" t="inlineStr">
        <is>
          <t>Not contacted</t>
        </is>
      </c>
      <c r="P729" s="2" t="inlineStr"/>
      <c r="Q729" s="2" t="inlineStr"/>
      <c r="R729" s="2" t="inlineStr"/>
      <c r="S729" s="2" t="inlineStr"/>
    </row>
    <row r="730">
      <c r="A730" s="2" t="n">
        <v>729</v>
      </c>
      <c r="B730" s="6" t="inlineStr">
        <is>
          <t>MEDIUM</t>
        </is>
      </c>
      <c r="C730" s="2" t="inlineStr">
        <is>
          <t>Weak website</t>
        </is>
      </c>
      <c r="D730" s="2" t="inlineStr">
        <is>
          <t>The Langham &amp; Jewel Residences</t>
        </is>
      </c>
      <c r="E730" s="2" t="inlineStr">
        <is>
          <t>accommodation</t>
        </is>
      </c>
      <c r="F730" s="2" t="inlineStr">
        <is>
          <t>Gold Coast</t>
        </is>
      </c>
      <c r="G730" s="2" t="inlineStr">
        <is>
          <t>Instagram</t>
        </is>
      </c>
      <c r="H730" s="4" t="inlineStr">
        <is>
          <t>https://www.instagram.com/langhamgoldcoast</t>
        </is>
      </c>
      <c r="I730" s="4" t="inlineStr">
        <is>
          <t>https://www.facebook.com/TheLanghamGoldCoast</t>
        </is>
      </c>
      <c r="J730" s="2" t="inlineStr"/>
      <c r="K730" s="4" t="inlineStr">
        <is>
          <t>https://www.langhamhotels.com/en/the-langham/gold-coast/</t>
        </is>
      </c>
      <c r="L730" s="2" t="inlineStr">
        <is>
          <t>looks outdated (copyright 2016)</t>
        </is>
      </c>
      <c r="M730" s="2" t="inlineStr">
        <is>
          <t>Hi The Langham &amp; Jewel Residences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0" s="4" t="inlineStr">
        <is>
          <t>Open map</t>
        </is>
      </c>
      <c r="O730" s="2" t="inlineStr">
        <is>
          <t>Not contacted</t>
        </is>
      </c>
      <c r="P730" s="2" t="inlineStr"/>
      <c r="Q730" s="2" t="inlineStr"/>
      <c r="R730" s="2" t="inlineStr"/>
      <c r="S730" s="2" t="inlineStr"/>
    </row>
    <row r="731">
      <c r="A731" s="2" t="n">
        <v>730</v>
      </c>
      <c r="B731" s="6" t="inlineStr">
        <is>
          <t>MEDIUM</t>
        </is>
      </c>
      <c r="C731" s="2" t="inlineStr">
        <is>
          <t>Weak website</t>
        </is>
      </c>
      <c r="D731" s="2" t="inlineStr">
        <is>
          <t>Villas de La Mer</t>
        </is>
      </c>
      <c r="E731" s="2" t="inlineStr">
        <is>
          <t>accommodation</t>
        </is>
      </c>
      <c r="F731" s="2" t="inlineStr">
        <is>
          <t>Gold Coast</t>
        </is>
      </c>
      <c r="G731" s="2" t="inlineStr">
        <is>
          <t>Instagram</t>
        </is>
      </c>
      <c r="H731" s="4" t="inlineStr">
        <is>
          <t>https://www.instagram.com/villasdelamer</t>
        </is>
      </c>
      <c r="I731" s="4" t="inlineStr">
        <is>
          <t>https://www.facebook.com/VillasDeLaMer</t>
        </is>
      </c>
      <c r="J731" s="2" t="inlineStr">
        <is>
          <t>+61 7 5592 6644</t>
        </is>
      </c>
      <c r="K731" s="4" t="inlineStr">
        <is>
          <t>https://www.villasdelamer.com.au/</t>
        </is>
      </c>
      <c r="L731" s="2" t="inlineStr">
        <is>
          <t>missing meta description</t>
        </is>
      </c>
      <c r="M731" s="2" t="inlineStr">
        <is>
          <t>Hi Villas de La Mer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1" s="4" t="inlineStr">
        <is>
          <t>Open map</t>
        </is>
      </c>
      <c r="O731" s="2" t="inlineStr">
        <is>
          <t>Not contacted</t>
        </is>
      </c>
      <c r="P731" s="2" t="inlineStr"/>
      <c r="Q731" s="2" t="inlineStr"/>
      <c r="R731" s="2" t="inlineStr"/>
      <c r="S731" s="2" t="inlineStr"/>
    </row>
    <row r="732">
      <c r="A732" s="2" t="n">
        <v>731</v>
      </c>
      <c r="B732" s="6" t="inlineStr">
        <is>
          <t>MEDIUM</t>
        </is>
      </c>
      <c r="C732" s="2" t="inlineStr">
        <is>
          <t>Weak website</t>
        </is>
      </c>
      <c r="D732" s="2" t="inlineStr">
        <is>
          <t>Wallaby Hotel</t>
        </is>
      </c>
      <c r="E732" s="2" t="inlineStr">
        <is>
          <t>accommodation</t>
        </is>
      </c>
      <c r="F732" s="2" t="inlineStr">
        <is>
          <t>Gold Coast</t>
        </is>
      </c>
      <c r="G732" s="2" t="inlineStr">
        <is>
          <t>Instagram</t>
        </is>
      </c>
      <c r="H732" s="4" t="inlineStr">
        <is>
          <t>https://www.instagram.com/wallabyhotel</t>
        </is>
      </c>
      <c r="I732" s="4" t="inlineStr">
        <is>
          <t>https://www.facebook.com/thewallabyhotel</t>
        </is>
      </c>
      <c r="J732" s="2" t="inlineStr">
        <is>
          <t>+61 7 5530 5600</t>
        </is>
      </c>
      <c r="K732" s="4" t="inlineStr">
        <is>
          <t>https://www.wallabyhotel.com.au/</t>
        </is>
      </c>
      <c r="L732" s="2" t="inlineStr">
        <is>
          <t>missing meta description; slow to load (3.7s)</t>
        </is>
      </c>
      <c r="M732" s="2" t="inlineStr">
        <is>
          <t>Hi Wallaby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32" s="4" t="inlineStr">
        <is>
          <t>Open map</t>
        </is>
      </c>
      <c r="O732" s="2" t="inlineStr">
        <is>
          <t>Not contacted</t>
        </is>
      </c>
      <c r="P732" s="2" t="inlineStr"/>
      <c r="Q732" s="2" t="inlineStr"/>
      <c r="R732" s="2" t="inlineStr"/>
      <c r="S732" s="2" t="inlineStr"/>
    </row>
    <row r="733">
      <c r="A733" s="2" t="n">
        <v>732</v>
      </c>
      <c r="B733" s="6" t="inlineStr">
        <is>
          <t>MEDIUM</t>
        </is>
      </c>
      <c r="C733" s="2" t="inlineStr">
        <is>
          <t>Weak website</t>
        </is>
      </c>
      <c r="D733" s="2" t="inlineStr">
        <is>
          <t>+ space</t>
        </is>
      </c>
      <c r="E733" s="2" t="inlineStr">
        <is>
          <t>allied health</t>
        </is>
      </c>
      <c r="F733" s="2" t="inlineStr">
        <is>
          <t>Gold Coast</t>
        </is>
      </c>
      <c r="G733" s="2" t="inlineStr">
        <is>
          <t>Instagram</t>
        </is>
      </c>
      <c r="H733" s="4" t="inlineStr">
        <is>
          <t>https://www.instagram.com/wix</t>
        </is>
      </c>
      <c r="I733" s="4" t="inlineStr">
        <is>
          <t>https://www.facebook.com/wix</t>
        </is>
      </c>
      <c r="J733" s="2" t="inlineStr">
        <is>
          <t>+61 411 598 876</t>
        </is>
      </c>
      <c r="K733" s="4" t="inlineStr">
        <is>
          <t>https://www.plus-space.com.au/</t>
        </is>
      </c>
      <c r="L733" s="2" t="inlineStr">
        <is>
          <t>looks outdated (copyright 2022); missing meta description</t>
        </is>
      </c>
      <c r="M733" s="2" t="inlineStr">
        <is>
          <t>Hi + space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3" s="4" t="inlineStr">
        <is>
          <t>Open map</t>
        </is>
      </c>
      <c r="O733" s="2" t="inlineStr">
        <is>
          <t>Not contacted</t>
        </is>
      </c>
      <c r="P733" s="2" t="inlineStr"/>
      <c r="Q733" s="2" t="inlineStr"/>
      <c r="R733" s="2" t="inlineStr"/>
      <c r="S733" s="2" t="inlineStr"/>
    </row>
    <row r="734">
      <c r="A734" s="2" t="n">
        <v>733</v>
      </c>
      <c r="B734" s="6" t="inlineStr">
        <is>
          <t>MEDIUM</t>
        </is>
      </c>
      <c r="C734" s="2" t="inlineStr">
        <is>
          <t>Weak website</t>
        </is>
      </c>
      <c r="D734" s="2" t="inlineStr">
        <is>
          <t>AKASHA Healing Haven</t>
        </is>
      </c>
      <c r="E734" s="2" t="inlineStr">
        <is>
          <t>allied health</t>
        </is>
      </c>
      <c r="F734" s="2" t="inlineStr">
        <is>
          <t>Gold Coast</t>
        </is>
      </c>
      <c r="G734" s="2" t="inlineStr">
        <is>
          <t>Facebook</t>
        </is>
      </c>
      <c r="H734" s="2" t="inlineStr"/>
      <c r="I734" s="4" t="inlineStr">
        <is>
          <t>https://www.facebook.com/akashahealingofficial</t>
        </is>
      </c>
      <c r="J734" s="2" t="inlineStr">
        <is>
          <t>+61 412 848 396</t>
        </is>
      </c>
      <c r="K734" s="4" t="inlineStr">
        <is>
          <t>https://akashahealinghaven.com.au/</t>
        </is>
      </c>
      <c r="L734" s="2" t="inlineStr">
        <is>
          <t>looks outdated (copyright 2018); slow to load (3.9s)</t>
        </is>
      </c>
      <c r="M734" s="2" t="inlineStr">
        <is>
          <t>Hi AKASHA Healing Haven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34" s="4" t="inlineStr">
        <is>
          <t>Open map</t>
        </is>
      </c>
      <c r="O734" s="2" t="inlineStr">
        <is>
          <t>Not contacted</t>
        </is>
      </c>
      <c r="P734" s="2" t="inlineStr"/>
      <c r="Q734" s="2" t="inlineStr"/>
      <c r="R734" s="2" t="inlineStr"/>
      <c r="S734" s="2" t="inlineStr"/>
    </row>
    <row r="735">
      <c r="A735" s="2" t="n">
        <v>734</v>
      </c>
      <c r="B735" s="6" t="inlineStr">
        <is>
          <t>MEDIUM</t>
        </is>
      </c>
      <c r="C735" s="2" t="inlineStr">
        <is>
          <t>Weak website</t>
        </is>
      </c>
      <c r="D735" s="2" t="inlineStr">
        <is>
          <t>Atlas Chiropractic</t>
        </is>
      </c>
      <c r="E735" s="2" t="inlineStr">
        <is>
          <t>allied health</t>
        </is>
      </c>
      <c r="F735" s="2" t="inlineStr">
        <is>
          <t>Gold Coast</t>
        </is>
      </c>
      <c r="G735" s="2" t="inlineStr">
        <is>
          <t>Facebook</t>
        </is>
      </c>
      <c r="H735" s="2" t="inlineStr"/>
      <c r="I735" s="4" t="inlineStr">
        <is>
          <t>https://www.facebook.com/AtlasChiroOz</t>
        </is>
      </c>
      <c r="J735" s="2" t="inlineStr">
        <is>
          <t>+61 7 5575 7363</t>
        </is>
      </c>
      <c r="K735" s="4" t="inlineStr">
        <is>
          <t>https://www.atlaschiro.com.au/</t>
        </is>
      </c>
      <c r="L735" s="2" t="inlineStr">
        <is>
          <t>looks outdated (copyright 2023)</t>
        </is>
      </c>
      <c r="M735" s="2" t="inlineStr">
        <is>
          <t>Hi Atlas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5" s="4" t="inlineStr">
        <is>
          <t>Open map</t>
        </is>
      </c>
      <c r="O735" s="2" t="inlineStr">
        <is>
          <t>Not contacted</t>
        </is>
      </c>
      <c r="P735" s="2" t="inlineStr"/>
      <c r="Q735" s="2" t="inlineStr"/>
      <c r="R735" s="2" t="inlineStr"/>
      <c r="S735" s="2" t="inlineStr"/>
    </row>
    <row r="736">
      <c r="A736" s="2" t="n">
        <v>735</v>
      </c>
      <c r="B736" s="6" t="inlineStr">
        <is>
          <t>MEDIUM</t>
        </is>
      </c>
      <c r="C736" s="2" t="inlineStr">
        <is>
          <t>Weak website</t>
        </is>
      </c>
      <c r="D736" s="2" t="inlineStr">
        <is>
          <t>Bundall Chiropractic</t>
        </is>
      </c>
      <c r="E736" s="2" t="inlineStr">
        <is>
          <t>allied health</t>
        </is>
      </c>
      <c r="F736" s="2" t="inlineStr">
        <is>
          <t>Gold Coast</t>
        </is>
      </c>
      <c r="G736" s="2" t="inlineStr">
        <is>
          <t>Facebook</t>
        </is>
      </c>
      <c r="H736" s="2" t="inlineStr"/>
      <c r="I736" s="4" t="inlineStr">
        <is>
          <t>https://www.facebook.com/Tweed-Heads-Chiropractic-Centre-692374367566777</t>
        </is>
      </c>
      <c r="J736" s="2" t="inlineStr">
        <is>
          <t>+61 7 5539 9433</t>
        </is>
      </c>
      <c r="K736" s="4" t="inlineStr">
        <is>
          <t>https://bundallchiropractic.com.au/</t>
        </is>
      </c>
      <c r="L736" s="2" t="inlineStr">
        <is>
          <t>looks outdated (copyright 2020)</t>
        </is>
      </c>
      <c r="M736" s="2" t="inlineStr">
        <is>
          <t>Hi Bundall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6" s="4" t="inlineStr">
        <is>
          <t>Open map</t>
        </is>
      </c>
      <c r="O736" s="2" t="inlineStr">
        <is>
          <t>Not contacted</t>
        </is>
      </c>
      <c r="P736" s="2" t="inlineStr"/>
      <c r="Q736" s="2" t="inlineStr"/>
      <c r="R736" s="2" t="inlineStr"/>
      <c r="S736" s="2" t="inlineStr"/>
    </row>
    <row r="737">
      <c r="A737" s="2" t="n">
        <v>736</v>
      </c>
      <c r="B737" s="6" t="inlineStr">
        <is>
          <t>MEDIUM</t>
        </is>
      </c>
      <c r="C737" s="2" t="inlineStr">
        <is>
          <t>Weak website</t>
        </is>
      </c>
      <c r="D737" s="2" t="inlineStr">
        <is>
          <t>Coastal Chiropractic</t>
        </is>
      </c>
      <c r="E737" s="2" t="inlineStr">
        <is>
          <t>allied health</t>
        </is>
      </c>
      <c r="F737" s="2" t="inlineStr">
        <is>
          <t>Gold Coast</t>
        </is>
      </c>
      <c r="G737" s="2" t="inlineStr">
        <is>
          <t>Instagram</t>
        </is>
      </c>
      <c r="H737" s="4" t="inlineStr">
        <is>
          <t>https://www.instagram.com/coastalchiroandwellbeing</t>
        </is>
      </c>
      <c r="I737" s="4" t="inlineStr">
        <is>
          <t>https://www.facebook.com/pages/Coastal-Chiropractic-Wellbeing/210732182419075</t>
        </is>
      </c>
      <c r="J737" s="2" t="inlineStr">
        <is>
          <t>+61 7 5520 2555</t>
        </is>
      </c>
      <c r="K737" s="4" t="inlineStr">
        <is>
          <t>http://www.coastalchiro.com.au/</t>
        </is>
      </c>
      <c r="L737" s="2" t="inlineStr">
        <is>
          <t>no HTTPS (browser shows 'Not secure')</t>
        </is>
      </c>
      <c r="M737" s="2" t="inlineStr">
        <is>
          <t>Hi Coastal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7" s="4" t="inlineStr">
        <is>
          <t>Open map</t>
        </is>
      </c>
      <c r="O737" s="2" t="inlineStr">
        <is>
          <t>Not contacted</t>
        </is>
      </c>
      <c r="P737" s="2" t="inlineStr"/>
      <c r="Q737" s="2" t="inlineStr"/>
      <c r="R737" s="2" t="inlineStr"/>
      <c r="S737" s="2" t="inlineStr"/>
    </row>
    <row r="738">
      <c r="A738" s="2" t="n">
        <v>737</v>
      </c>
      <c r="B738" s="6" t="inlineStr">
        <is>
          <t>MEDIUM</t>
        </is>
      </c>
      <c r="C738" s="2" t="inlineStr">
        <is>
          <t>Weak website</t>
        </is>
      </c>
      <c r="D738" s="2" t="inlineStr">
        <is>
          <t>Coastal Osteopathy and Family Health Clinic</t>
        </is>
      </c>
      <c r="E738" s="2" t="inlineStr">
        <is>
          <t>allied health</t>
        </is>
      </c>
      <c r="F738" s="2" t="inlineStr">
        <is>
          <t>Gold Coast</t>
        </is>
      </c>
      <c r="G738" s="2" t="inlineStr">
        <is>
          <t>Instagram</t>
        </is>
      </c>
      <c r="H738" s="4" t="inlineStr">
        <is>
          <t>https://www.instagram.com/coastal_osteopathy_tugun</t>
        </is>
      </c>
      <c r="I738" s="4" t="inlineStr">
        <is>
          <t>https://www.facebook.com/coastalosteopathytugun</t>
        </is>
      </c>
      <c r="J738" s="2" t="inlineStr">
        <is>
          <t>+61 7 5659 2727</t>
        </is>
      </c>
      <c r="K738" s="4" t="inlineStr">
        <is>
          <t>https://tugunfamilyhealth.com.au/</t>
        </is>
      </c>
      <c r="L738" s="2" t="inlineStr">
        <is>
          <t>slow to load (3.6s)</t>
        </is>
      </c>
      <c r="M738" s="2" t="inlineStr">
        <is>
          <t>Hi Coastal Osteopathy and Family Health Clinic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38" s="4" t="inlineStr">
        <is>
          <t>Open map</t>
        </is>
      </c>
      <c r="O738" s="2" t="inlineStr">
        <is>
          <t>Not contacted</t>
        </is>
      </c>
      <c r="P738" s="2" t="inlineStr"/>
      <c r="Q738" s="2" t="inlineStr"/>
      <c r="R738" s="2" t="inlineStr"/>
      <c r="S738" s="2" t="inlineStr"/>
    </row>
    <row r="739">
      <c r="A739" s="2" t="n">
        <v>738</v>
      </c>
      <c r="B739" s="6" t="inlineStr">
        <is>
          <t>MEDIUM</t>
        </is>
      </c>
      <c r="C739" s="2" t="inlineStr">
        <is>
          <t>Weak website</t>
        </is>
      </c>
      <c r="D739" s="2" t="inlineStr">
        <is>
          <t>Empowering Wellness</t>
        </is>
      </c>
      <c r="E739" s="2" t="inlineStr">
        <is>
          <t>allied health</t>
        </is>
      </c>
      <c r="F739" s="2" t="inlineStr">
        <is>
          <t>Gold Coast</t>
        </is>
      </c>
      <c r="G739" s="2" t="inlineStr">
        <is>
          <t>Instagram</t>
        </is>
      </c>
      <c r="H739" s="4" t="inlineStr">
        <is>
          <t>https://www.instagram.com/empoweringwellnessburleigh</t>
        </is>
      </c>
      <c r="I739" s="4" t="inlineStr">
        <is>
          <t>https://www.facebook.com/burleighheadschiropractic</t>
        </is>
      </c>
      <c r="J739" s="2" t="inlineStr">
        <is>
          <t>+61 7 5535 9833</t>
        </is>
      </c>
      <c r="K739" s="4" t="inlineStr">
        <is>
          <t>https://www.empoweringwellness.com.au/</t>
        </is>
      </c>
      <c r="L739" s="2" t="inlineStr">
        <is>
          <t>looks outdated (copyright 2022)</t>
        </is>
      </c>
      <c r="M739" s="2" t="inlineStr">
        <is>
          <t>Hi Empowering Wellness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9" s="4" t="inlineStr">
        <is>
          <t>Open map</t>
        </is>
      </c>
      <c r="O739" s="2" t="inlineStr">
        <is>
          <t>Not contacted</t>
        </is>
      </c>
      <c r="P739" s="2" t="inlineStr"/>
      <c r="Q739" s="2" t="inlineStr"/>
      <c r="R739" s="2" t="inlineStr"/>
      <c r="S739" s="2" t="inlineStr"/>
    </row>
    <row r="740">
      <c r="A740" s="2" t="n">
        <v>739</v>
      </c>
      <c r="B740" s="6" t="inlineStr">
        <is>
          <t>MEDIUM</t>
        </is>
      </c>
      <c r="C740" s="2" t="inlineStr">
        <is>
          <t>Weak website</t>
        </is>
      </c>
      <c r="D740" s="2" t="inlineStr">
        <is>
          <t>Gold Coast HInterland Chiropractic</t>
        </is>
      </c>
      <c r="E740" s="2" t="inlineStr">
        <is>
          <t>allied health</t>
        </is>
      </c>
      <c r="F740" s="2" t="inlineStr">
        <is>
          <t>Gold Coast</t>
        </is>
      </c>
      <c r="G740" s="2" t="inlineStr">
        <is>
          <t>Instagram</t>
        </is>
      </c>
      <c r="H740" s="4" t="inlineStr">
        <is>
          <t>https://www.instagram.com/goldcoastchiropractor</t>
        </is>
      </c>
      <c r="I740" s="4" t="inlineStr">
        <is>
          <t>https://www.facebook.com/HinterlandChiropractic</t>
        </is>
      </c>
      <c r="J740" s="2" t="inlineStr">
        <is>
          <t>+61 7 5527 3133</t>
        </is>
      </c>
      <c r="K740" s="4" t="inlineStr">
        <is>
          <t>https://goldcoastchiropractor.com/</t>
        </is>
      </c>
      <c r="L740" s="2" t="inlineStr">
        <is>
          <t>slow to load (5.9s)</t>
        </is>
      </c>
      <c r="M740" s="2" t="inlineStr">
        <is>
          <t>Hi Gold Coast HInterland Chiropractic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0" s="4" t="inlineStr">
        <is>
          <t>Open map</t>
        </is>
      </c>
      <c r="O740" s="2" t="inlineStr">
        <is>
          <t>Not contacted</t>
        </is>
      </c>
      <c r="P740" s="2" t="inlineStr"/>
      <c r="Q740" s="2" t="inlineStr"/>
      <c r="R740" s="2" t="inlineStr"/>
      <c r="S740" s="2" t="inlineStr"/>
    </row>
    <row r="741">
      <c r="A741" s="2" t="n">
        <v>740</v>
      </c>
      <c r="B741" s="6" t="inlineStr">
        <is>
          <t>MEDIUM</t>
        </is>
      </c>
      <c r="C741" s="2" t="inlineStr">
        <is>
          <t>Weak website</t>
        </is>
      </c>
      <c r="D741" s="2" t="inlineStr">
        <is>
          <t>Life Synergy Acupuncture Naturopathy Nutrition</t>
        </is>
      </c>
      <c r="E741" s="2" t="inlineStr">
        <is>
          <t>allied health</t>
        </is>
      </c>
      <c r="F741" s="2" t="inlineStr">
        <is>
          <t>Gold Coast</t>
        </is>
      </c>
      <c r="G741" s="2" t="inlineStr">
        <is>
          <t>Instagram</t>
        </is>
      </c>
      <c r="H741" s="4" t="inlineStr">
        <is>
          <t>https://www.instagram.com/life_synergy</t>
        </is>
      </c>
      <c r="I741" s="4" t="inlineStr">
        <is>
          <t>https://www.facebook.com/lifesynergy</t>
        </is>
      </c>
      <c r="J741" s="2" t="inlineStr">
        <is>
          <t>+61 7 5520 2147</t>
        </is>
      </c>
      <c r="K741" s="4" t="inlineStr">
        <is>
          <t>https://www.lifesynergy.com.au/</t>
        </is>
      </c>
      <c r="L741" s="2" t="inlineStr">
        <is>
          <t>slow to load (5.0s)</t>
        </is>
      </c>
      <c r="M741" s="2" t="inlineStr">
        <is>
          <t>Hi Life Synergy Acupuncture Naturopathy Nutrition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1" s="4" t="inlineStr">
        <is>
          <t>Open map</t>
        </is>
      </c>
      <c r="O741" s="2" t="inlineStr">
        <is>
          <t>Not contacted</t>
        </is>
      </c>
      <c r="P741" s="2" t="inlineStr"/>
      <c r="Q741" s="2" t="inlineStr"/>
      <c r="R741" s="2" t="inlineStr"/>
      <c r="S741" s="2" t="inlineStr"/>
    </row>
    <row r="742">
      <c r="A742" s="2" t="n">
        <v>741</v>
      </c>
      <c r="B742" s="6" t="inlineStr">
        <is>
          <t>MEDIUM</t>
        </is>
      </c>
      <c r="C742" s="2" t="inlineStr">
        <is>
          <t>Weak website</t>
        </is>
      </c>
      <c r="D742" s="2" t="inlineStr">
        <is>
          <t>Mermaid Robina Family Chiropractic</t>
        </is>
      </c>
      <c r="E742" s="2" t="inlineStr">
        <is>
          <t>allied health</t>
        </is>
      </c>
      <c r="F742" s="2" t="inlineStr">
        <is>
          <t>Gold Coast</t>
        </is>
      </c>
      <c r="G742" s="2" t="inlineStr">
        <is>
          <t>Facebook</t>
        </is>
      </c>
      <c r="H742" s="2" t="inlineStr"/>
      <c r="I742" s="4" t="inlineStr">
        <is>
          <t>https://www.facebook.com/GlenelgChiro</t>
        </is>
      </c>
      <c r="J742" s="2" t="inlineStr">
        <is>
          <t>+61 7 5527 7233</t>
        </is>
      </c>
      <c r="K742" s="4" t="inlineStr">
        <is>
          <t>https://www.mermaidrobinachiro.com.au</t>
        </is>
      </c>
      <c r="L742" s="2" t="inlineStr">
        <is>
          <t>looks outdated (copyright 2022)</t>
        </is>
      </c>
      <c r="M742" s="2" t="inlineStr">
        <is>
          <t>Hi Mermaid Robina Family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42" s="4" t="inlineStr">
        <is>
          <t>Open map</t>
        </is>
      </c>
      <c r="O742" s="2" t="inlineStr">
        <is>
          <t>Not contacted</t>
        </is>
      </c>
      <c r="P742" s="2" t="inlineStr"/>
      <c r="Q742" s="2" t="inlineStr"/>
      <c r="R742" s="2" t="inlineStr"/>
      <c r="S742" s="2" t="inlineStr"/>
    </row>
    <row r="743">
      <c r="A743" s="2" t="n">
        <v>742</v>
      </c>
      <c r="B743" s="6" t="inlineStr">
        <is>
          <t>MEDIUM</t>
        </is>
      </c>
      <c r="C743" s="2" t="inlineStr">
        <is>
          <t>Weak website</t>
        </is>
      </c>
      <c r="D743" s="2" t="inlineStr">
        <is>
          <t>8LA</t>
        </is>
      </c>
      <c r="E743" s="2" t="inlineStr">
        <is>
          <t>architect</t>
        </is>
      </c>
      <c r="F743" s="2" t="inlineStr">
        <is>
          <t>Gold Coast</t>
        </is>
      </c>
      <c r="G743" s="2" t="inlineStr">
        <is>
          <t>Instagram</t>
        </is>
      </c>
      <c r="H743" s="4" t="inlineStr">
        <is>
          <t>https://www.instagram.com/8lalandscapearchitecture/</t>
        </is>
      </c>
      <c r="I743" s="4" t="inlineStr">
        <is>
          <t>https://www.facebook.com/8LALandscapeArchitecture/</t>
        </is>
      </c>
      <c r="J743" s="2" t="inlineStr">
        <is>
          <t>+61 407 651 096</t>
        </is>
      </c>
      <c r="K743" s="4" t="inlineStr">
        <is>
          <t>https://8la.com.au/</t>
        </is>
      </c>
      <c r="L743" s="2" t="inlineStr">
        <is>
          <t>missing meta description</t>
        </is>
      </c>
      <c r="M743" s="2" t="inlineStr">
        <is>
          <t>Hi 8LA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43" s="4" t="inlineStr">
        <is>
          <t>Open map</t>
        </is>
      </c>
      <c r="O743" s="2" t="inlineStr">
        <is>
          <t>Not contacted</t>
        </is>
      </c>
      <c r="P743" s="2" t="inlineStr"/>
      <c r="Q743" s="2" t="inlineStr"/>
      <c r="R743" s="2" t="inlineStr"/>
      <c r="S743" s="2" t="inlineStr"/>
    </row>
    <row r="744">
      <c r="A744" s="2" t="n">
        <v>743</v>
      </c>
      <c r="B744" s="6" t="inlineStr">
        <is>
          <t>MEDIUM</t>
        </is>
      </c>
      <c r="C744" s="2" t="inlineStr">
        <is>
          <t>Weak website</t>
        </is>
      </c>
      <c r="D744" s="2" t="inlineStr">
        <is>
          <t>Horner's of Sorrento</t>
        </is>
      </c>
      <c r="E744" s="2" t="inlineStr">
        <is>
          <t>bakery</t>
        </is>
      </c>
      <c r="F744" s="2" t="inlineStr">
        <is>
          <t>Gold Coast</t>
        </is>
      </c>
      <c r="G744" s="2" t="inlineStr">
        <is>
          <t>Instagram</t>
        </is>
      </c>
      <c r="H744" s="4" t="inlineStr">
        <is>
          <t>http://www.instagram.com/horners.bakery</t>
        </is>
      </c>
      <c r="I744" s="4" t="inlineStr">
        <is>
          <t>http://www.facebook.com/hornersofsorrento</t>
        </is>
      </c>
      <c r="J744" s="2" t="inlineStr">
        <is>
          <t>+61 7 5538 4075</t>
        </is>
      </c>
      <c r="K744" s="4" t="inlineStr">
        <is>
          <t>https://www.horners.com.au/</t>
        </is>
      </c>
      <c r="L744" s="2" t="inlineStr">
        <is>
          <t>missing meta description; slow to load (5.7s)</t>
        </is>
      </c>
      <c r="M744" s="2" t="inlineStr">
        <is>
          <t>Hi Horner's of Sorrento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4" s="4" t="inlineStr">
        <is>
          <t>Open map</t>
        </is>
      </c>
      <c r="O744" s="2" t="inlineStr">
        <is>
          <t>Not contacted</t>
        </is>
      </c>
      <c r="P744" s="2" t="inlineStr"/>
      <c r="Q744" s="2" t="inlineStr"/>
      <c r="R744" s="2" t="inlineStr"/>
      <c r="S744" s="2" t="inlineStr"/>
    </row>
    <row r="745">
      <c r="A745" s="2" t="n">
        <v>744</v>
      </c>
      <c r="B745" s="6" t="inlineStr">
        <is>
          <t>MEDIUM</t>
        </is>
      </c>
      <c r="C745" s="2" t="inlineStr">
        <is>
          <t>Weak website</t>
        </is>
      </c>
      <c r="D745" s="2" t="inlineStr">
        <is>
          <t>HarbourVue Tavern</t>
        </is>
      </c>
      <c r="E745" s="2" t="inlineStr">
        <is>
          <t>bar or pub</t>
        </is>
      </c>
      <c r="F745" s="2" t="inlineStr">
        <is>
          <t>Gold Coast</t>
        </is>
      </c>
      <c r="G745" s="2" t="inlineStr">
        <is>
          <t>Instagram</t>
        </is>
      </c>
      <c r="H745" s="4" t="inlineStr">
        <is>
          <t>http://www.instagram.com/harbourvuetavern</t>
        </is>
      </c>
      <c r="I745" s="4" t="inlineStr">
        <is>
          <t>http://www.facebook.com/harbourvuetavern</t>
        </is>
      </c>
      <c r="J745" s="2" t="inlineStr">
        <is>
          <t>+61 7 5501 9351</t>
        </is>
      </c>
      <c r="K745" s="4" t="inlineStr">
        <is>
          <t>https://harbourvuetavern.com.au/</t>
        </is>
      </c>
      <c r="L745" s="2" t="inlineStr">
        <is>
          <t>missing meta description</t>
        </is>
      </c>
      <c r="M745" s="2" t="inlineStr">
        <is>
          <t>Hi HarbourVue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45" s="4" t="inlineStr">
        <is>
          <t>Open map</t>
        </is>
      </c>
      <c r="O745" s="2" t="inlineStr">
        <is>
          <t>Not contacted</t>
        </is>
      </c>
      <c r="P745" s="2" t="inlineStr"/>
      <c r="Q745" s="2" t="inlineStr"/>
      <c r="R745" s="2" t="inlineStr"/>
      <c r="S745" s="2" t="inlineStr"/>
    </row>
    <row r="746">
      <c r="A746" s="2" t="n">
        <v>745</v>
      </c>
      <c r="B746" s="6" t="inlineStr">
        <is>
          <t>MEDIUM</t>
        </is>
      </c>
      <c r="C746" s="2" t="inlineStr">
        <is>
          <t>Weak website</t>
        </is>
      </c>
      <c r="D746" s="2" t="inlineStr">
        <is>
          <t>Hotel CBD</t>
        </is>
      </c>
      <c r="E746" s="2" t="inlineStr">
        <is>
          <t>bar or pub</t>
        </is>
      </c>
      <c r="F746" s="2" t="inlineStr">
        <is>
          <t>Gold Coast</t>
        </is>
      </c>
      <c r="G746" s="2" t="inlineStr">
        <is>
          <t>Instagram</t>
        </is>
      </c>
      <c r="H746" s="4" t="inlineStr">
        <is>
          <t>https://www.instagram.com/hotelcbd</t>
        </is>
      </c>
      <c r="I746" s="4" t="inlineStr">
        <is>
          <t>https://www.facebook.com/varsitylakeshotelcbd</t>
        </is>
      </c>
      <c r="J746" s="2" t="inlineStr">
        <is>
          <t>+61 7 5562 2266</t>
        </is>
      </c>
      <c r="K746" s="4" t="inlineStr">
        <is>
          <t>https://hotelcbd.net.au/</t>
        </is>
      </c>
      <c r="L746" s="2" t="inlineStr">
        <is>
          <t>looks outdated (copyright 2020); slow to load (4.0s)</t>
        </is>
      </c>
      <c r="M746" s="2" t="inlineStr">
        <is>
          <t>Hi Hotel CBD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6" s="4" t="inlineStr">
        <is>
          <t>Open map</t>
        </is>
      </c>
      <c r="O746" s="2" t="inlineStr">
        <is>
          <t>Not contacted</t>
        </is>
      </c>
      <c r="P746" s="2" t="inlineStr"/>
      <c r="Q746" s="2" t="inlineStr"/>
      <c r="R746" s="2" t="inlineStr"/>
      <c r="S746" s="2" t="inlineStr"/>
    </row>
    <row r="747">
      <c r="A747" s="2" t="n">
        <v>746</v>
      </c>
      <c r="B747" s="6" t="inlineStr">
        <is>
          <t>MEDIUM</t>
        </is>
      </c>
      <c r="C747" s="2" t="inlineStr">
        <is>
          <t>Weak website</t>
        </is>
      </c>
      <c r="D747" s="2" t="inlineStr">
        <is>
          <t>Mermaid Beach Tavern</t>
        </is>
      </c>
      <c r="E747" s="2" t="inlineStr">
        <is>
          <t>bar or pub</t>
        </is>
      </c>
      <c r="F747" s="2" t="inlineStr">
        <is>
          <t>Gold Coast</t>
        </is>
      </c>
      <c r="G747" s="2" t="inlineStr">
        <is>
          <t>Instagram</t>
        </is>
      </c>
      <c r="H747" s="4" t="inlineStr">
        <is>
          <t>https://www.instagram.com/mermaidbeachtavern</t>
        </is>
      </c>
      <c r="I747" s="4" t="inlineStr">
        <is>
          <t>https://www.facebook.com/mermaidbeachtavern</t>
        </is>
      </c>
      <c r="J747" s="2" t="inlineStr">
        <is>
          <t>+61 7 5526 6944</t>
        </is>
      </c>
      <c r="K747" s="4" t="inlineStr">
        <is>
          <t>https://mermaidbeachtavern.com.au/</t>
        </is>
      </c>
      <c r="L747" s="2" t="inlineStr">
        <is>
          <t>looks outdated (copyright 2021); slow to load (4.0s)</t>
        </is>
      </c>
      <c r="M747" s="2" t="inlineStr">
        <is>
          <t>Hi Mermaid Beach Tavern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7" s="4" t="inlineStr">
        <is>
          <t>Open map</t>
        </is>
      </c>
      <c r="O747" s="2" t="inlineStr">
        <is>
          <t>Not contacted</t>
        </is>
      </c>
      <c r="P747" s="2" t="inlineStr"/>
      <c r="Q747" s="2" t="inlineStr"/>
      <c r="R747" s="2" t="inlineStr"/>
      <c r="S747" s="2" t="inlineStr"/>
    </row>
    <row r="748">
      <c r="A748" s="2" t="n">
        <v>747</v>
      </c>
      <c r="B748" s="6" t="inlineStr">
        <is>
          <t>MEDIUM</t>
        </is>
      </c>
      <c r="C748" s="2" t="inlineStr">
        <is>
          <t>Weak website</t>
        </is>
      </c>
      <c r="D748" s="2" t="inlineStr">
        <is>
          <t>RQ's Tavern</t>
        </is>
      </c>
      <c r="E748" s="2" t="inlineStr">
        <is>
          <t>bar or pub</t>
        </is>
      </c>
      <c r="F748" s="2" t="inlineStr">
        <is>
          <t>Gold Coast</t>
        </is>
      </c>
      <c r="G748" s="2" t="inlineStr">
        <is>
          <t>Instagram</t>
        </is>
      </c>
      <c r="H748" s="4" t="inlineStr">
        <is>
          <t>https://www.instagram.com/rqstavern_robina</t>
        </is>
      </c>
      <c r="I748" s="4" t="inlineStr">
        <is>
          <t>https://www.facebook.com/rqstavern</t>
        </is>
      </c>
      <c r="J748" s="2" t="inlineStr">
        <is>
          <t>+61 7 5560 9458</t>
        </is>
      </c>
      <c r="K748" s="4" t="inlineStr">
        <is>
          <t>https://www.mcguireshotels.com.au/rqs-robina/</t>
        </is>
      </c>
      <c r="L748" s="2" t="inlineStr">
        <is>
          <t>slow to load (5.4s)</t>
        </is>
      </c>
      <c r="M748" s="2" t="inlineStr">
        <is>
          <t>Hi RQ's Tavern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8" s="4" t="inlineStr">
        <is>
          <t>Open map</t>
        </is>
      </c>
      <c r="O748" s="2" t="inlineStr">
        <is>
          <t>Not contacted</t>
        </is>
      </c>
      <c r="P748" s="2" t="inlineStr"/>
      <c r="Q748" s="2" t="inlineStr"/>
      <c r="R748" s="2" t="inlineStr"/>
      <c r="S748" s="2" t="inlineStr"/>
    </row>
    <row r="749">
      <c r="A749" s="2" t="n">
        <v>748</v>
      </c>
      <c r="B749" s="6" t="inlineStr">
        <is>
          <t>MEDIUM</t>
        </is>
      </c>
      <c r="C749" s="2" t="inlineStr">
        <is>
          <t>Weak website</t>
        </is>
      </c>
      <c r="D749" s="2" t="inlineStr">
        <is>
          <t>The Queen's Arm Hotel</t>
        </is>
      </c>
      <c r="E749" s="2" t="inlineStr">
        <is>
          <t>bar or pub</t>
        </is>
      </c>
      <c r="F749" s="2" t="inlineStr">
        <is>
          <t>Gold Coast</t>
        </is>
      </c>
      <c r="G749" s="2" t="inlineStr">
        <is>
          <t>Instagram</t>
        </is>
      </c>
      <c r="H749" s="4" t="inlineStr">
        <is>
          <t>https://www.instagram.com/theqasouthport</t>
        </is>
      </c>
      <c r="I749" s="4" t="inlineStr">
        <is>
          <t>https://www.facebook.com/qasouthport</t>
        </is>
      </c>
      <c r="J749" s="2" t="inlineStr">
        <is>
          <t>+61 7 5609 8485</t>
        </is>
      </c>
      <c r="K749" s="4" t="inlineStr">
        <is>
          <t>https://theqa.com.au/</t>
        </is>
      </c>
      <c r="L749" s="2" t="inlineStr">
        <is>
          <t>missing meta description; slow to load (3.3s)</t>
        </is>
      </c>
      <c r="M749" s="2" t="inlineStr">
        <is>
          <t>Hi The Queen's Arm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49" s="4" t="inlineStr">
        <is>
          <t>Open map</t>
        </is>
      </c>
      <c r="O749" s="2" t="inlineStr">
        <is>
          <t>Not contacted</t>
        </is>
      </c>
      <c r="P749" s="2" t="inlineStr"/>
      <c r="Q749" s="2" t="inlineStr"/>
      <c r="R749" s="2" t="inlineStr"/>
      <c r="S749" s="2" t="inlineStr"/>
    </row>
    <row r="750">
      <c r="A750" s="2" t="n">
        <v>749</v>
      </c>
      <c r="B750" s="6" t="inlineStr">
        <is>
          <t>MEDIUM</t>
        </is>
      </c>
      <c r="C750" s="2" t="inlineStr">
        <is>
          <t>Weak website</t>
        </is>
      </c>
      <c r="D750" s="2" t="inlineStr">
        <is>
          <t>Varsity Lakes Tavern</t>
        </is>
      </c>
      <c r="E750" s="2" t="inlineStr">
        <is>
          <t>bar or pub</t>
        </is>
      </c>
      <c r="F750" s="2" t="inlineStr">
        <is>
          <t>Gold Coast</t>
        </is>
      </c>
      <c r="G750" s="2" t="inlineStr">
        <is>
          <t>Instagram</t>
        </is>
      </c>
      <c r="H750" s="4" t="inlineStr">
        <is>
          <t>https://www.instagram.com/varsitylakestavern</t>
        </is>
      </c>
      <c r="I750" s="4" t="inlineStr">
        <is>
          <t>http://www.facebook.com/Varsitylakestavern</t>
        </is>
      </c>
      <c r="J750" s="2" t="inlineStr">
        <is>
          <t>+61 7 5576 2644</t>
        </is>
      </c>
      <c r="K750" s="4" t="inlineStr">
        <is>
          <t>https://www.varsitylakestavern.com.au/</t>
        </is>
      </c>
      <c r="L750" s="2" t="inlineStr">
        <is>
          <t>looks outdated (copyright 2021)</t>
        </is>
      </c>
      <c r="M750" s="2" t="inlineStr">
        <is>
          <t>Hi Varsity Lakes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0" s="4" t="inlineStr">
        <is>
          <t>Open map</t>
        </is>
      </c>
      <c r="O750" s="2" t="inlineStr">
        <is>
          <t>Not contacted</t>
        </is>
      </c>
      <c r="P750" s="2" t="inlineStr"/>
      <c r="Q750" s="2" t="inlineStr"/>
      <c r="R750" s="2" t="inlineStr"/>
      <c r="S750" s="2" t="inlineStr"/>
    </row>
    <row r="751">
      <c r="A751" s="2" t="n">
        <v>750</v>
      </c>
      <c r="B751" s="6" t="inlineStr">
        <is>
          <t>MEDIUM</t>
        </is>
      </c>
      <c r="C751" s="2" t="inlineStr">
        <is>
          <t>Weak website</t>
        </is>
      </c>
      <c r="D751" s="2" t="inlineStr">
        <is>
          <t>Cabello</t>
        </is>
      </c>
      <c r="E751" s="2" t="inlineStr">
        <is>
          <t>barber or hairdresser</t>
        </is>
      </c>
      <c r="F751" s="2" t="inlineStr">
        <is>
          <t>Gold Coast</t>
        </is>
      </c>
      <c r="G751" s="2" t="inlineStr">
        <is>
          <t>Instagram</t>
        </is>
      </c>
      <c r="H751" s="4" t="inlineStr">
        <is>
          <t>https://www.instagram.com/cabello_hairandbeautybar</t>
        </is>
      </c>
      <c r="I751" s="4" t="inlineStr">
        <is>
          <t>https://www.facebook.com/cabellohairandbeautybar</t>
        </is>
      </c>
      <c r="J751" s="2" t="inlineStr">
        <is>
          <t>+61 456 948 855</t>
        </is>
      </c>
      <c r="K751" s="4" t="inlineStr">
        <is>
          <t>https://www.cabellohairandbeautybar.com/</t>
        </is>
      </c>
      <c r="L751" s="2" t="inlineStr">
        <is>
          <t>missing meta description</t>
        </is>
      </c>
      <c r="M751" s="2" t="inlineStr">
        <is>
          <t>Hi Cabello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1" s="4" t="inlineStr">
        <is>
          <t>Open map</t>
        </is>
      </c>
      <c r="O751" s="2" t="inlineStr">
        <is>
          <t>Not contacted</t>
        </is>
      </c>
      <c r="P751" s="2" t="inlineStr"/>
      <c r="Q751" s="2" t="inlineStr"/>
      <c r="R751" s="2" t="inlineStr"/>
      <c r="S751" s="2" t="inlineStr"/>
    </row>
    <row r="752">
      <c r="A752" s="2" t="n">
        <v>751</v>
      </c>
      <c r="B752" s="6" t="inlineStr">
        <is>
          <t>MEDIUM</t>
        </is>
      </c>
      <c r="C752" s="2" t="inlineStr">
        <is>
          <t>Weak website</t>
        </is>
      </c>
      <c r="D752" s="2" t="inlineStr">
        <is>
          <t>CocoMousse</t>
        </is>
      </c>
      <c r="E752" s="2" t="inlineStr">
        <is>
          <t>barber or hairdresser</t>
        </is>
      </c>
      <c r="F752" s="2" t="inlineStr">
        <is>
          <t>Gold Coast</t>
        </is>
      </c>
      <c r="G752" s="2" t="inlineStr">
        <is>
          <t>Instagram</t>
        </is>
      </c>
      <c r="H752" s="4" t="inlineStr">
        <is>
          <t>https://www.instagram.com/cocomoussehair</t>
        </is>
      </c>
      <c r="I752" s="4" t="inlineStr">
        <is>
          <t>https://www.facebook.com/CocomousseHair</t>
        </is>
      </c>
      <c r="J752" s="2" t="inlineStr">
        <is>
          <t>+61 7 5575 8218</t>
        </is>
      </c>
      <c r="K752" s="4" t="inlineStr">
        <is>
          <t>https://cocomousse.com.au/</t>
        </is>
      </c>
      <c r="L752" s="2" t="inlineStr">
        <is>
          <t>looks outdated (copyright 2021)</t>
        </is>
      </c>
      <c r="M752" s="2" t="inlineStr">
        <is>
          <t>Hi CocoMousse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2" s="4" t="inlineStr">
        <is>
          <t>Open map</t>
        </is>
      </c>
      <c r="O752" s="2" t="inlineStr">
        <is>
          <t>Not contacted</t>
        </is>
      </c>
      <c r="P752" s="2" t="inlineStr"/>
      <c r="Q752" s="2" t="inlineStr"/>
      <c r="R752" s="2" t="inlineStr"/>
      <c r="S752" s="2" t="inlineStr"/>
    </row>
    <row r="753">
      <c r="A753" s="2" t="n">
        <v>752</v>
      </c>
      <c r="B753" s="6" t="inlineStr">
        <is>
          <t>MEDIUM</t>
        </is>
      </c>
      <c r="C753" s="2" t="inlineStr">
        <is>
          <t>Weak website</t>
        </is>
      </c>
      <c r="D753" s="2" t="inlineStr">
        <is>
          <t>J Street Barbers</t>
        </is>
      </c>
      <c r="E753" s="2" t="inlineStr">
        <is>
          <t>barber or hairdresser</t>
        </is>
      </c>
      <c r="F753" s="2" t="inlineStr">
        <is>
          <t>Gold Coast</t>
        </is>
      </c>
      <c r="G753" s="2" t="inlineStr">
        <is>
          <t>Instagram</t>
        </is>
      </c>
      <c r="H753" s="4" t="inlineStr">
        <is>
          <t>https://instagram.com/jstreetbarbers</t>
        </is>
      </c>
      <c r="I753" s="4" t="inlineStr">
        <is>
          <t>https://facebook.com/JStreetBarbers</t>
        </is>
      </c>
      <c r="J753" s="2" t="inlineStr">
        <is>
          <t>+61 7 5535 9978</t>
        </is>
      </c>
      <c r="K753" s="4" t="inlineStr">
        <is>
          <t>https://jstreetbarbers.com</t>
        </is>
      </c>
      <c r="L753" s="2" t="inlineStr">
        <is>
          <t>missing page title; missing meta description; slow to load (3.5s)</t>
        </is>
      </c>
      <c r="M753" s="2" t="inlineStr">
        <is>
          <t>Hi J Street Barbers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53" s="4" t="inlineStr">
        <is>
          <t>Open map</t>
        </is>
      </c>
      <c r="O753" s="2" t="inlineStr">
        <is>
          <t>Not contacted</t>
        </is>
      </c>
      <c r="P753" s="2" t="inlineStr"/>
      <c r="Q753" s="2" t="inlineStr"/>
      <c r="R753" s="2" t="inlineStr"/>
      <c r="S753" s="2" t="inlineStr"/>
    </row>
    <row r="754">
      <c r="A754" s="2" t="n">
        <v>753</v>
      </c>
      <c r="B754" s="6" t="inlineStr">
        <is>
          <t>MEDIUM</t>
        </is>
      </c>
      <c r="C754" s="2" t="inlineStr">
        <is>
          <t>Weak website</t>
        </is>
      </c>
      <c r="D754" s="2" t="inlineStr">
        <is>
          <t>Rose &amp; Crown Hair</t>
        </is>
      </c>
      <c r="E754" s="2" t="inlineStr">
        <is>
          <t>barber or hairdresser</t>
        </is>
      </c>
      <c r="F754" s="2" t="inlineStr">
        <is>
          <t>Gold Coast</t>
        </is>
      </c>
      <c r="G754" s="2" t="inlineStr">
        <is>
          <t>Instagram</t>
        </is>
      </c>
      <c r="H754" s="4" t="inlineStr">
        <is>
          <t>https://www.instagram.com/roseandcrown_hair</t>
        </is>
      </c>
      <c r="I754" s="4" t="inlineStr">
        <is>
          <t>https://www.facebook.com/roseandcrownhair</t>
        </is>
      </c>
      <c r="J754" s="2" t="inlineStr">
        <is>
          <t>+61 7 5559 5874</t>
        </is>
      </c>
      <c r="K754" s="4" t="inlineStr">
        <is>
          <t>https://www.roseandcrownhair.com.au/</t>
        </is>
      </c>
      <c r="L754" s="2" t="inlineStr">
        <is>
          <t>missing meta description</t>
        </is>
      </c>
      <c r="M754" s="2" t="inlineStr">
        <is>
          <t>Hi Rose &amp; Crown Hair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4" s="4" t="inlineStr">
        <is>
          <t>Open map</t>
        </is>
      </c>
      <c r="O754" s="2" t="inlineStr">
        <is>
          <t>Not contacted</t>
        </is>
      </c>
      <c r="P754" s="2" t="inlineStr"/>
      <c r="Q754" s="2" t="inlineStr"/>
      <c r="R754" s="2" t="inlineStr"/>
      <c r="S754" s="2" t="inlineStr"/>
    </row>
    <row r="755">
      <c r="A755" s="2" t="n">
        <v>754</v>
      </c>
      <c r="B755" s="6" t="inlineStr">
        <is>
          <t>MEDIUM</t>
        </is>
      </c>
      <c r="C755" s="2" t="inlineStr">
        <is>
          <t>Weak website</t>
        </is>
      </c>
      <c r="D755" s="2" t="inlineStr">
        <is>
          <t>Beyond Beauty</t>
        </is>
      </c>
      <c r="E755" s="2" t="inlineStr">
        <is>
          <t>beauty salon</t>
        </is>
      </c>
      <c r="F755" s="2" t="inlineStr">
        <is>
          <t>Gold Coast</t>
        </is>
      </c>
      <c r="G755" s="2" t="inlineStr">
        <is>
          <t>Instagram</t>
        </is>
      </c>
      <c r="H755" s="4" t="inlineStr">
        <is>
          <t>https://www.instagram.com/beyondbeautyinternational</t>
        </is>
      </c>
      <c r="I755" s="4" t="inlineStr">
        <is>
          <t>https://www.facebook.com/BeyondBeautyInternational</t>
        </is>
      </c>
      <c r="J755" s="2" t="inlineStr">
        <is>
          <t>+61 403 087 679</t>
        </is>
      </c>
      <c r="K755" s="4" t="inlineStr">
        <is>
          <t>https://www.beyondbeauty.com.au/</t>
        </is>
      </c>
      <c r="L755" s="2" t="inlineStr">
        <is>
          <t>missing meta description</t>
        </is>
      </c>
      <c r="M755" s="2" t="inlineStr">
        <is>
          <t>Hi Beyond Beauty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5" s="4" t="inlineStr">
        <is>
          <t>Open map</t>
        </is>
      </c>
      <c r="O755" s="2" t="inlineStr">
        <is>
          <t>Not contacted</t>
        </is>
      </c>
      <c r="P755" s="2" t="inlineStr"/>
      <c r="Q755" s="2" t="inlineStr"/>
      <c r="R755" s="2" t="inlineStr"/>
      <c r="S755" s="2" t="inlineStr"/>
    </row>
    <row r="756">
      <c r="A756" s="2" t="n">
        <v>755</v>
      </c>
      <c r="B756" s="6" t="inlineStr">
        <is>
          <t>MEDIUM</t>
        </is>
      </c>
      <c r="C756" s="2" t="inlineStr">
        <is>
          <t>Weak website</t>
        </is>
      </c>
      <c r="D756" s="2" t="inlineStr">
        <is>
          <t>Blush Beauty &amp; Skin Salon</t>
        </is>
      </c>
      <c r="E756" s="2" t="inlineStr">
        <is>
          <t>beauty salon</t>
        </is>
      </c>
      <c r="F756" s="2" t="inlineStr">
        <is>
          <t>Gold Coast</t>
        </is>
      </c>
      <c r="G756" s="2" t="inlineStr">
        <is>
          <t>Instagram</t>
        </is>
      </c>
      <c r="H756" s="4" t="inlineStr">
        <is>
          <t>https://www.instagram.com/blushbeautyandskin</t>
        </is>
      </c>
      <c r="I756" s="4" t="inlineStr">
        <is>
          <t>https://www.facebook.com/blushbeautysalonsqld</t>
        </is>
      </c>
      <c r="J756" s="2" t="inlineStr">
        <is>
          <t>+61 7 5580 8422</t>
        </is>
      </c>
      <c r="K756" s="4" t="inlineStr">
        <is>
          <t>https://www.blushbeautysalons.com.au/</t>
        </is>
      </c>
      <c r="L756" s="2" t="inlineStr">
        <is>
          <t>missing meta description</t>
        </is>
      </c>
      <c r="M756" s="2" t="inlineStr">
        <is>
          <t>Hi Blush Beauty &amp; Skin Salon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6" s="4" t="inlineStr">
        <is>
          <t>Open map</t>
        </is>
      </c>
      <c r="O756" s="2" t="inlineStr">
        <is>
          <t>Not contacted</t>
        </is>
      </c>
      <c r="P756" s="2" t="inlineStr"/>
      <c r="Q756" s="2" t="inlineStr"/>
      <c r="R756" s="2" t="inlineStr"/>
      <c r="S756" s="2" t="inlineStr"/>
    </row>
    <row r="757">
      <c r="A757" s="2" t="n">
        <v>756</v>
      </c>
      <c r="B757" s="6" t="inlineStr">
        <is>
          <t>MEDIUM</t>
        </is>
      </c>
      <c r="C757" s="2" t="inlineStr">
        <is>
          <t>Weak website</t>
        </is>
      </c>
      <c r="D757" s="2" t="inlineStr">
        <is>
          <t>ECO Tan</t>
        </is>
      </c>
      <c r="E757" s="2" t="inlineStr">
        <is>
          <t>beauty salon</t>
        </is>
      </c>
      <c r="F757" s="2" t="inlineStr">
        <is>
          <t>Gold Coast</t>
        </is>
      </c>
      <c r="G757" s="2" t="inlineStr">
        <is>
          <t>Instagram</t>
        </is>
      </c>
      <c r="H757" s="4" t="inlineStr">
        <is>
          <t>https://www.instagram.com/ecobysonya</t>
        </is>
      </c>
      <c r="I757" s="4" t="inlineStr">
        <is>
          <t>https://www.facebook.com/EcoTanAus</t>
        </is>
      </c>
      <c r="J757" s="2" t="inlineStr"/>
      <c r="K757" s="4" t="inlineStr">
        <is>
          <t>https://ecotan.com.au/</t>
        </is>
      </c>
      <c r="L757" s="2" t="inlineStr">
        <is>
          <t>looks outdated (copyright 2020)</t>
        </is>
      </c>
      <c r="M757" s="2" t="inlineStr">
        <is>
          <t>Hi ECO Tan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7" s="4" t="inlineStr">
        <is>
          <t>Open map</t>
        </is>
      </c>
      <c r="O757" s="2" t="inlineStr">
        <is>
          <t>Not contacted</t>
        </is>
      </c>
      <c r="P757" s="2" t="inlineStr"/>
      <c r="Q757" s="2" t="inlineStr"/>
      <c r="R757" s="2" t="inlineStr"/>
      <c r="S757" s="2" t="inlineStr"/>
    </row>
    <row r="758">
      <c r="A758" s="2" t="n">
        <v>757</v>
      </c>
      <c r="B758" s="6" t="inlineStr">
        <is>
          <t>MEDIUM</t>
        </is>
      </c>
      <c r="C758" s="2" t="inlineStr">
        <is>
          <t>Weak website</t>
        </is>
      </c>
      <c r="D758" s="2" t="inlineStr">
        <is>
          <t>Elysium A Place Of Beauty</t>
        </is>
      </c>
      <c r="E758" s="2" t="inlineStr">
        <is>
          <t>beauty salon</t>
        </is>
      </c>
      <c r="F758" s="2" t="inlineStr">
        <is>
          <t>Gold Coast</t>
        </is>
      </c>
      <c r="G758" s="2" t="inlineStr">
        <is>
          <t>Instagram</t>
        </is>
      </c>
      <c r="H758" s="4" t="inlineStr">
        <is>
          <t>https://www.instagram.com/elysium_APlaceOfBeauty</t>
        </is>
      </c>
      <c r="I758" s="4" t="inlineStr">
        <is>
          <t>https://www.facebook.com/elysiumburleigh</t>
        </is>
      </c>
      <c r="J758" s="2" t="inlineStr">
        <is>
          <t>+61 7 5520 2338</t>
        </is>
      </c>
      <c r="K758" s="4" t="inlineStr">
        <is>
          <t>https://www.elysiumbeauty.com.au</t>
        </is>
      </c>
      <c r="L758" s="2" t="inlineStr">
        <is>
          <t>missing meta description; slow to load (4.8s)</t>
        </is>
      </c>
      <c r="M758" s="2" t="inlineStr">
        <is>
          <t>Hi Elysium A Place Of Beauty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58" s="4" t="inlineStr">
        <is>
          <t>Open map</t>
        </is>
      </c>
      <c r="O758" s="2" t="inlineStr">
        <is>
          <t>Not contacted</t>
        </is>
      </c>
      <c r="P758" s="2" t="inlineStr"/>
      <c r="Q758" s="2" t="inlineStr"/>
      <c r="R758" s="2" t="inlineStr"/>
      <c r="S758" s="2" t="inlineStr"/>
    </row>
    <row r="759">
      <c r="A759" s="2" t="n">
        <v>758</v>
      </c>
      <c r="B759" s="6" t="inlineStr">
        <is>
          <t>MEDIUM</t>
        </is>
      </c>
      <c r="C759" s="2" t="inlineStr">
        <is>
          <t>Weak website</t>
        </is>
      </c>
      <c r="D759" s="2" t="inlineStr">
        <is>
          <t>Krownd Men’s Aesthetic Clinic</t>
        </is>
      </c>
      <c r="E759" s="2" t="inlineStr">
        <is>
          <t>beauty salon</t>
        </is>
      </c>
      <c r="F759" s="2" t="inlineStr">
        <is>
          <t>Gold Coast</t>
        </is>
      </c>
      <c r="G759" s="2" t="inlineStr">
        <is>
          <t>Instagram</t>
        </is>
      </c>
      <c r="H759" s="4" t="inlineStr">
        <is>
          <t>https://www.instagram.com/krowndaesthetics</t>
        </is>
      </c>
      <c r="I759" s="4" t="inlineStr">
        <is>
          <t>https://www.facebook.com/KrowndAesthetics</t>
        </is>
      </c>
      <c r="J759" s="2" t="inlineStr">
        <is>
          <t>+61 498 765 101</t>
        </is>
      </c>
      <c r="K759" s="4" t="inlineStr">
        <is>
          <t>https://www.krownd.com.au/</t>
        </is>
      </c>
      <c r="L759" s="2" t="inlineStr">
        <is>
          <t>looks outdated (copyright 2020); slow to load (3.6s)</t>
        </is>
      </c>
      <c r="M759" s="2" t="inlineStr">
        <is>
          <t>Hi Krownd Men’s Aesthetic Clinic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59" s="4" t="inlineStr">
        <is>
          <t>Open map</t>
        </is>
      </c>
      <c r="O759" s="2" t="inlineStr">
        <is>
          <t>Not contacted</t>
        </is>
      </c>
      <c r="P759" s="2" t="inlineStr"/>
      <c r="Q759" s="2" t="inlineStr"/>
      <c r="R759" s="2" t="inlineStr"/>
      <c r="S759" s="2" t="inlineStr"/>
    </row>
    <row r="760">
      <c r="A760" s="2" t="n">
        <v>759</v>
      </c>
      <c r="B760" s="6" t="inlineStr">
        <is>
          <t>MEDIUM</t>
        </is>
      </c>
      <c r="C760" s="2" t="inlineStr">
        <is>
          <t>Weak website</t>
        </is>
      </c>
      <c r="D760" s="2" t="inlineStr">
        <is>
          <t>Rejuv Health &amp; Beauty</t>
        </is>
      </c>
      <c r="E760" s="2" t="inlineStr">
        <is>
          <t>beauty salon</t>
        </is>
      </c>
      <c r="F760" s="2" t="inlineStr">
        <is>
          <t>Gold Coast</t>
        </is>
      </c>
      <c r="G760" s="2" t="inlineStr">
        <is>
          <t>Instagram</t>
        </is>
      </c>
      <c r="H760" s="4" t="inlineStr">
        <is>
          <t>https://www.instagram.com/rejuv_goldcoast</t>
        </is>
      </c>
      <c r="I760" s="4" t="inlineStr">
        <is>
          <t>https://www.facebook.com/rejuvhealthandbeauty</t>
        </is>
      </c>
      <c r="J760" s="2" t="inlineStr">
        <is>
          <t>+61 404 173 443</t>
        </is>
      </c>
      <c r="K760" s="4" t="inlineStr">
        <is>
          <t>https://www.rejuv.clinic/</t>
        </is>
      </c>
      <c r="L760" s="2" t="inlineStr">
        <is>
          <t>missing meta description</t>
        </is>
      </c>
      <c r="M760" s="2" t="inlineStr">
        <is>
          <t>Hi Rejuv Health &amp; Beauty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0" s="4" t="inlineStr">
        <is>
          <t>Open map</t>
        </is>
      </c>
      <c r="O760" s="2" t="inlineStr">
        <is>
          <t>Not contacted</t>
        </is>
      </c>
      <c r="P760" s="2" t="inlineStr"/>
      <c r="Q760" s="2" t="inlineStr"/>
      <c r="R760" s="2" t="inlineStr"/>
      <c r="S760" s="2" t="inlineStr"/>
    </row>
    <row r="761">
      <c r="A761" s="2" t="n">
        <v>760</v>
      </c>
      <c r="B761" s="6" t="inlineStr">
        <is>
          <t>MEDIUM</t>
        </is>
      </c>
      <c r="C761" s="2" t="inlineStr">
        <is>
          <t>Weak website</t>
        </is>
      </c>
      <c r="D761" s="2" t="inlineStr">
        <is>
          <t>Sculpted Peach</t>
        </is>
      </c>
      <c r="E761" s="2" t="inlineStr">
        <is>
          <t>beauty salon</t>
        </is>
      </c>
      <c r="F761" s="2" t="inlineStr">
        <is>
          <t>Gold Coast</t>
        </is>
      </c>
      <c r="G761" s="2" t="inlineStr">
        <is>
          <t>Instagram</t>
        </is>
      </c>
      <c r="H761" s="4" t="inlineStr">
        <is>
          <t>https://www.instagram.com/sculpted_peach_gc</t>
        </is>
      </c>
      <c r="I761" s="4" t="inlineStr">
        <is>
          <t>https://www.facebook.com/profile.php</t>
        </is>
      </c>
      <c r="J761" s="2" t="inlineStr">
        <is>
          <t>+61 466 880 138</t>
        </is>
      </c>
      <c r="K761" s="4" t="inlineStr">
        <is>
          <t>https://www.sculptedpeach.com.au/</t>
        </is>
      </c>
      <c r="L761" s="2" t="inlineStr">
        <is>
          <t>looks outdated (copyright 2022); missing meta description</t>
        </is>
      </c>
      <c r="M761" s="2" t="inlineStr">
        <is>
          <t>Hi Sculpted Peach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1" s="4" t="inlineStr">
        <is>
          <t>Open map</t>
        </is>
      </c>
      <c r="O761" s="2" t="inlineStr">
        <is>
          <t>Not contacted</t>
        </is>
      </c>
      <c r="P761" s="2" t="inlineStr"/>
      <c r="Q761" s="2" t="inlineStr"/>
      <c r="R761" s="2" t="inlineStr"/>
      <c r="S761" s="2" t="inlineStr"/>
    </row>
    <row r="762">
      <c r="A762" s="2" t="n">
        <v>761</v>
      </c>
      <c r="B762" s="6" t="inlineStr">
        <is>
          <t>MEDIUM</t>
        </is>
      </c>
      <c r="C762" s="2" t="inlineStr">
        <is>
          <t>Weak website</t>
        </is>
      </c>
      <c r="D762" s="2" t="inlineStr">
        <is>
          <t>Skin Clinic Robina</t>
        </is>
      </c>
      <c r="E762" s="2" t="inlineStr">
        <is>
          <t>beauty salon</t>
        </is>
      </c>
      <c r="F762" s="2" t="inlineStr">
        <is>
          <t>Gold Coast</t>
        </is>
      </c>
      <c r="G762" s="2" t="inlineStr">
        <is>
          <t>Instagram</t>
        </is>
      </c>
      <c r="H762" s="4" t="inlineStr">
        <is>
          <t>https://www.instagram.com/skinclinicrobina</t>
        </is>
      </c>
      <c r="I762" s="4" t="inlineStr">
        <is>
          <t>https://www.facebook.com/skincancerclinicrobina</t>
        </is>
      </c>
      <c r="J762" s="2" t="inlineStr">
        <is>
          <t>+61 7 5562 1300</t>
        </is>
      </c>
      <c r="K762" s="4" t="inlineStr">
        <is>
          <t>https://www.skinclinicgoldcoast.com.au/</t>
        </is>
      </c>
      <c r="L762" s="2" t="inlineStr">
        <is>
          <t>slow to load (4.6s)</t>
        </is>
      </c>
      <c r="M762" s="2" t="inlineStr">
        <is>
          <t>Hi Skin Clinic Robina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62" s="4" t="inlineStr">
        <is>
          <t>Open map</t>
        </is>
      </c>
      <c r="O762" s="2" t="inlineStr">
        <is>
          <t>Not contacted</t>
        </is>
      </c>
      <c r="P762" s="2" t="inlineStr"/>
      <c r="Q762" s="2" t="inlineStr"/>
      <c r="R762" s="2" t="inlineStr"/>
      <c r="S762" s="2" t="inlineStr"/>
    </row>
    <row r="763">
      <c r="A763" s="2" t="n">
        <v>762</v>
      </c>
      <c r="B763" s="6" t="inlineStr">
        <is>
          <t>MEDIUM</t>
        </is>
      </c>
      <c r="C763" s="2" t="inlineStr">
        <is>
          <t>Weak website</t>
        </is>
      </c>
      <c r="D763" s="2" t="inlineStr">
        <is>
          <t>Sugar Me Baby</t>
        </is>
      </c>
      <c r="E763" s="2" t="inlineStr">
        <is>
          <t>beauty salon</t>
        </is>
      </c>
      <c r="F763" s="2" t="inlineStr">
        <is>
          <t>Gold Coast</t>
        </is>
      </c>
      <c r="G763" s="2" t="inlineStr">
        <is>
          <t>Instagram</t>
        </is>
      </c>
      <c r="H763" s="4" t="inlineStr">
        <is>
          <t>http://instagram.com/sugarme_baby</t>
        </is>
      </c>
      <c r="I763" s="4" t="inlineStr">
        <is>
          <t>https://www.facebook.com/sugarmebaby</t>
        </is>
      </c>
      <c r="J763" s="2" t="inlineStr">
        <is>
          <t>+61 432 128 318</t>
        </is>
      </c>
      <c r="K763" s="4" t="inlineStr">
        <is>
          <t>http://www.sugarmebaby.com.au/home/</t>
        </is>
      </c>
      <c r="L763" s="2" t="inlineStr">
        <is>
          <t>no HTTPS (browser shows 'Not secure'); looks outdated (copyright 2023)</t>
        </is>
      </c>
      <c r="M763" s="2" t="inlineStr">
        <is>
          <t>Hi Sugar Me Baby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3" s="4" t="inlineStr">
        <is>
          <t>Open map</t>
        </is>
      </c>
      <c r="O763" s="2" t="inlineStr">
        <is>
          <t>Not contacted</t>
        </is>
      </c>
      <c r="P763" s="2" t="inlineStr"/>
      <c r="Q763" s="2" t="inlineStr"/>
      <c r="R763" s="2" t="inlineStr"/>
      <c r="S763" s="2" t="inlineStr"/>
    </row>
    <row r="764">
      <c r="A764" s="2" t="n">
        <v>763</v>
      </c>
      <c r="B764" s="6" t="inlineStr">
        <is>
          <t>MEDIUM</t>
        </is>
      </c>
      <c r="C764" s="2" t="inlineStr">
        <is>
          <t>Weak website</t>
        </is>
      </c>
      <c r="D764" s="2" t="inlineStr">
        <is>
          <t>Hand On My Heart</t>
        </is>
      </c>
      <c r="E764" s="2" t="inlineStr">
        <is>
          <t>boutique</t>
        </is>
      </c>
      <c r="F764" s="2" t="inlineStr">
        <is>
          <t>Gold Coast</t>
        </is>
      </c>
      <c r="G764" s="2" t="inlineStr">
        <is>
          <t>Instagram</t>
        </is>
      </c>
      <c r="H764" s="4" t="inlineStr">
        <is>
          <t>https://www.instagram.com/handonmyheart_</t>
        </is>
      </c>
      <c r="I764" s="4" t="inlineStr">
        <is>
          <t>https://www.facebook.com/handonmyheart</t>
        </is>
      </c>
      <c r="J764" s="2" t="inlineStr"/>
      <c r="K764" s="4" t="inlineStr">
        <is>
          <t>https://www.handonmyheart.com/pages/our-store</t>
        </is>
      </c>
      <c r="L764" s="2" t="inlineStr">
        <is>
          <t>missing meta description</t>
        </is>
      </c>
      <c r="M764" s="2" t="inlineStr">
        <is>
          <t>Hi Hand On My Heart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4" s="4" t="inlineStr">
        <is>
          <t>Open map</t>
        </is>
      </c>
      <c r="O764" s="2" t="inlineStr">
        <is>
          <t>Not contacted</t>
        </is>
      </c>
      <c r="P764" s="2" t="inlineStr"/>
      <c r="Q764" s="2" t="inlineStr"/>
      <c r="R764" s="2" t="inlineStr"/>
      <c r="S764" s="2" t="inlineStr"/>
    </row>
    <row r="765">
      <c r="A765" s="2" t="n">
        <v>764</v>
      </c>
      <c r="B765" s="6" t="inlineStr">
        <is>
          <t>MEDIUM</t>
        </is>
      </c>
      <c r="C765" s="2" t="inlineStr">
        <is>
          <t>Weak website</t>
        </is>
      </c>
      <c r="D765" s="2" t="inlineStr">
        <is>
          <t>One Night Stand Designer Dress Hire</t>
        </is>
      </c>
      <c r="E765" s="2" t="inlineStr">
        <is>
          <t>boutique</t>
        </is>
      </c>
      <c r="F765" s="2" t="inlineStr">
        <is>
          <t>Gold Coast</t>
        </is>
      </c>
      <c r="G765" s="2" t="inlineStr">
        <is>
          <t>Instagram</t>
        </is>
      </c>
      <c r="H765" s="4" t="inlineStr">
        <is>
          <t>https://www.instagram.com/onenightstanddesignerhire</t>
        </is>
      </c>
      <c r="I765" s="2" t="inlineStr"/>
      <c r="J765" s="2" t="inlineStr">
        <is>
          <t>+61 420 974 872</t>
        </is>
      </c>
      <c r="K765" s="4" t="inlineStr">
        <is>
          <t>https://onenightstanddesignerhire.com/</t>
        </is>
      </c>
      <c r="L765" s="2" t="inlineStr">
        <is>
          <t>looks outdated (copyright 2021)</t>
        </is>
      </c>
      <c r="M765" s="2" t="inlineStr">
        <is>
          <t>Hi One Night Stand Designer Dress Hire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5" s="4" t="inlineStr">
        <is>
          <t>Open map</t>
        </is>
      </c>
      <c r="O765" s="2" t="inlineStr">
        <is>
          <t>Not contacted</t>
        </is>
      </c>
      <c r="P765" s="2" t="inlineStr"/>
      <c r="Q765" s="2" t="inlineStr"/>
      <c r="R765" s="2" t="inlineStr"/>
      <c r="S765" s="2" t="inlineStr"/>
    </row>
    <row r="766">
      <c r="A766" s="2" t="n">
        <v>765</v>
      </c>
      <c r="B766" s="6" t="inlineStr">
        <is>
          <t>MEDIUM</t>
        </is>
      </c>
      <c r="C766" s="2" t="inlineStr">
        <is>
          <t>Weak website</t>
        </is>
      </c>
      <c r="D766" s="2" t="inlineStr">
        <is>
          <t>Rosa &amp; Mary's Bridal Shop</t>
        </is>
      </c>
      <c r="E766" s="2" t="inlineStr">
        <is>
          <t>boutique</t>
        </is>
      </c>
      <c r="F766" s="2" t="inlineStr">
        <is>
          <t>Gold Coast</t>
        </is>
      </c>
      <c r="G766" s="2" t="inlineStr">
        <is>
          <t>Instagram</t>
        </is>
      </c>
      <c r="H766" s="4" t="inlineStr">
        <is>
          <t>https://www.instagram.com/rosaandmarysbridal</t>
        </is>
      </c>
      <c r="I766" s="4" t="inlineStr">
        <is>
          <t>https://www.facebook.com/Rosaandmarybridal</t>
        </is>
      </c>
      <c r="J766" s="2" t="inlineStr">
        <is>
          <t>+61 438 011 612</t>
        </is>
      </c>
      <c r="K766" s="4" t="inlineStr">
        <is>
          <t>https://rosaandmarybridal.com.au/</t>
        </is>
      </c>
      <c r="L766" s="2" t="inlineStr">
        <is>
          <t>looks outdated (copyright 2019)</t>
        </is>
      </c>
      <c r="M766" s="2" t="inlineStr">
        <is>
          <t>Hi Rosa &amp; Mary's Bridal Shop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6" s="4" t="inlineStr">
        <is>
          <t>Open map</t>
        </is>
      </c>
      <c r="O766" s="2" t="inlineStr">
        <is>
          <t>Not contacted</t>
        </is>
      </c>
      <c r="P766" s="2" t="inlineStr"/>
      <c r="Q766" s="2" t="inlineStr"/>
      <c r="R766" s="2" t="inlineStr"/>
      <c r="S766" s="2" t="inlineStr"/>
    </row>
    <row r="767">
      <c r="A767" s="2" t="n">
        <v>766</v>
      </c>
      <c r="B767" s="6" t="inlineStr">
        <is>
          <t>MEDIUM</t>
        </is>
      </c>
      <c r="C767" s="2" t="inlineStr">
        <is>
          <t>Weak website</t>
        </is>
      </c>
      <c r="D767" s="2" t="inlineStr">
        <is>
          <t>The Shoe Collective</t>
        </is>
      </c>
      <c r="E767" s="2" t="inlineStr">
        <is>
          <t>boutique</t>
        </is>
      </c>
      <c r="F767" s="2" t="inlineStr">
        <is>
          <t>Gold Coast</t>
        </is>
      </c>
      <c r="G767" s="2" t="inlineStr">
        <is>
          <t>Instagram</t>
        </is>
      </c>
      <c r="H767" s="4" t="inlineStr">
        <is>
          <t>https://www.instagram.com/theshoecollectiveaus</t>
        </is>
      </c>
      <c r="I767" s="2" t="inlineStr"/>
      <c r="J767" s="2" t="inlineStr"/>
      <c r="K767" s="4" t="inlineStr">
        <is>
          <t>https://theshoecollective.com.au/</t>
        </is>
      </c>
      <c r="L767" s="2" t="inlineStr">
        <is>
          <t>slow to load (5.0s)</t>
        </is>
      </c>
      <c r="M767" s="2" t="inlineStr">
        <is>
          <t>Hi The Shoe Collective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67" s="4" t="inlineStr">
        <is>
          <t>Open map</t>
        </is>
      </c>
      <c r="O767" s="2" t="inlineStr">
        <is>
          <t>Not contacted</t>
        </is>
      </c>
      <c r="P767" s="2" t="inlineStr"/>
      <c r="Q767" s="2" t="inlineStr"/>
      <c r="R767" s="2" t="inlineStr"/>
      <c r="S767" s="2" t="inlineStr"/>
    </row>
    <row r="768">
      <c r="A768" s="2" t="n">
        <v>767</v>
      </c>
      <c r="B768" s="6" t="inlineStr">
        <is>
          <t>MEDIUM</t>
        </is>
      </c>
      <c r="C768" s="2" t="inlineStr">
        <is>
          <t>Weak website</t>
        </is>
      </c>
      <c r="D768" s="2" t="inlineStr">
        <is>
          <t>BSKT</t>
        </is>
      </c>
      <c r="E768" s="2" t="inlineStr">
        <is>
          <t>cafe</t>
        </is>
      </c>
      <c r="F768" s="2" t="inlineStr">
        <is>
          <t>Gold Coast</t>
        </is>
      </c>
      <c r="G768" s="2" t="inlineStr">
        <is>
          <t>Instagram</t>
        </is>
      </c>
      <c r="H768" s="4" t="inlineStr">
        <is>
          <t>https://www.instagram.com/BSKTcafe</t>
        </is>
      </c>
      <c r="I768" s="4" t="inlineStr">
        <is>
          <t>https://www.facebook.com/BSKTcafe</t>
        </is>
      </c>
      <c r="J768" s="2" t="inlineStr">
        <is>
          <t>+61 7 5526 6565</t>
        </is>
      </c>
      <c r="K768" s="4" t="inlineStr">
        <is>
          <t>https://bskt.com.au/</t>
        </is>
      </c>
      <c r="L768" s="2" t="inlineStr">
        <is>
          <t>slow to load (3.1s)</t>
        </is>
      </c>
      <c r="M768" s="2" t="inlineStr">
        <is>
          <t>Hi BSKT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68" s="4" t="inlineStr">
        <is>
          <t>Open map</t>
        </is>
      </c>
      <c r="O768" s="2" t="inlineStr">
        <is>
          <t>Not contacted</t>
        </is>
      </c>
      <c r="P768" s="2" t="inlineStr"/>
      <c r="Q768" s="2" t="inlineStr"/>
      <c r="R768" s="2" t="inlineStr"/>
      <c r="S768" s="2" t="inlineStr"/>
    </row>
    <row r="769">
      <c r="A769" s="2" t="n">
        <v>768</v>
      </c>
      <c r="B769" s="6" t="inlineStr">
        <is>
          <t>MEDIUM</t>
        </is>
      </c>
      <c r="C769" s="2" t="inlineStr">
        <is>
          <t>Weak website</t>
        </is>
      </c>
      <c r="D769" s="2" t="inlineStr">
        <is>
          <t>Bumbles Cafe</t>
        </is>
      </c>
      <c r="E769" s="2" t="inlineStr">
        <is>
          <t>cafe</t>
        </is>
      </c>
      <c r="F769" s="2" t="inlineStr">
        <is>
          <t>Gold Coast</t>
        </is>
      </c>
      <c r="G769" s="2" t="inlineStr">
        <is>
          <t>Instagram</t>
        </is>
      </c>
      <c r="H769" s="4" t="inlineStr">
        <is>
          <t>http://instagram.com/bumblescafe</t>
        </is>
      </c>
      <c r="I769" s="4" t="inlineStr">
        <is>
          <t>https://facebook.com/bumblesbluehouse</t>
        </is>
      </c>
      <c r="J769" s="2" t="inlineStr"/>
      <c r="K769" s="4" t="inlineStr">
        <is>
          <t>https://www.bumblescafe.com/</t>
        </is>
      </c>
      <c r="L769" s="2" t="inlineStr">
        <is>
          <t>slow to load (4.8s)</t>
        </is>
      </c>
      <c r="M769" s="2" t="inlineStr">
        <is>
          <t>Hi Bumbles Cafe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69" s="4" t="inlineStr">
        <is>
          <t>Open map</t>
        </is>
      </c>
      <c r="O769" s="2" t="inlineStr">
        <is>
          <t>Not contacted</t>
        </is>
      </c>
      <c r="P769" s="2" t="inlineStr"/>
      <c r="Q769" s="2" t="inlineStr"/>
      <c r="R769" s="2" t="inlineStr"/>
      <c r="S769" s="2" t="inlineStr"/>
    </row>
    <row r="770">
      <c r="A770" s="2" t="n">
        <v>769</v>
      </c>
      <c r="B770" s="6" t="inlineStr">
        <is>
          <t>MEDIUM</t>
        </is>
      </c>
      <c r="C770" s="2" t="inlineStr">
        <is>
          <t>Weak website</t>
        </is>
      </c>
      <c r="D770" s="2" t="inlineStr">
        <is>
          <t>Coffee Galleria</t>
        </is>
      </c>
      <c r="E770" s="2" t="inlineStr">
        <is>
          <t>cafe</t>
        </is>
      </c>
      <c r="F770" s="2" t="inlineStr">
        <is>
          <t>Gold Coast</t>
        </is>
      </c>
      <c r="G770" s="2" t="inlineStr">
        <is>
          <t>Instagram</t>
        </is>
      </c>
      <c r="H770" s="4" t="inlineStr">
        <is>
          <t>https://www.instagram.com/adorecoffeeroasters</t>
        </is>
      </c>
      <c r="I770" s="4" t="inlineStr">
        <is>
          <t>https://www.facebook.com/AdoreCoffeeRoasters</t>
        </is>
      </c>
      <c r="J770" s="2" t="inlineStr">
        <is>
          <t>+61 7 5526 3362</t>
        </is>
      </c>
      <c r="K770" s="4" t="inlineStr">
        <is>
          <t>https://coffeegalleria.com.au/</t>
        </is>
      </c>
      <c r="L770" s="2" t="inlineStr">
        <is>
          <t>looks outdated (copyright 2019); missing meta description</t>
        </is>
      </c>
      <c r="M770" s="2" t="inlineStr">
        <is>
          <t>Hi Coffee Galleria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0" s="4" t="inlineStr">
        <is>
          <t>Open map</t>
        </is>
      </c>
      <c r="O770" s="2" t="inlineStr">
        <is>
          <t>Not contacted</t>
        </is>
      </c>
      <c r="P770" s="2" t="inlineStr"/>
      <c r="Q770" s="2" t="inlineStr"/>
      <c r="R770" s="2" t="inlineStr"/>
      <c r="S770" s="2" t="inlineStr"/>
    </row>
    <row r="771">
      <c r="A771" s="2" t="n">
        <v>770</v>
      </c>
      <c r="B771" s="6" t="inlineStr">
        <is>
          <t>MEDIUM</t>
        </is>
      </c>
      <c r="C771" s="2" t="inlineStr">
        <is>
          <t>Weak website</t>
        </is>
      </c>
      <c r="D771" s="2" t="inlineStr">
        <is>
          <t>Grounding Cafe</t>
        </is>
      </c>
      <c r="E771" s="2" t="inlineStr">
        <is>
          <t>cafe</t>
        </is>
      </c>
      <c r="F771" s="2" t="inlineStr">
        <is>
          <t>Gold Coast</t>
        </is>
      </c>
      <c r="G771" s="2" t="inlineStr">
        <is>
          <t>Instagram</t>
        </is>
      </c>
      <c r="H771" s="4" t="inlineStr">
        <is>
          <t>https://www.instagram.com/groundingcafe</t>
        </is>
      </c>
      <c r="I771" s="4" t="inlineStr">
        <is>
          <t>https://www.facebook.com/GroundingCafe</t>
        </is>
      </c>
      <c r="J771" s="2" t="inlineStr">
        <is>
          <t>+61 423 611 452</t>
        </is>
      </c>
      <c r="K771" s="4" t="inlineStr">
        <is>
          <t>https://www.grounding.cafe/</t>
        </is>
      </c>
      <c r="L771" s="2" t="inlineStr">
        <is>
          <t>looks outdated (copyright 2023)</t>
        </is>
      </c>
      <c r="M771" s="2" t="inlineStr">
        <is>
          <t>Hi Grounding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1" s="4" t="inlineStr">
        <is>
          <t>Open map</t>
        </is>
      </c>
      <c r="O771" s="2" t="inlineStr">
        <is>
          <t>Not contacted</t>
        </is>
      </c>
      <c r="P771" s="2" t="inlineStr"/>
      <c r="Q771" s="2" t="inlineStr"/>
      <c r="R771" s="2" t="inlineStr"/>
      <c r="S771" s="2" t="inlineStr"/>
    </row>
    <row r="772">
      <c r="A772" s="2" t="n">
        <v>771</v>
      </c>
      <c r="B772" s="6" t="inlineStr">
        <is>
          <t>MEDIUM</t>
        </is>
      </c>
      <c r="C772" s="2" t="inlineStr">
        <is>
          <t>Weak website</t>
        </is>
      </c>
      <c r="D772" s="2" t="inlineStr">
        <is>
          <t>Little Mermaid</t>
        </is>
      </c>
      <c r="E772" s="2" t="inlineStr">
        <is>
          <t>cafe</t>
        </is>
      </c>
      <c r="F772" s="2" t="inlineStr">
        <is>
          <t>Gold Coast</t>
        </is>
      </c>
      <c r="G772" s="2" t="inlineStr">
        <is>
          <t>Instagram</t>
        </is>
      </c>
      <c r="H772" s="4" t="inlineStr">
        <is>
          <t>https://www.instagram.com/littlemermaid.goldcoast</t>
        </is>
      </c>
      <c r="I772" s="4" t="inlineStr">
        <is>
          <t>https://www.facebook.com/LittleMermaidGC</t>
        </is>
      </c>
      <c r="J772" s="2" t="inlineStr">
        <is>
          <t>+61 420 527 071</t>
        </is>
      </c>
      <c r="K772" s="4" t="inlineStr">
        <is>
          <t>https://littlemermaidgc.com.au/</t>
        </is>
      </c>
      <c r="L772" s="2" t="inlineStr">
        <is>
          <t>missing meta description</t>
        </is>
      </c>
      <c r="M772" s="2" t="inlineStr">
        <is>
          <t>Hi Little Mermaid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2" s="4" t="inlineStr">
        <is>
          <t>Open map</t>
        </is>
      </c>
      <c r="O772" s="2" t="inlineStr">
        <is>
          <t>Not contacted</t>
        </is>
      </c>
      <c r="P772" s="2" t="inlineStr"/>
      <c r="Q772" s="2" t="inlineStr"/>
      <c r="R772" s="2" t="inlineStr"/>
      <c r="S772" s="2" t="inlineStr"/>
    </row>
    <row r="773">
      <c r="A773" s="2" t="n">
        <v>772</v>
      </c>
      <c r="B773" s="6" t="inlineStr">
        <is>
          <t>MEDIUM</t>
        </is>
      </c>
      <c r="C773" s="2" t="inlineStr">
        <is>
          <t>Weak website</t>
        </is>
      </c>
      <c r="D773" s="2" t="inlineStr">
        <is>
          <t>Olympic Circuit Cafe</t>
        </is>
      </c>
      <c r="E773" s="2" t="inlineStr">
        <is>
          <t>cafe</t>
        </is>
      </c>
      <c r="F773" s="2" t="inlineStr">
        <is>
          <t>Gold Coast</t>
        </is>
      </c>
      <c r="G773" s="2" t="inlineStr">
        <is>
          <t>Facebook</t>
        </is>
      </c>
      <c r="H773" s="2" t="inlineStr"/>
      <c r="I773" s="4" t="inlineStr">
        <is>
          <t>https://www.facebook.com/olympiccircuitcafe</t>
        </is>
      </c>
      <c r="J773" s="2" t="inlineStr">
        <is>
          <t>+61 7 5658 0300</t>
        </is>
      </c>
      <c r="K773" s="4" t="inlineStr">
        <is>
          <t>https://olympiccircuitcafe.com/</t>
        </is>
      </c>
      <c r="L773" s="2" t="inlineStr">
        <is>
          <t>looks outdated (copyright 2021)</t>
        </is>
      </c>
      <c r="M773" s="2" t="inlineStr">
        <is>
          <t>Hi Olympic Circuit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3" s="4" t="inlineStr">
        <is>
          <t>Open map</t>
        </is>
      </c>
      <c r="O773" s="2" t="inlineStr">
        <is>
          <t>Not contacted</t>
        </is>
      </c>
      <c r="P773" s="2" t="inlineStr"/>
      <c r="Q773" s="2" t="inlineStr"/>
      <c r="R773" s="2" t="inlineStr"/>
      <c r="S773" s="2" t="inlineStr"/>
    </row>
    <row r="774">
      <c r="A774" s="2" t="n">
        <v>773</v>
      </c>
      <c r="B774" s="6" t="inlineStr">
        <is>
          <t>MEDIUM</t>
        </is>
      </c>
      <c r="C774" s="2" t="inlineStr">
        <is>
          <t>Weak website</t>
        </is>
      </c>
      <c r="D774" s="2" t="inlineStr">
        <is>
          <t>Senza Nome Italian</t>
        </is>
      </c>
      <c r="E774" s="2" t="inlineStr">
        <is>
          <t>cafe</t>
        </is>
      </c>
      <c r="F774" s="2" t="inlineStr">
        <is>
          <t>Gold Coast</t>
        </is>
      </c>
      <c r="G774" s="2" t="inlineStr">
        <is>
          <t>Facebook</t>
        </is>
      </c>
      <c r="H774" s="2" t="inlineStr"/>
      <c r="I774" s="4" t="inlineStr">
        <is>
          <t>https://www.facebook.com/senzanomeitalian</t>
        </is>
      </c>
      <c r="J774" s="2" t="inlineStr"/>
      <c r="K774" s="4" t="inlineStr">
        <is>
          <t>https://www.senzanome.com.au/</t>
        </is>
      </c>
      <c r="L774" s="2" t="inlineStr">
        <is>
          <t>missing meta description; slow to load (4.8s)</t>
        </is>
      </c>
      <c r="M774" s="2" t="inlineStr">
        <is>
          <t>Hi Senza Nome Italian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74" s="4" t="inlineStr">
        <is>
          <t>Open map</t>
        </is>
      </c>
      <c r="O774" s="2" t="inlineStr">
        <is>
          <t>Not contacted</t>
        </is>
      </c>
      <c r="P774" s="2" t="inlineStr"/>
      <c r="Q774" s="2" t="inlineStr"/>
      <c r="R774" s="2" t="inlineStr"/>
      <c r="S774" s="2" t="inlineStr"/>
    </row>
    <row r="775">
      <c r="A775" s="2" t="n">
        <v>774</v>
      </c>
      <c r="B775" s="6" t="inlineStr">
        <is>
          <t>MEDIUM</t>
        </is>
      </c>
      <c r="C775" s="2" t="inlineStr">
        <is>
          <t>Weak website</t>
        </is>
      </c>
      <c r="D775" s="2" t="inlineStr">
        <is>
          <t>Stellarossa Nerang</t>
        </is>
      </c>
      <c r="E775" s="2" t="inlineStr">
        <is>
          <t>cafe</t>
        </is>
      </c>
      <c r="F775" s="2" t="inlineStr">
        <is>
          <t>Gold Coast</t>
        </is>
      </c>
      <c r="G775" s="2" t="inlineStr">
        <is>
          <t>Instagram</t>
        </is>
      </c>
      <c r="H775" s="4" t="inlineStr">
        <is>
          <t>https://instagram.com/stellarossanerang</t>
        </is>
      </c>
      <c r="I775" s="4" t="inlineStr">
        <is>
          <t>https://facebook.com/stellarossanerang</t>
        </is>
      </c>
      <c r="J775" s="2" t="inlineStr">
        <is>
          <t>+61 7 5578 4533</t>
        </is>
      </c>
      <c r="K775" s="4" t="inlineStr">
        <is>
          <t>https://stellarossa.com.au</t>
        </is>
      </c>
      <c r="L775" s="2" t="inlineStr">
        <is>
          <t>missing meta description; slow to load (5.4s)</t>
        </is>
      </c>
      <c r="M775" s="2" t="inlineStr">
        <is>
          <t>Hi Stellarossa Nerang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75" s="4" t="inlineStr">
        <is>
          <t>Open map</t>
        </is>
      </c>
      <c r="O775" s="2" t="inlineStr">
        <is>
          <t>Not contacted</t>
        </is>
      </c>
      <c r="P775" s="2" t="inlineStr"/>
      <c r="Q775" s="2" t="inlineStr"/>
      <c r="R775" s="2" t="inlineStr"/>
      <c r="S775" s="2" t="inlineStr"/>
    </row>
    <row r="776">
      <c r="A776" s="2" t="n">
        <v>775</v>
      </c>
      <c r="B776" s="6" t="inlineStr">
        <is>
          <t>MEDIUM</t>
        </is>
      </c>
      <c r="C776" s="2" t="inlineStr">
        <is>
          <t>Weak website</t>
        </is>
      </c>
      <c r="D776" s="2" t="inlineStr">
        <is>
          <t>Tower 28 Cafe</t>
        </is>
      </c>
      <c r="E776" s="2" t="inlineStr">
        <is>
          <t>cafe</t>
        </is>
      </c>
      <c r="F776" s="2" t="inlineStr">
        <is>
          <t>Gold Coast</t>
        </is>
      </c>
      <c r="G776" s="2" t="inlineStr">
        <is>
          <t>Instagram</t>
        </is>
      </c>
      <c r="H776" s="4" t="inlineStr">
        <is>
          <t>https://www.instagram.com/kurrawasurf</t>
        </is>
      </c>
      <c r="I776" s="4" t="inlineStr">
        <is>
          <t>https://www.facebook.com/KurrawaSurf</t>
        </is>
      </c>
      <c r="J776" s="2" t="inlineStr"/>
      <c r="K776" s="4" t="inlineStr">
        <is>
          <t>https://www.kurrawasurf.com.au/tower-28-cafe</t>
        </is>
      </c>
      <c r="L776" s="2" t="inlineStr">
        <is>
          <t>looks outdated (copyright 2021)</t>
        </is>
      </c>
      <c r="M776" s="2" t="inlineStr">
        <is>
          <t>Hi Tower 28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6" s="4" t="inlineStr">
        <is>
          <t>Open map</t>
        </is>
      </c>
      <c r="O776" s="2" t="inlineStr">
        <is>
          <t>Not contacted</t>
        </is>
      </c>
      <c r="P776" s="2" t="inlineStr"/>
      <c r="Q776" s="2" t="inlineStr"/>
      <c r="R776" s="2" t="inlineStr"/>
      <c r="S776" s="2" t="inlineStr"/>
    </row>
    <row r="777">
      <c r="A777" s="2" t="n">
        <v>776</v>
      </c>
      <c r="B777" s="6" t="inlineStr">
        <is>
          <t>MEDIUM</t>
        </is>
      </c>
      <c r="C777" s="2" t="inlineStr">
        <is>
          <t>Weak website</t>
        </is>
      </c>
      <c r="D777" s="2" t="inlineStr">
        <is>
          <t>Golf Cars Australia</t>
        </is>
      </c>
      <c r="E777" s="2" t="inlineStr">
        <is>
          <t>car or bike shop</t>
        </is>
      </c>
      <c r="F777" s="2" t="inlineStr">
        <is>
          <t>Gold Coast</t>
        </is>
      </c>
      <c r="G777" s="2" t="inlineStr">
        <is>
          <t>Instagram</t>
        </is>
      </c>
      <c r="H777" s="4" t="inlineStr">
        <is>
          <t>https://www.instagram.com/golfcarsaustralia</t>
        </is>
      </c>
      <c r="I777" s="4" t="inlineStr">
        <is>
          <t>https://www.facebook.com/Golf-Cars-Australia-105342011885600</t>
        </is>
      </c>
      <c r="J777" s="2" t="inlineStr">
        <is>
          <t>+61 7 5529 9499</t>
        </is>
      </c>
      <c r="K777" s="4" t="inlineStr">
        <is>
          <t>https://www.golfcarsaustralia.com.au/</t>
        </is>
      </c>
      <c r="L777" s="2" t="inlineStr">
        <is>
          <t>missing meta description</t>
        </is>
      </c>
      <c r="M777" s="2" t="inlineStr">
        <is>
          <t>Hi Golf Cars Australia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7" s="4" t="inlineStr">
        <is>
          <t>Open map</t>
        </is>
      </c>
      <c r="O777" s="2" t="inlineStr">
        <is>
          <t>Not contacted</t>
        </is>
      </c>
      <c r="P777" s="2" t="inlineStr"/>
      <c r="Q777" s="2" t="inlineStr"/>
      <c r="R777" s="2" t="inlineStr"/>
      <c r="S777" s="2" t="inlineStr"/>
    </row>
    <row r="778">
      <c r="A778" s="2" t="n">
        <v>777</v>
      </c>
      <c r="B778" s="6" t="inlineStr">
        <is>
          <t>MEDIUM</t>
        </is>
      </c>
      <c r="C778" s="2" t="inlineStr">
        <is>
          <t>Weak website</t>
        </is>
      </c>
      <c r="D778" s="2" t="inlineStr">
        <is>
          <t>Von Bibra Ferry Road Used Cars</t>
        </is>
      </c>
      <c r="E778" s="2" t="inlineStr">
        <is>
          <t>car or bike shop</t>
        </is>
      </c>
      <c r="F778" s="2" t="inlineStr">
        <is>
          <t>Gold Coast</t>
        </is>
      </c>
      <c r="G778" s="2" t="inlineStr">
        <is>
          <t>Instagram</t>
        </is>
      </c>
      <c r="H778" s="4" t="inlineStr">
        <is>
          <t>https://www.instagram.com/vonbibraautogroup</t>
        </is>
      </c>
      <c r="I778" s="4" t="inlineStr">
        <is>
          <t>https://www.facebook.com/vonBibraAutoGroup</t>
        </is>
      </c>
      <c r="J778" s="2" t="inlineStr">
        <is>
          <t>+61 7 5561 6100</t>
        </is>
      </c>
      <c r="K778" s="4" t="inlineStr">
        <is>
          <t>https://www.vonbibra.com.au/</t>
        </is>
      </c>
      <c r="L778" s="2" t="inlineStr">
        <is>
          <t>looks outdated (copyright 2019)</t>
        </is>
      </c>
      <c r="M778" s="2" t="inlineStr">
        <is>
          <t>Hi Von Bibra Ferry Road Used Cars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8" s="4" t="inlineStr">
        <is>
          <t>Open map</t>
        </is>
      </c>
      <c r="O778" s="2" t="inlineStr">
        <is>
          <t>Not contacted</t>
        </is>
      </c>
      <c r="P778" s="2" t="inlineStr"/>
      <c r="Q778" s="2" t="inlineStr"/>
      <c r="R778" s="2" t="inlineStr"/>
      <c r="S778" s="2" t="inlineStr"/>
    </row>
    <row r="779">
      <c r="A779" s="2" t="n">
        <v>778</v>
      </c>
      <c r="B779" s="6" t="inlineStr">
        <is>
          <t>MEDIUM</t>
        </is>
      </c>
      <c r="C779" s="2" t="inlineStr">
        <is>
          <t>Weak website</t>
        </is>
      </c>
      <c r="D779" s="2" t="inlineStr">
        <is>
          <t>Von Bibra Robina</t>
        </is>
      </c>
      <c r="E779" s="2" t="inlineStr">
        <is>
          <t>car or bike shop</t>
        </is>
      </c>
      <c r="F779" s="2" t="inlineStr">
        <is>
          <t>Gold Coast</t>
        </is>
      </c>
      <c r="G779" s="2" t="inlineStr">
        <is>
          <t>Instagram</t>
        </is>
      </c>
      <c r="H779" s="4" t="inlineStr">
        <is>
          <t>https://www.instagram.com/vonbibraautogroup</t>
        </is>
      </c>
      <c r="I779" s="4" t="inlineStr">
        <is>
          <t>https://www.facebook.com/vonBibraAutoGroup</t>
        </is>
      </c>
      <c r="J779" s="2" t="inlineStr">
        <is>
          <t>+61 7 5575 0500</t>
        </is>
      </c>
      <c r="K779" s="4" t="inlineStr">
        <is>
          <t>https://www.vonbibra.com.au/</t>
        </is>
      </c>
      <c r="L779" s="2" t="inlineStr">
        <is>
          <t>looks outdated (copyright 2019)</t>
        </is>
      </c>
      <c r="M779" s="2" t="inlineStr">
        <is>
          <t>Hi Von Bibra Robina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9" s="4" t="inlineStr">
        <is>
          <t>Open map</t>
        </is>
      </c>
      <c r="O779" s="2" t="inlineStr">
        <is>
          <t>Not contacted</t>
        </is>
      </c>
      <c r="P779" s="2" t="inlineStr"/>
      <c r="Q779" s="2" t="inlineStr"/>
      <c r="R779" s="2" t="inlineStr"/>
      <c r="S779" s="2" t="inlineStr"/>
    </row>
    <row r="780">
      <c r="A780" s="2" t="n">
        <v>779</v>
      </c>
      <c r="B780" s="6" t="inlineStr">
        <is>
          <t>MEDIUM</t>
        </is>
      </c>
      <c r="C780" s="2" t="inlineStr">
        <is>
          <t>Weak website</t>
        </is>
      </c>
      <c r="D780" s="2" t="inlineStr">
        <is>
          <t>Von Bibra Robina</t>
        </is>
      </c>
      <c r="E780" s="2" t="inlineStr">
        <is>
          <t>car or bike shop</t>
        </is>
      </c>
      <c r="F780" s="2" t="inlineStr">
        <is>
          <t>Gold Coast</t>
        </is>
      </c>
      <c r="G780" s="2" t="inlineStr">
        <is>
          <t>Instagram</t>
        </is>
      </c>
      <c r="H780" s="4" t="inlineStr">
        <is>
          <t>https://www.instagram.com/vonbibraautogroup</t>
        </is>
      </c>
      <c r="I780" s="4" t="inlineStr">
        <is>
          <t>https://www.facebook.com/vonBibraAutoGroup</t>
        </is>
      </c>
      <c r="J780" s="2" t="inlineStr">
        <is>
          <t>+61 7 5575 0500</t>
        </is>
      </c>
      <c r="K780" s="4" t="inlineStr">
        <is>
          <t>https://www.vonbibra.com.au/</t>
        </is>
      </c>
      <c r="L780" s="2" t="inlineStr">
        <is>
          <t>looks outdated (copyright 2019)</t>
        </is>
      </c>
      <c r="M780" s="2" t="inlineStr">
        <is>
          <t>Hi Von Bibra Robina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0" s="4" t="inlineStr">
        <is>
          <t>Open map</t>
        </is>
      </c>
      <c r="O780" s="2" t="inlineStr">
        <is>
          <t>Not contacted</t>
        </is>
      </c>
      <c r="P780" s="2" t="inlineStr"/>
      <c r="Q780" s="2" t="inlineStr"/>
      <c r="R780" s="2" t="inlineStr"/>
      <c r="S780" s="2" t="inlineStr"/>
    </row>
    <row r="781">
      <c r="A781" s="2" t="n">
        <v>780</v>
      </c>
      <c r="B781" s="6" t="inlineStr">
        <is>
          <t>MEDIUM</t>
        </is>
      </c>
      <c r="C781" s="2" t="inlineStr">
        <is>
          <t>Weak website</t>
        </is>
      </c>
      <c r="D781" s="2" t="inlineStr">
        <is>
          <t>Benowa Hills Early Learning Centre</t>
        </is>
      </c>
      <c r="E781" s="2" t="inlineStr">
        <is>
          <t>childcare</t>
        </is>
      </c>
      <c r="F781" s="2" t="inlineStr">
        <is>
          <t>Gold Coast</t>
        </is>
      </c>
      <c r="G781" s="2" t="inlineStr">
        <is>
          <t>Instagram</t>
        </is>
      </c>
      <c r="H781" s="4" t="inlineStr">
        <is>
          <t>https://instagram.com/Benowaandbenowahillselc</t>
        </is>
      </c>
      <c r="I781" s="4" t="inlineStr">
        <is>
          <t>https://www.facebook.com/people/Benowa-Hills-Early-Learning-Centre/100057676358993</t>
        </is>
      </c>
      <c r="J781" s="2" t="inlineStr"/>
      <c r="K781" s="4" t="inlineStr">
        <is>
          <t>https://www.benowahillsearlylearning.com.au/</t>
        </is>
      </c>
      <c r="L781" s="2" t="inlineStr">
        <is>
          <t>looks outdated (copyright 2015); missing meta description</t>
        </is>
      </c>
      <c r="M781" s="2" t="inlineStr">
        <is>
          <t>Hi Benowa Hills Early Learning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1" s="4" t="inlineStr">
        <is>
          <t>Open map</t>
        </is>
      </c>
      <c r="O781" s="2" t="inlineStr">
        <is>
          <t>Not contacted</t>
        </is>
      </c>
      <c r="P781" s="2" t="inlineStr"/>
      <c r="Q781" s="2" t="inlineStr"/>
      <c r="R781" s="2" t="inlineStr"/>
      <c r="S781" s="2" t="inlineStr"/>
    </row>
    <row r="782">
      <c r="A782" s="2" t="n">
        <v>781</v>
      </c>
      <c r="B782" s="6" t="inlineStr">
        <is>
          <t>MEDIUM</t>
        </is>
      </c>
      <c r="C782" s="2" t="inlineStr">
        <is>
          <t>Weak website</t>
        </is>
      </c>
      <c r="D782" s="2" t="inlineStr">
        <is>
          <t>Bundall Early Education Centre</t>
        </is>
      </c>
      <c r="E782" s="2" t="inlineStr">
        <is>
          <t>childcare</t>
        </is>
      </c>
      <c r="F782" s="2" t="inlineStr">
        <is>
          <t>Gold Coast</t>
        </is>
      </c>
      <c r="G782" s="2" t="inlineStr">
        <is>
          <t>Facebook</t>
        </is>
      </c>
      <c r="H782" s="2" t="inlineStr"/>
      <c r="I782" s="4" t="inlineStr">
        <is>
          <t>https://www.facebook.com/BundallEducationandCareCentre</t>
        </is>
      </c>
      <c r="J782" s="2" t="inlineStr"/>
      <c r="K782" s="4" t="inlineStr">
        <is>
          <t>https://bundalleec.com.au/</t>
        </is>
      </c>
      <c r="L782" s="2" t="inlineStr">
        <is>
          <t>missing meta description</t>
        </is>
      </c>
      <c r="M782" s="2" t="inlineStr">
        <is>
          <t>Hi Bundall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2" s="4" t="inlineStr">
        <is>
          <t>Open map</t>
        </is>
      </c>
      <c r="O782" s="2" t="inlineStr">
        <is>
          <t>Not contacted</t>
        </is>
      </c>
      <c r="P782" s="2" t="inlineStr"/>
      <c r="Q782" s="2" t="inlineStr"/>
      <c r="R782" s="2" t="inlineStr"/>
      <c r="S782" s="2" t="inlineStr"/>
    </row>
    <row r="783">
      <c r="A783" s="2" t="n">
        <v>782</v>
      </c>
      <c r="B783" s="6" t="inlineStr">
        <is>
          <t>MEDIUM</t>
        </is>
      </c>
      <c r="C783" s="2" t="inlineStr">
        <is>
          <t>Weak website</t>
        </is>
      </c>
      <c r="D783" s="2" t="inlineStr">
        <is>
          <t>Goodstart Early Learning Robina Groves</t>
        </is>
      </c>
      <c r="E783" s="2" t="inlineStr">
        <is>
          <t>childcare</t>
        </is>
      </c>
      <c r="F783" s="2" t="inlineStr">
        <is>
          <t>Gold Coast</t>
        </is>
      </c>
      <c r="G783" s="2" t="inlineStr">
        <is>
          <t>Instagram</t>
        </is>
      </c>
      <c r="H783" s="4" t="inlineStr">
        <is>
          <t>https://www.instagram.com/goodstartrobinagroves</t>
        </is>
      </c>
      <c r="I783" s="4" t="inlineStr">
        <is>
          <t>https://www.facebook.com/goodstartel</t>
        </is>
      </c>
      <c r="J783" s="2" t="inlineStr"/>
      <c r="K783" s="4" t="inlineStr">
        <is>
          <t>https://www.goodstart.org.au/centres/robina-groves</t>
        </is>
      </c>
      <c r="L783" s="2" t="inlineStr">
        <is>
          <t>missing meta description</t>
        </is>
      </c>
      <c r="M783" s="2" t="inlineStr">
        <is>
          <t>Hi Goodstart Early Learning Robina Groves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3" s="4" t="inlineStr">
        <is>
          <t>Open map</t>
        </is>
      </c>
      <c r="O783" s="2" t="inlineStr">
        <is>
          <t>Not contacted</t>
        </is>
      </c>
      <c r="P783" s="2" t="inlineStr"/>
      <c r="Q783" s="2" t="inlineStr"/>
      <c r="R783" s="2" t="inlineStr"/>
      <c r="S783" s="2" t="inlineStr"/>
    </row>
    <row r="784">
      <c r="A784" s="2" t="n">
        <v>783</v>
      </c>
      <c r="B784" s="6" t="inlineStr">
        <is>
          <t>MEDIUM</t>
        </is>
      </c>
      <c r="C784" s="2" t="inlineStr">
        <is>
          <t>Weak website</t>
        </is>
      </c>
      <c r="D784" s="2" t="inlineStr">
        <is>
          <t>Harmony Early Education</t>
        </is>
      </c>
      <c r="E784" s="2" t="inlineStr">
        <is>
          <t>childcare</t>
        </is>
      </c>
      <c r="F784" s="2" t="inlineStr">
        <is>
          <t>Gold Coast</t>
        </is>
      </c>
      <c r="G784" s="2" t="inlineStr">
        <is>
          <t>Instagram</t>
        </is>
      </c>
      <c r="H784" s="4" t="inlineStr">
        <is>
          <t>https://www.instagram.com/harmonyearlyeducation</t>
        </is>
      </c>
      <c r="I784" s="4" t="inlineStr">
        <is>
          <t>https://www.facebook.com/harmonyearlyeducation</t>
        </is>
      </c>
      <c r="J784" s="2" t="inlineStr">
        <is>
          <t>+61 7 5515 9155</t>
        </is>
      </c>
      <c r="K784" s="4" t="inlineStr">
        <is>
          <t>https://harmonylearning.com.au/our-centres/</t>
        </is>
      </c>
      <c r="L784" s="2" t="inlineStr">
        <is>
          <t>missing meta description</t>
        </is>
      </c>
      <c r="M784" s="2" t="inlineStr">
        <is>
          <t>Hi Harmony Early Education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4" s="4" t="inlineStr">
        <is>
          <t>Open map</t>
        </is>
      </c>
      <c r="O784" s="2" t="inlineStr">
        <is>
          <t>Not contacted</t>
        </is>
      </c>
      <c r="P784" s="2" t="inlineStr"/>
      <c r="Q784" s="2" t="inlineStr"/>
      <c r="R784" s="2" t="inlineStr"/>
      <c r="S784" s="2" t="inlineStr"/>
    </row>
    <row r="785">
      <c r="A785" s="2" t="n">
        <v>784</v>
      </c>
      <c r="B785" s="6" t="inlineStr">
        <is>
          <t>MEDIUM</t>
        </is>
      </c>
      <c r="C785" s="2" t="inlineStr">
        <is>
          <t>Weak website</t>
        </is>
      </c>
      <c r="D785" s="2" t="inlineStr">
        <is>
          <t>Harmony Hope Island</t>
        </is>
      </c>
      <c r="E785" s="2" t="inlineStr">
        <is>
          <t>childcare</t>
        </is>
      </c>
      <c r="F785" s="2" t="inlineStr">
        <is>
          <t>Gold Coast</t>
        </is>
      </c>
      <c r="G785" s="2" t="inlineStr">
        <is>
          <t>Instagram</t>
        </is>
      </c>
      <c r="H785" s="4" t="inlineStr">
        <is>
          <t>https://www.instagram.com/harmony.hopeisland</t>
        </is>
      </c>
      <c r="I785" s="4" t="inlineStr">
        <is>
          <t>https://www.facebook.com/profile.php</t>
        </is>
      </c>
      <c r="J785" s="2" t="inlineStr"/>
      <c r="K785" s="4" t="inlineStr">
        <is>
          <t>https://harmonylearning.com.au/our-centres/hope-island/</t>
        </is>
      </c>
      <c r="L785" s="2" t="inlineStr">
        <is>
          <t>missing meta description</t>
        </is>
      </c>
      <c r="M785" s="2" t="inlineStr">
        <is>
          <t>Hi Harmony Hope Island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5" s="4" t="inlineStr">
        <is>
          <t>Open map</t>
        </is>
      </c>
      <c r="O785" s="2" t="inlineStr">
        <is>
          <t>Not contacted</t>
        </is>
      </c>
      <c r="P785" s="2" t="inlineStr"/>
      <c r="Q785" s="2" t="inlineStr"/>
      <c r="R785" s="2" t="inlineStr"/>
      <c r="S785" s="2" t="inlineStr"/>
    </row>
    <row r="786">
      <c r="A786" s="2" t="n">
        <v>785</v>
      </c>
      <c r="B786" s="6" t="inlineStr">
        <is>
          <t>MEDIUM</t>
        </is>
      </c>
      <c r="C786" s="2" t="inlineStr">
        <is>
          <t>Weak website</t>
        </is>
      </c>
      <c r="D786" s="2" t="inlineStr">
        <is>
          <t>Kids on 4th</t>
        </is>
      </c>
      <c r="E786" s="2" t="inlineStr">
        <is>
          <t>childcare</t>
        </is>
      </c>
      <c r="F786" s="2" t="inlineStr">
        <is>
          <t>Gold Coast</t>
        </is>
      </c>
      <c r="G786" s="2" t="inlineStr">
        <is>
          <t>Instagram</t>
        </is>
      </c>
      <c r="H786" s="4" t="inlineStr">
        <is>
          <t>https://www.instagram.com/kidson4th</t>
        </is>
      </c>
      <c r="I786" s="4" t="inlineStr">
        <is>
          <t>https://www.facebook.com/kidson4th/</t>
        </is>
      </c>
      <c r="J786" s="2" t="inlineStr">
        <is>
          <t>+61 7 5534 2074</t>
        </is>
      </c>
      <c r="K786" s="4" t="inlineStr">
        <is>
          <t>http://www.kidson4th.com.au/</t>
        </is>
      </c>
      <c r="L786" s="2" t="inlineStr">
        <is>
          <t>no HTTPS (browser shows 'Not secure'); looks outdated (copyright 2014)</t>
        </is>
      </c>
      <c r="M786" s="2" t="inlineStr">
        <is>
          <t>Hi Kids on 4th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6" s="4" t="inlineStr">
        <is>
          <t>Open map</t>
        </is>
      </c>
      <c r="O786" s="2" t="inlineStr">
        <is>
          <t>Not contacted</t>
        </is>
      </c>
      <c r="P786" s="2" t="inlineStr"/>
      <c r="Q786" s="2" t="inlineStr"/>
      <c r="R786" s="2" t="inlineStr"/>
      <c r="S786" s="2" t="inlineStr"/>
    </row>
    <row r="787">
      <c r="A787" s="2" t="n">
        <v>786</v>
      </c>
      <c r="B787" s="6" t="inlineStr">
        <is>
          <t>MEDIUM</t>
        </is>
      </c>
      <c r="C787" s="2" t="inlineStr">
        <is>
          <t>Weak website</t>
        </is>
      </c>
      <c r="D787" s="2" t="inlineStr">
        <is>
          <t>Nobbys Beach Gourmet Meats</t>
        </is>
      </c>
      <c r="E787" s="2" t="inlineStr">
        <is>
          <t>deli or specialty food</t>
        </is>
      </c>
      <c r="F787" s="2" t="inlineStr">
        <is>
          <t>Gold Coast</t>
        </is>
      </c>
      <c r="G787" s="2" t="inlineStr">
        <is>
          <t>Instagram</t>
        </is>
      </c>
      <c r="H787" s="4" t="inlineStr">
        <is>
          <t>https://www.instagram.com/gourmet_meats_gold_coast</t>
        </is>
      </c>
      <c r="I787" s="4" t="inlineStr">
        <is>
          <t>https://www.facebook.com/profile.php</t>
        </is>
      </c>
      <c r="J787" s="2" t="inlineStr">
        <is>
          <t>+61 7 5572 7854</t>
        </is>
      </c>
      <c r="K787" s="4" t="inlineStr">
        <is>
          <t>https://nobbysbeachmeats.com.au/</t>
        </is>
      </c>
      <c r="L787" s="2" t="inlineStr">
        <is>
          <t>looks outdated (copyright 2023); missing meta description</t>
        </is>
      </c>
      <c r="M787" s="2" t="inlineStr">
        <is>
          <t>Hi Nobbys Beach Gourmet Meats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7" s="4" t="inlineStr">
        <is>
          <t>Open map</t>
        </is>
      </c>
      <c r="O787" s="2" t="inlineStr">
        <is>
          <t>Not contacted</t>
        </is>
      </c>
      <c r="P787" s="2" t="inlineStr"/>
      <c r="Q787" s="2" t="inlineStr"/>
      <c r="R787" s="2" t="inlineStr"/>
      <c r="S787" s="2" t="inlineStr"/>
    </row>
    <row r="788">
      <c r="A788" s="2" t="n">
        <v>787</v>
      </c>
      <c r="B788" s="6" t="inlineStr">
        <is>
          <t>MEDIUM</t>
        </is>
      </c>
      <c r="C788" s="2" t="inlineStr">
        <is>
          <t>Weak website</t>
        </is>
      </c>
      <c r="D788" s="2" t="inlineStr">
        <is>
          <t>Somm Wine Store</t>
        </is>
      </c>
      <c r="E788" s="2" t="inlineStr">
        <is>
          <t>deli or specialty food</t>
        </is>
      </c>
      <c r="F788" s="2" t="inlineStr">
        <is>
          <t>Gold Coast</t>
        </is>
      </c>
      <c r="G788" s="2" t="inlineStr">
        <is>
          <t>Instagram</t>
        </is>
      </c>
      <c r="H788" s="4" t="inlineStr">
        <is>
          <t>https://www.instagram.com/sommwinestore</t>
        </is>
      </c>
      <c r="I788" s="4" t="inlineStr">
        <is>
          <t>https://www.facebook.com/sommwinestoregc</t>
        </is>
      </c>
      <c r="J788" s="2" t="inlineStr">
        <is>
          <t>+61 7 5647 6057</t>
        </is>
      </c>
      <c r="K788" s="4" t="inlineStr">
        <is>
          <t>https://sommwinestore.com.au/</t>
        </is>
      </c>
      <c r="L788" s="2" t="inlineStr">
        <is>
          <t>missing meta description; slow to load (3.7s)</t>
        </is>
      </c>
      <c r="M788" s="2" t="inlineStr">
        <is>
          <t>Hi Somm Wine Store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88" s="4" t="inlineStr">
        <is>
          <t>Open map</t>
        </is>
      </c>
      <c r="O788" s="2" t="inlineStr">
        <is>
          <t>Not contacted</t>
        </is>
      </c>
      <c r="P788" s="2" t="inlineStr"/>
      <c r="Q788" s="2" t="inlineStr"/>
      <c r="R788" s="2" t="inlineStr"/>
      <c r="S788" s="2" t="inlineStr"/>
    </row>
    <row r="789">
      <c r="A789" s="2" t="n">
        <v>788</v>
      </c>
      <c r="B789" s="6" t="inlineStr">
        <is>
          <t>MEDIUM</t>
        </is>
      </c>
      <c r="C789" s="2" t="inlineStr">
        <is>
          <t>Weak website</t>
        </is>
      </c>
      <c r="D789" s="2" t="inlineStr">
        <is>
          <t>Super Butcher</t>
        </is>
      </c>
      <c r="E789" s="2" t="inlineStr">
        <is>
          <t>deli or specialty food</t>
        </is>
      </c>
      <c r="F789" s="2" t="inlineStr">
        <is>
          <t>Gold Coast</t>
        </is>
      </c>
      <c r="G789" s="2" t="inlineStr">
        <is>
          <t>Instagram</t>
        </is>
      </c>
      <c r="H789" s="4" t="inlineStr">
        <is>
          <t>https://www.instagram.com/superbutcheraus</t>
        </is>
      </c>
      <c r="I789" s="4" t="inlineStr">
        <is>
          <t>https://www.facebook.com/SuperButcherAustralia</t>
        </is>
      </c>
      <c r="J789" s="2" t="inlineStr">
        <is>
          <t>+61 421 238 535</t>
        </is>
      </c>
      <c r="K789" s="4" t="inlineStr">
        <is>
          <t>https://superbutcher.com.au/pages/super-butcher-mermaid-beach</t>
        </is>
      </c>
      <c r="L789" s="2" t="inlineStr">
        <is>
          <t>missing meta description</t>
        </is>
      </c>
      <c r="M789" s="2" t="inlineStr">
        <is>
          <t>Hi Super Butcher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89" s="4" t="inlineStr">
        <is>
          <t>Open map</t>
        </is>
      </c>
      <c r="O789" s="2" t="inlineStr">
        <is>
          <t>Not contacted</t>
        </is>
      </c>
      <c r="P789" s="2" t="inlineStr"/>
      <c r="Q789" s="2" t="inlineStr"/>
      <c r="R789" s="2" t="inlineStr"/>
      <c r="S789" s="2" t="inlineStr"/>
    </row>
    <row r="790">
      <c r="A790" s="2" t="n">
        <v>789</v>
      </c>
      <c r="B790" s="6" t="inlineStr">
        <is>
          <t>MEDIUM</t>
        </is>
      </c>
      <c r="C790" s="2" t="inlineStr">
        <is>
          <t>Weak website</t>
        </is>
      </c>
      <c r="D790" s="2" t="inlineStr">
        <is>
          <t>Burleigh Dental Studio</t>
        </is>
      </c>
      <c r="E790" s="2" t="inlineStr">
        <is>
          <t>dentist</t>
        </is>
      </c>
      <c r="F790" s="2" t="inlineStr">
        <is>
          <t>Gold Coast</t>
        </is>
      </c>
      <c r="G790" s="2" t="inlineStr">
        <is>
          <t>Instagram</t>
        </is>
      </c>
      <c r="H790" s="4" t="inlineStr">
        <is>
          <t>https://www.instagram.com/burleigh_dental_studio</t>
        </is>
      </c>
      <c r="I790" s="4" t="inlineStr">
        <is>
          <t>https://facebook.com/burleighdentalstudio</t>
        </is>
      </c>
      <c r="J790" s="2" t="inlineStr">
        <is>
          <t>+61 7 5576 6208</t>
        </is>
      </c>
      <c r="K790" s="4" t="inlineStr">
        <is>
          <t>https://burleighdentalstudio.com.au/</t>
        </is>
      </c>
      <c r="L790" s="2" t="inlineStr">
        <is>
          <t>looks outdated (copyright 2015)</t>
        </is>
      </c>
      <c r="M790" s="2" t="inlineStr">
        <is>
          <t>Hi Burleigh Dental Studio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0" s="4" t="inlineStr">
        <is>
          <t>Open map</t>
        </is>
      </c>
      <c r="O790" s="2" t="inlineStr">
        <is>
          <t>Not contacted</t>
        </is>
      </c>
      <c r="P790" s="2" t="inlineStr"/>
      <c r="Q790" s="2" t="inlineStr"/>
      <c r="R790" s="2" t="inlineStr"/>
      <c r="S790" s="2" t="inlineStr"/>
    </row>
    <row r="791">
      <c r="A791" s="2" t="n">
        <v>790</v>
      </c>
      <c r="B791" s="6" t="inlineStr">
        <is>
          <t>MEDIUM</t>
        </is>
      </c>
      <c r="C791" s="2" t="inlineStr">
        <is>
          <t>Weak website</t>
        </is>
      </c>
      <c r="D791" s="2" t="inlineStr">
        <is>
          <t>Miami One Dental</t>
        </is>
      </c>
      <c r="E791" s="2" t="inlineStr">
        <is>
          <t>dentist</t>
        </is>
      </c>
      <c r="F791" s="2" t="inlineStr">
        <is>
          <t>Gold Coast</t>
        </is>
      </c>
      <c r="G791" s="2" t="inlineStr">
        <is>
          <t>Instagram</t>
        </is>
      </c>
      <c r="H791" s="4" t="inlineStr">
        <is>
          <t>https://www.instagram.com/miamionedental</t>
        </is>
      </c>
      <c r="I791" s="4" t="inlineStr">
        <is>
          <t>https://www.facebook.com/maimionedental</t>
        </is>
      </c>
      <c r="J791" s="2" t="inlineStr">
        <is>
          <t>+61 7 5576 5194</t>
        </is>
      </c>
      <c r="K791" s="4" t="inlineStr">
        <is>
          <t>https://miamionedental.com.au</t>
        </is>
      </c>
      <c r="L791" s="2" t="inlineStr">
        <is>
          <t>slow to load (4.0s)</t>
        </is>
      </c>
      <c r="M791" s="2" t="inlineStr">
        <is>
          <t>Hi Miami One Dental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91" s="4" t="inlineStr">
        <is>
          <t>Open map</t>
        </is>
      </c>
      <c r="O791" s="2" t="inlineStr">
        <is>
          <t>Not contacted</t>
        </is>
      </c>
      <c r="P791" s="2" t="inlineStr"/>
      <c r="Q791" s="2" t="inlineStr"/>
      <c r="R791" s="2" t="inlineStr"/>
      <c r="S791" s="2" t="inlineStr"/>
    </row>
    <row r="792">
      <c r="A792" s="2" t="n">
        <v>791</v>
      </c>
      <c r="B792" s="6" t="inlineStr">
        <is>
          <t>MEDIUM</t>
        </is>
      </c>
      <c r="C792" s="2" t="inlineStr">
        <is>
          <t>Weak website</t>
        </is>
      </c>
      <c r="D792" s="2" t="inlineStr">
        <is>
          <t>Varsity Smiles</t>
        </is>
      </c>
      <c r="E792" s="2" t="inlineStr">
        <is>
          <t>dentist</t>
        </is>
      </c>
      <c r="F792" s="2" t="inlineStr">
        <is>
          <t>Gold Coast</t>
        </is>
      </c>
      <c r="G792" s="2" t="inlineStr">
        <is>
          <t>Instagram</t>
        </is>
      </c>
      <c r="H792" s="4" t="inlineStr">
        <is>
          <t>https://www.instagram.com/varsitysmiles</t>
        </is>
      </c>
      <c r="I792" s="4" t="inlineStr">
        <is>
          <t>https://www.facebook.com/VarsitySmiles</t>
        </is>
      </c>
      <c r="J792" s="2" t="inlineStr">
        <is>
          <t>+61 7 5535 8162</t>
        </is>
      </c>
      <c r="K792" s="4" t="inlineStr">
        <is>
          <t>https://www.varsitysmiles.com.au/</t>
        </is>
      </c>
      <c r="L792" s="2" t="inlineStr">
        <is>
          <t>slow to load (5.5s)</t>
        </is>
      </c>
      <c r="M792" s="2" t="inlineStr">
        <is>
          <t>Hi Varsity Smiles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92" s="4" t="inlineStr">
        <is>
          <t>Open map</t>
        </is>
      </c>
      <c r="O792" s="2" t="inlineStr">
        <is>
          <t>Not contacted</t>
        </is>
      </c>
      <c r="P792" s="2" t="inlineStr"/>
      <c r="Q792" s="2" t="inlineStr"/>
      <c r="R792" s="2" t="inlineStr"/>
      <c r="S792" s="2" t="inlineStr"/>
    </row>
    <row r="793">
      <c r="A793" s="2" t="n">
        <v>792</v>
      </c>
      <c r="B793" s="6" t="inlineStr">
        <is>
          <t>MEDIUM</t>
        </is>
      </c>
      <c r="C793" s="2" t="inlineStr">
        <is>
          <t>Weak website</t>
        </is>
      </c>
      <c r="D793" s="2" t="inlineStr">
        <is>
          <t>Fifth Avenue Florist</t>
        </is>
      </c>
      <c r="E793" s="2" t="inlineStr">
        <is>
          <t>florist</t>
        </is>
      </c>
      <c r="F793" s="2" t="inlineStr">
        <is>
          <t>Gold Coast</t>
        </is>
      </c>
      <c r="G793" s="2" t="inlineStr">
        <is>
          <t>Instagram</t>
        </is>
      </c>
      <c r="H793" s="4" t="inlineStr">
        <is>
          <t>https://www.instagram.com/fifthavenueflorist/</t>
        </is>
      </c>
      <c r="I793" s="4" t="inlineStr">
        <is>
          <t>https://www.facebook.com/FifthAveFlorist</t>
        </is>
      </c>
      <c r="J793" s="2" t="inlineStr">
        <is>
          <t>+61 7 5534 6655</t>
        </is>
      </c>
      <c r="K793" s="4" t="inlineStr">
        <is>
          <t>https://fifthavenueflorist.com.au/</t>
        </is>
      </c>
      <c r="L793" s="2" t="inlineStr">
        <is>
          <t>could not check (site refused automated visit, HTTP 403)</t>
        </is>
      </c>
      <c r="M793" s="2" t="inlineStr">
        <is>
          <t>Hi Fifth Avenue Florist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3" s="4" t="inlineStr">
        <is>
          <t>Open map</t>
        </is>
      </c>
      <c r="O793" s="2" t="inlineStr">
        <is>
          <t>Not contacted</t>
        </is>
      </c>
      <c r="P793" s="2" t="inlineStr"/>
      <c r="Q793" s="2" t="inlineStr"/>
      <c r="R793" s="2" t="inlineStr"/>
      <c r="S793" s="2" t="inlineStr"/>
    </row>
    <row r="794">
      <c r="A794" s="2" t="n">
        <v>793</v>
      </c>
      <c r="B794" s="6" t="inlineStr">
        <is>
          <t>MEDIUM</t>
        </is>
      </c>
      <c r="C794" s="2" t="inlineStr">
        <is>
          <t>Weak website</t>
        </is>
      </c>
      <c r="D794" s="2" t="inlineStr">
        <is>
          <t>Convenient Interiors</t>
        </is>
      </c>
      <c r="E794" s="2" t="inlineStr">
        <is>
          <t>gift or homewares</t>
        </is>
      </c>
      <c r="F794" s="2" t="inlineStr">
        <is>
          <t>Gold Coast</t>
        </is>
      </c>
      <c r="G794" s="2" t="inlineStr">
        <is>
          <t>Instagram</t>
        </is>
      </c>
      <c r="H794" s="4" t="inlineStr">
        <is>
          <t>https://www.instagram.com/convenient_comm_furniture_</t>
        </is>
      </c>
      <c r="I794" s="4" t="inlineStr">
        <is>
          <t>https://www.facebook.com/ConvenientInteriors</t>
        </is>
      </c>
      <c r="J794" s="2" t="inlineStr"/>
      <c r="K794" s="4" t="inlineStr">
        <is>
          <t>https://www.convenientinteriors.com.au/</t>
        </is>
      </c>
      <c r="L794" s="2" t="inlineStr">
        <is>
          <t>slow to load (3.1s)</t>
        </is>
      </c>
      <c r="M794" s="2" t="inlineStr">
        <is>
          <t>Hi Convenient Interiors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94" s="4" t="inlineStr">
        <is>
          <t>Open map</t>
        </is>
      </c>
      <c r="O794" s="2" t="inlineStr">
        <is>
          <t>Not contacted</t>
        </is>
      </c>
      <c r="P794" s="2" t="inlineStr"/>
      <c r="Q794" s="2" t="inlineStr"/>
      <c r="R794" s="2" t="inlineStr"/>
      <c r="S794" s="2" t="inlineStr"/>
    </row>
    <row r="795">
      <c r="A795" s="2" t="n">
        <v>794</v>
      </c>
      <c r="B795" s="6" t="inlineStr">
        <is>
          <t>MEDIUM</t>
        </is>
      </c>
      <c r="C795" s="2" t="inlineStr">
        <is>
          <t>Weak website</t>
        </is>
      </c>
      <c r="D795" s="2" t="inlineStr">
        <is>
          <t>Craft Enterprises</t>
        </is>
      </c>
      <c r="E795" s="2" t="inlineStr">
        <is>
          <t>gift or homewares</t>
        </is>
      </c>
      <c r="F795" s="2" t="inlineStr">
        <is>
          <t>Gold Coast</t>
        </is>
      </c>
      <c r="G795" s="2" t="inlineStr">
        <is>
          <t>Instagram</t>
        </is>
      </c>
      <c r="H795" s="4" t="inlineStr">
        <is>
          <t>http://www.instagram.com/craftenterprises</t>
        </is>
      </c>
      <c r="I795" s="4" t="inlineStr">
        <is>
          <t>https://www.facebook.com/CraftEnterprises</t>
        </is>
      </c>
      <c r="J795" s="2" t="inlineStr">
        <is>
          <t>+61 7 5596 1816</t>
        </is>
      </c>
      <c r="K795" s="4" t="inlineStr">
        <is>
          <t>https://craftenterprises.com.au/</t>
        </is>
      </c>
      <c r="L795" s="2" t="inlineStr">
        <is>
          <t>missing meta description</t>
        </is>
      </c>
      <c r="M795" s="2" t="inlineStr">
        <is>
          <t>Hi Craft Enterprises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5" s="4" t="inlineStr">
        <is>
          <t>Open map</t>
        </is>
      </c>
      <c r="O795" s="2" t="inlineStr">
        <is>
          <t>Not contacted</t>
        </is>
      </c>
      <c r="P795" s="2" t="inlineStr"/>
      <c r="Q795" s="2" t="inlineStr"/>
      <c r="R795" s="2" t="inlineStr"/>
      <c r="S795" s="2" t="inlineStr"/>
    </row>
    <row r="796">
      <c r="A796" s="2" t="n">
        <v>795</v>
      </c>
      <c r="B796" s="6" t="inlineStr">
        <is>
          <t>MEDIUM</t>
        </is>
      </c>
      <c r="C796" s="2" t="inlineStr">
        <is>
          <t>Weak website</t>
        </is>
      </c>
      <c r="D796" s="2" t="inlineStr">
        <is>
          <t>Gather</t>
        </is>
      </c>
      <c r="E796" s="2" t="inlineStr">
        <is>
          <t>gift or homewares</t>
        </is>
      </c>
      <c r="F796" s="2" t="inlineStr">
        <is>
          <t>Gold Coast</t>
        </is>
      </c>
      <c r="G796" s="2" t="inlineStr">
        <is>
          <t>Instagram</t>
        </is>
      </c>
      <c r="H796" s="4" t="inlineStr">
        <is>
          <t>https://www.instagram.com/gather.store</t>
        </is>
      </c>
      <c r="I796" s="4" t="inlineStr">
        <is>
          <t>https://www.facebook.com/gather.store</t>
        </is>
      </c>
      <c r="J796" s="2" t="inlineStr"/>
      <c r="K796" s="4" t="inlineStr">
        <is>
          <t>https://www.gatheraustralia.com.au/</t>
        </is>
      </c>
      <c r="L796" s="2" t="inlineStr">
        <is>
          <t>looks outdated (copyright 2020)</t>
        </is>
      </c>
      <c r="M796" s="2" t="inlineStr">
        <is>
          <t>Hi Gather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6" s="4" t="inlineStr">
        <is>
          <t>Open map</t>
        </is>
      </c>
      <c r="O796" s="2" t="inlineStr">
        <is>
          <t>Not contacted</t>
        </is>
      </c>
      <c r="P796" s="2" t="inlineStr"/>
      <c r="Q796" s="2" t="inlineStr"/>
      <c r="R796" s="2" t="inlineStr"/>
      <c r="S796" s="2" t="inlineStr"/>
    </row>
    <row r="797">
      <c r="A797" s="2" t="n">
        <v>796</v>
      </c>
      <c r="B797" s="6" t="inlineStr">
        <is>
          <t>MEDIUM</t>
        </is>
      </c>
      <c r="C797" s="2" t="inlineStr">
        <is>
          <t>Weak website</t>
        </is>
      </c>
      <c r="D797" s="2" t="inlineStr">
        <is>
          <t>Globe Interiors</t>
        </is>
      </c>
      <c r="E797" s="2" t="inlineStr">
        <is>
          <t>gift or homewares</t>
        </is>
      </c>
      <c r="F797" s="2" t="inlineStr">
        <is>
          <t>Gold Coast</t>
        </is>
      </c>
      <c r="G797" s="2" t="inlineStr">
        <is>
          <t>Instagram</t>
        </is>
      </c>
      <c r="H797" s="4" t="inlineStr">
        <is>
          <t>https://www.instagram.com/globe_interiors_qld</t>
        </is>
      </c>
      <c r="I797" s="4" t="inlineStr">
        <is>
          <t>https://www.facebook.com/globeinteriorsqld</t>
        </is>
      </c>
      <c r="J797" s="2" t="inlineStr">
        <is>
          <t>+61 7 5532 4350</t>
        </is>
      </c>
      <c r="K797" s="4" t="inlineStr">
        <is>
          <t>https://www.globeinteriors.com.au/</t>
        </is>
      </c>
      <c r="L797" s="2" t="inlineStr">
        <is>
          <t>looks outdated (copyright 2015); slow to load (6.5s)</t>
        </is>
      </c>
      <c r="M797" s="2" t="inlineStr">
        <is>
          <t>Hi Globe Interiors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97" s="4" t="inlineStr">
        <is>
          <t>Open map</t>
        </is>
      </c>
      <c r="O797" s="2" t="inlineStr">
        <is>
          <t>Not contacted</t>
        </is>
      </c>
      <c r="P797" s="2" t="inlineStr"/>
      <c r="Q797" s="2" t="inlineStr"/>
      <c r="R797" s="2" t="inlineStr"/>
      <c r="S797" s="2" t="inlineStr"/>
    </row>
    <row r="798">
      <c r="A798" s="2" t="n">
        <v>797</v>
      </c>
      <c r="B798" s="6" t="inlineStr">
        <is>
          <t>MEDIUM</t>
        </is>
      </c>
      <c r="C798" s="2" t="inlineStr">
        <is>
          <t>Weak website</t>
        </is>
      </c>
      <c r="D798" s="2" t="inlineStr">
        <is>
          <t>Miso Miso</t>
        </is>
      </c>
      <c r="E798" s="2" t="inlineStr">
        <is>
          <t>gift or homewares</t>
        </is>
      </c>
      <c r="F798" s="2" t="inlineStr">
        <is>
          <t>Gold Coast</t>
        </is>
      </c>
      <c r="G798" s="2" t="inlineStr">
        <is>
          <t>Instagram</t>
        </is>
      </c>
      <c r="H798" s="4" t="inlineStr">
        <is>
          <t>https://instagram.com/misomisoburleigh</t>
        </is>
      </c>
      <c r="I798" s="4" t="inlineStr">
        <is>
          <t>https://facebook.com/people/Miso-Miso-Burleigh/100067219482975</t>
        </is>
      </c>
      <c r="J798" s="2" t="inlineStr">
        <is>
          <t>+61 7 5666 7080</t>
        </is>
      </c>
      <c r="K798" s="4" t="inlineStr">
        <is>
          <t>https://misomisoburleigh.com</t>
        </is>
      </c>
      <c r="L798" s="2" t="inlineStr">
        <is>
          <t>website address not working (check the business is still open)</t>
        </is>
      </c>
      <c r="M798" s="2" t="inlineStr">
        <is>
          <t>Hi Miso Miso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8" s="4" t="inlineStr">
        <is>
          <t>Open map</t>
        </is>
      </c>
      <c r="O798" s="2" t="inlineStr">
        <is>
          <t>Not contacted</t>
        </is>
      </c>
      <c r="P798" s="2" t="inlineStr"/>
      <c r="Q798" s="2" t="inlineStr"/>
      <c r="R798" s="2" t="inlineStr"/>
      <c r="S798" s="2" t="inlineStr"/>
    </row>
    <row r="799">
      <c r="A799" s="2" t="n">
        <v>798</v>
      </c>
      <c r="B799" s="6" t="inlineStr">
        <is>
          <t>MEDIUM</t>
        </is>
      </c>
      <c r="C799" s="2" t="inlineStr">
        <is>
          <t>Weak website</t>
        </is>
      </c>
      <c r="D799" s="2" t="inlineStr">
        <is>
          <t>Curtain Wonderland</t>
        </is>
      </c>
      <c r="E799" s="2" t="inlineStr">
        <is>
          <t>interior design</t>
        </is>
      </c>
      <c r="F799" s="2" t="inlineStr">
        <is>
          <t>Gold Coast</t>
        </is>
      </c>
      <c r="G799" s="2" t="inlineStr">
        <is>
          <t>Instagram</t>
        </is>
      </c>
      <c r="H799" s="4" t="inlineStr">
        <is>
          <t>https://www.instagram.com/curtain_wonderland_ins</t>
        </is>
      </c>
      <c r="I799" s="4" t="inlineStr">
        <is>
          <t>https://www.facebook.com/CurtainWonderlandOfficial</t>
        </is>
      </c>
      <c r="J799" s="2" t="inlineStr">
        <is>
          <t>+61 7 5676 9960</t>
        </is>
      </c>
      <c r="K799" s="4" t="inlineStr">
        <is>
          <t>https://www.curtainwonderland.com.au/</t>
        </is>
      </c>
      <c r="L799" s="2" t="inlineStr">
        <is>
          <t>looks outdated (copyright 2020)</t>
        </is>
      </c>
      <c r="M799" s="2" t="inlineStr">
        <is>
          <t>Hi Curtain Wonderland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99" s="4" t="inlineStr">
        <is>
          <t>Open map</t>
        </is>
      </c>
      <c r="O799" s="2" t="inlineStr">
        <is>
          <t>Not contacted</t>
        </is>
      </c>
      <c r="P799" s="2" t="inlineStr"/>
      <c r="Q799" s="2" t="inlineStr"/>
      <c r="R799" s="2" t="inlineStr"/>
      <c r="S799" s="2" t="inlineStr"/>
    </row>
    <row r="800">
      <c r="A800" s="2" t="n">
        <v>799</v>
      </c>
      <c r="B800" s="6" t="inlineStr">
        <is>
          <t>MEDIUM</t>
        </is>
      </c>
      <c r="C800" s="2" t="inlineStr">
        <is>
          <t>Weak website</t>
        </is>
      </c>
      <c r="D800" s="2" t="inlineStr">
        <is>
          <t>CTJ</t>
        </is>
      </c>
      <c r="E800" s="2" t="inlineStr">
        <is>
          <t>jeweller</t>
        </is>
      </c>
      <c r="F800" s="2" t="inlineStr">
        <is>
          <t>Gold Coast</t>
        </is>
      </c>
      <c r="G800" s="2" t="inlineStr">
        <is>
          <t>Instagram</t>
        </is>
      </c>
      <c r="H800" s="4" t="inlineStr">
        <is>
          <t>https://www.instagram.com/ctj.jewellery</t>
        </is>
      </c>
      <c r="I800" s="4" t="inlineStr">
        <is>
          <t>https://www.facebook.com/ctj.jewellery.au</t>
        </is>
      </c>
      <c r="J800" s="2" t="inlineStr">
        <is>
          <t>+61 7 5538 3988</t>
        </is>
      </c>
      <c r="K800" s="4" t="inlineStr">
        <is>
          <t>https://ctj.com.au/</t>
        </is>
      </c>
      <c r="L800" s="2" t="inlineStr">
        <is>
          <t>slow to load (3.1s)</t>
        </is>
      </c>
      <c r="M800" s="2" t="inlineStr">
        <is>
          <t>Hi CTJ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00" s="4" t="inlineStr">
        <is>
          <t>Open map</t>
        </is>
      </c>
      <c r="O800" s="2" t="inlineStr">
        <is>
          <t>Not contacted</t>
        </is>
      </c>
      <c r="P800" s="2" t="inlineStr"/>
      <c r="Q800" s="2" t="inlineStr"/>
      <c r="R800" s="2" t="inlineStr"/>
      <c r="S800" s="2" t="inlineStr"/>
    </row>
    <row r="801">
      <c r="A801" s="2" t="n">
        <v>800</v>
      </c>
      <c r="B801" s="6" t="inlineStr">
        <is>
          <t>MEDIUM</t>
        </is>
      </c>
      <c r="C801" s="2" t="inlineStr">
        <is>
          <t>Weak website</t>
        </is>
      </c>
      <c r="D801" s="2" t="inlineStr">
        <is>
          <t>Love Lara Jewellers</t>
        </is>
      </c>
      <c r="E801" s="2" t="inlineStr">
        <is>
          <t>jeweller</t>
        </is>
      </c>
      <c r="F801" s="2" t="inlineStr">
        <is>
          <t>Gold Coast</t>
        </is>
      </c>
      <c r="G801" s="2" t="inlineStr">
        <is>
          <t>Instagram</t>
        </is>
      </c>
      <c r="H801" s="4" t="inlineStr">
        <is>
          <t>https://www.instagram.com/lovelarajewellery</t>
        </is>
      </c>
      <c r="I801" s="4" t="inlineStr">
        <is>
          <t>https://www.facebook.com/Love-Lara-Jewellery-191476280881144</t>
        </is>
      </c>
      <c r="J801" s="2" t="inlineStr">
        <is>
          <t>+61 7 5593 6262</t>
        </is>
      </c>
      <c r="K801" s="4" t="inlineStr">
        <is>
          <t>https://lovelarajewellery.com.au/</t>
        </is>
      </c>
      <c r="L801" s="2" t="inlineStr">
        <is>
          <t>looks outdated (copyright 2020); missing meta description</t>
        </is>
      </c>
      <c r="M801" s="2" t="inlineStr">
        <is>
          <t>Hi Love Lara Jewellers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1" s="4" t="inlineStr">
        <is>
          <t>Open map</t>
        </is>
      </c>
      <c r="O801" s="2" t="inlineStr">
        <is>
          <t>Not contacted</t>
        </is>
      </c>
      <c r="P801" s="2" t="inlineStr"/>
      <c r="Q801" s="2" t="inlineStr"/>
      <c r="R801" s="2" t="inlineStr"/>
      <c r="S801" s="2" t="inlineStr"/>
    </row>
    <row r="802">
      <c r="A802" s="2" t="n">
        <v>801</v>
      </c>
      <c r="B802" s="6" t="inlineStr">
        <is>
          <t>MEDIUM</t>
        </is>
      </c>
      <c r="C802" s="2" t="inlineStr">
        <is>
          <t>Weak website</t>
        </is>
      </c>
      <c r="D802" s="2" t="inlineStr">
        <is>
          <t>Ashmore Garden World</t>
        </is>
      </c>
      <c r="E802" s="2" t="inlineStr">
        <is>
          <t>landscaper</t>
        </is>
      </c>
      <c r="F802" s="2" t="inlineStr">
        <is>
          <t>Gold Coast</t>
        </is>
      </c>
      <c r="G802" s="2" t="inlineStr">
        <is>
          <t>Facebook</t>
        </is>
      </c>
      <c r="H802" s="2" t="inlineStr"/>
      <c r="I802" s="4" t="inlineStr">
        <is>
          <t>https://www.facebook.com/ashmorelandscapeandgardensupplies</t>
        </is>
      </c>
      <c r="J802" s="2" t="inlineStr"/>
      <c r="K802" s="4" t="inlineStr">
        <is>
          <t>https://ashmoregardenworld.com/</t>
        </is>
      </c>
      <c r="L802" s="2" t="inlineStr">
        <is>
          <t>missing meta description</t>
        </is>
      </c>
      <c r="M802" s="2" t="inlineStr">
        <is>
          <t>Hi Ashmore Garden World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2" s="4" t="inlineStr">
        <is>
          <t>Open map</t>
        </is>
      </c>
      <c r="O802" s="2" t="inlineStr">
        <is>
          <t>Not contacted</t>
        </is>
      </c>
      <c r="P802" s="2" t="inlineStr"/>
      <c r="Q802" s="2" t="inlineStr"/>
      <c r="R802" s="2" t="inlineStr"/>
      <c r="S802" s="2" t="inlineStr"/>
    </row>
    <row r="803">
      <c r="A803" s="2" t="n">
        <v>802</v>
      </c>
      <c r="B803" s="6" t="inlineStr">
        <is>
          <t>MEDIUM</t>
        </is>
      </c>
      <c r="C803" s="2" t="inlineStr">
        <is>
          <t>Weak website</t>
        </is>
      </c>
      <c r="D803" s="2" t="inlineStr">
        <is>
          <t>La Bocca</t>
        </is>
      </c>
      <c r="E803" s="2" t="inlineStr">
        <is>
          <t>liquor or wine</t>
        </is>
      </c>
      <c r="F803" s="2" t="inlineStr">
        <is>
          <t>Gold Coast</t>
        </is>
      </c>
      <c r="G803" s="2" t="inlineStr">
        <is>
          <t>Instagram</t>
        </is>
      </c>
      <c r="H803" s="4" t="inlineStr">
        <is>
          <t>https://www.instagram.com/currumbinrsl</t>
        </is>
      </c>
      <c r="I803" s="4" t="inlineStr">
        <is>
          <t>https://www.facebook.com/CurrumbinRSLClub</t>
        </is>
      </c>
      <c r="J803" s="2" t="inlineStr">
        <is>
          <t>+61 7 5534 0908</t>
        </is>
      </c>
      <c r="K803" s="4" t="inlineStr">
        <is>
          <t>https://www.currumbinrsl.com.au/labocca/</t>
        </is>
      </c>
      <c r="L803" s="2" t="inlineStr">
        <is>
          <t>looks outdated (copyright 2023); missing meta description</t>
        </is>
      </c>
      <c r="M803" s="2" t="inlineStr">
        <is>
          <t>Hi La Bocca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3" s="4" t="inlineStr">
        <is>
          <t>Open map</t>
        </is>
      </c>
      <c r="O803" s="2" t="inlineStr">
        <is>
          <t>Not contacted</t>
        </is>
      </c>
      <c r="P803" s="2" t="inlineStr"/>
      <c r="Q803" s="2" t="inlineStr"/>
      <c r="R803" s="2" t="inlineStr"/>
      <c r="S803" s="2" t="inlineStr"/>
    </row>
    <row r="804">
      <c r="A804" s="2" t="n">
        <v>803</v>
      </c>
      <c r="B804" s="6" t="inlineStr">
        <is>
          <t>MEDIUM</t>
        </is>
      </c>
      <c r="C804" s="2" t="inlineStr">
        <is>
          <t>Weak website</t>
        </is>
      </c>
      <c r="D804" s="2" t="inlineStr">
        <is>
          <t>Tommytops Massage</t>
        </is>
      </c>
      <c r="E804" s="2" t="inlineStr">
        <is>
          <t>massage or spa</t>
        </is>
      </c>
      <c r="F804" s="2" t="inlineStr">
        <is>
          <t>Gold Coast</t>
        </is>
      </c>
      <c r="G804" s="2" t="inlineStr">
        <is>
          <t>Instagram</t>
        </is>
      </c>
      <c r="H804" s="4" t="inlineStr">
        <is>
          <t>https://www.instagram.com/tommytopsmassage</t>
        </is>
      </c>
      <c r="I804" s="4" t="inlineStr">
        <is>
          <t>https://www.facebook.com/tommytopsmassage</t>
        </is>
      </c>
      <c r="J804" s="2" t="inlineStr">
        <is>
          <t>+61 431 092 174</t>
        </is>
      </c>
      <c r="K804" s="4" t="inlineStr">
        <is>
          <t>http://tommytops.com/</t>
        </is>
      </c>
      <c r="L804" s="2" t="inlineStr">
        <is>
          <t>no HTTPS (browser shows 'Not secure')</t>
        </is>
      </c>
      <c r="M804" s="2" t="inlineStr">
        <is>
          <t>Hi Tommytops Massage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4" s="4" t="inlineStr">
        <is>
          <t>Open map</t>
        </is>
      </c>
      <c r="O804" s="2" t="inlineStr">
        <is>
          <t>Not contacted</t>
        </is>
      </c>
      <c r="P804" s="2" t="inlineStr"/>
      <c r="Q804" s="2" t="inlineStr"/>
      <c r="R804" s="2" t="inlineStr"/>
      <c r="S804" s="2" t="inlineStr"/>
    </row>
    <row r="805">
      <c r="A805" s="2" t="n">
        <v>804</v>
      </c>
      <c r="B805" s="6" t="inlineStr">
        <is>
          <t>MEDIUM</t>
        </is>
      </c>
      <c r="C805" s="2" t="inlineStr">
        <is>
          <t>Weak website</t>
        </is>
      </c>
      <c r="D805" s="2" t="inlineStr">
        <is>
          <t>Coastwide Service Centre</t>
        </is>
      </c>
      <c r="E805" s="2" t="inlineStr">
        <is>
          <t>mechanic</t>
        </is>
      </c>
      <c r="F805" s="2" t="inlineStr">
        <is>
          <t>Gold Coast</t>
        </is>
      </c>
      <c r="G805" s="2" t="inlineStr">
        <is>
          <t>Instagram</t>
        </is>
      </c>
      <c r="H805" s="4" t="inlineStr">
        <is>
          <t>https://www.instagram.com/coastwideservicecentre</t>
        </is>
      </c>
      <c r="I805" s="4" t="inlineStr">
        <is>
          <t>https://www.facebook.com/coastwiderwc/</t>
        </is>
      </c>
      <c r="J805" s="2" t="inlineStr">
        <is>
          <t>+61 7 5527 8698</t>
        </is>
      </c>
      <c r="K805" s="4" t="inlineStr">
        <is>
          <t>https://www.coastwiderwc.com.au/</t>
        </is>
      </c>
      <c r="L805" s="2" t="inlineStr">
        <is>
          <t>slow to load (8.6s)</t>
        </is>
      </c>
      <c r="M805" s="2" t="inlineStr">
        <is>
          <t>Hi Coastwide Service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05" s="4" t="inlineStr">
        <is>
          <t>Open map</t>
        </is>
      </c>
      <c r="O805" s="2" t="inlineStr">
        <is>
          <t>Not contacted</t>
        </is>
      </c>
      <c r="P805" s="2" t="inlineStr"/>
      <c r="Q805" s="2" t="inlineStr"/>
      <c r="R805" s="2" t="inlineStr"/>
      <c r="S805" s="2" t="inlineStr"/>
    </row>
    <row r="806">
      <c r="A806" s="2" t="n">
        <v>805</v>
      </c>
      <c r="B806" s="6" t="inlineStr">
        <is>
          <t>MEDIUM</t>
        </is>
      </c>
      <c r="C806" s="2" t="inlineStr">
        <is>
          <t>Weak website</t>
        </is>
      </c>
      <c r="D806" s="2" t="inlineStr">
        <is>
          <t>Donnelly Engineering</t>
        </is>
      </c>
      <c r="E806" s="2" t="inlineStr">
        <is>
          <t>mechanic</t>
        </is>
      </c>
      <c r="F806" s="2" t="inlineStr">
        <is>
          <t>Gold Coast</t>
        </is>
      </c>
      <c r="G806" s="2" t="inlineStr">
        <is>
          <t>Facebook</t>
        </is>
      </c>
      <c r="H806" s="2" t="inlineStr"/>
      <c r="I806" s="4" t="inlineStr">
        <is>
          <t>https://www.facebook.com/DonnellyEngineering</t>
        </is>
      </c>
      <c r="J806" s="2" t="inlineStr">
        <is>
          <t>+61 7 5531 4499</t>
        </is>
      </c>
      <c r="K806" s="4" t="inlineStr">
        <is>
          <t>https://www.donnellyengineering.com.au/</t>
        </is>
      </c>
      <c r="L806" s="2" t="inlineStr">
        <is>
          <t>looks outdated (copyright 2017); missing meta description</t>
        </is>
      </c>
      <c r="M806" s="2" t="inlineStr">
        <is>
          <t>Hi Donnelly Engineering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6" s="4" t="inlineStr">
        <is>
          <t>Open map</t>
        </is>
      </c>
      <c r="O806" s="2" t="inlineStr">
        <is>
          <t>Not contacted</t>
        </is>
      </c>
      <c r="P806" s="2" t="inlineStr"/>
      <c r="Q806" s="2" t="inlineStr"/>
      <c r="R806" s="2" t="inlineStr"/>
      <c r="S806" s="2" t="inlineStr"/>
    </row>
    <row r="807">
      <c r="A807" s="2" t="n">
        <v>806</v>
      </c>
      <c r="B807" s="6" t="inlineStr">
        <is>
          <t>MEDIUM</t>
        </is>
      </c>
      <c r="C807" s="2" t="inlineStr">
        <is>
          <t>Weak website</t>
        </is>
      </c>
      <c r="D807" s="2" t="inlineStr">
        <is>
          <t>Max Butts Auto Body Works</t>
        </is>
      </c>
      <c r="E807" s="2" t="inlineStr">
        <is>
          <t>mechanic</t>
        </is>
      </c>
      <c r="F807" s="2" t="inlineStr">
        <is>
          <t>Gold Coast</t>
        </is>
      </c>
      <c r="G807" s="2" t="inlineStr">
        <is>
          <t>Instagram</t>
        </is>
      </c>
      <c r="H807" s="4" t="inlineStr">
        <is>
          <t>https://www.instagram.com/wgbwgroup</t>
        </is>
      </c>
      <c r="I807" s="4" t="inlineStr">
        <is>
          <t>https://www.facebook.com/WGBWGroup</t>
        </is>
      </c>
      <c r="J807" s="2" t="inlineStr">
        <is>
          <t>+61 7 5597 0444</t>
        </is>
      </c>
      <c r="K807" s="4" t="inlineStr">
        <is>
          <t>https://www.maxbutts.com.au/contact-us.htm</t>
        </is>
      </c>
      <c r="L807" s="2" t="inlineStr">
        <is>
          <t>looks outdated (copyright 2022)</t>
        </is>
      </c>
      <c r="M807" s="2" t="inlineStr">
        <is>
          <t>Hi Max Butts Auto Body Works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7" s="4" t="inlineStr">
        <is>
          <t>Open map</t>
        </is>
      </c>
      <c r="O807" s="2" t="inlineStr">
        <is>
          <t>Not contacted</t>
        </is>
      </c>
      <c r="P807" s="2" t="inlineStr"/>
      <c r="Q807" s="2" t="inlineStr"/>
      <c r="R807" s="2" t="inlineStr"/>
      <c r="S807" s="2" t="inlineStr"/>
    </row>
    <row r="808">
      <c r="A808" s="2" t="n">
        <v>807</v>
      </c>
      <c r="B808" s="6" t="inlineStr">
        <is>
          <t>MEDIUM</t>
        </is>
      </c>
      <c r="C808" s="2" t="inlineStr">
        <is>
          <t>Weak website</t>
        </is>
      </c>
      <c r="D808" s="2" t="inlineStr">
        <is>
          <t>Ntech Mekanix</t>
        </is>
      </c>
      <c r="E808" s="2" t="inlineStr">
        <is>
          <t>mechanic</t>
        </is>
      </c>
      <c r="F808" s="2" t="inlineStr">
        <is>
          <t>Gold Coast</t>
        </is>
      </c>
      <c r="G808" s="2" t="inlineStr">
        <is>
          <t>Instagram</t>
        </is>
      </c>
      <c r="H808" s="4" t="inlineStr">
        <is>
          <t>https://www.instagram.com/ntechmekanix</t>
        </is>
      </c>
      <c r="I808" s="4" t="inlineStr">
        <is>
          <t>https://www.facebook.com/NTECHMekanix</t>
        </is>
      </c>
      <c r="J808" s="2" t="inlineStr">
        <is>
          <t>+61 7 5520 0304</t>
        </is>
      </c>
      <c r="K808" s="4" t="inlineStr">
        <is>
          <t>https://ntechmekanix.com.au/</t>
        </is>
      </c>
      <c r="L808" s="2" t="inlineStr">
        <is>
          <t>looks outdated (copyright 2015)</t>
        </is>
      </c>
      <c r="M808" s="2" t="inlineStr">
        <is>
          <t>Hi Ntech Mekanix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08" s="4" t="inlineStr">
        <is>
          <t>Open map</t>
        </is>
      </c>
      <c r="O808" s="2" t="inlineStr">
        <is>
          <t>Not contacted</t>
        </is>
      </c>
      <c r="P808" s="2" t="inlineStr"/>
      <c r="Q808" s="2" t="inlineStr"/>
      <c r="R808" s="2" t="inlineStr"/>
      <c r="S808" s="2" t="inlineStr"/>
    </row>
    <row r="809">
      <c r="A809" s="2" t="n">
        <v>808</v>
      </c>
      <c r="B809" s="6" t="inlineStr">
        <is>
          <t>MEDIUM</t>
        </is>
      </c>
      <c r="C809" s="2" t="inlineStr">
        <is>
          <t>Weak website</t>
        </is>
      </c>
      <c r="D809" s="2" t="inlineStr">
        <is>
          <t>Smart Auto Electrical</t>
        </is>
      </c>
      <c r="E809" s="2" t="inlineStr">
        <is>
          <t>mechanic</t>
        </is>
      </c>
      <c r="F809" s="2" t="inlineStr">
        <is>
          <t>Gold Coast</t>
        </is>
      </c>
      <c r="G809" s="2" t="inlineStr">
        <is>
          <t>Instagram</t>
        </is>
      </c>
      <c r="H809" s="4" t="inlineStr">
        <is>
          <t>https://www.instagram.com/smart_auto_electrical</t>
        </is>
      </c>
      <c r="I809" s="4" t="inlineStr">
        <is>
          <t>https://www.facebook.com/smartautoelectrical</t>
        </is>
      </c>
      <c r="J809" s="2" t="inlineStr">
        <is>
          <t>+61 7 5576 4766</t>
        </is>
      </c>
      <c r="K809" s="4" t="inlineStr">
        <is>
          <t>https://www.smartautoelectrical.com.au/</t>
        </is>
      </c>
      <c r="L809" s="2" t="inlineStr">
        <is>
          <t>slow to load (4.4s)</t>
        </is>
      </c>
      <c r="M809" s="2" t="inlineStr">
        <is>
          <t>Hi Smart Auto Electrical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09" s="4" t="inlineStr">
        <is>
          <t>Open map</t>
        </is>
      </c>
      <c r="O809" s="2" t="inlineStr">
        <is>
          <t>Not contacted</t>
        </is>
      </c>
      <c r="P809" s="2" t="inlineStr"/>
      <c r="Q809" s="2" t="inlineStr"/>
      <c r="R809" s="2" t="inlineStr"/>
      <c r="S809" s="2" t="inlineStr"/>
    </row>
    <row r="810">
      <c r="A810" s="2" t="n">
        <v>809</v>
      </c>
      <c r="B810" s="6" t="inlineStr">
        <is>
          <t>MEDIUM</t>
        </is>
      </c>
      <c r="C810" s="2" t="inlineStr">
        <is>
          <t>Weak website</t>
        </is>
      </c>
      <c r="D810" s="2" t="inlineStr">
        <is>
          <t>Sommerville Smash Repairs</t>
        </is>
      </c>
      <c r="E810" s="2" t="inlineStr">
        <is>
          <t>mechanic</t>
        </is>
      </c>
      <c r="F810" s="2" t="inlineStr">
        <is>
          <t>Gold Coast</t>
        </is>
      </c>
      <c r="G810" s="2" t="inlineStr">
        <is>
          <t>Instagram</t>
        </is>
      </c>
      <c r="H810" s="4" t="inlineStr">
        <is>
          <t>https://www.instagram.com/sommervillesmashrepairs</t>
        </is>
      </c>
      <c r="I810" s="4" t="inlineStr">
        <is>
          <t>https://www.facebook.com/sommervillesmashrepairs</t>
        </is>
      </c>
      <c r="J810" s="2" t="inlineStr">
        <is>
          <t>+61 7 5596 5711</t>
        </is>
      </c>
      <c r="K810" s="4" t="inlineStr">
        <is>
          <t>https://sommervillesmashrepairs.com</t>
        </is>
      </c>
      <c r="L810" s="2" t="inlineStr">
        <is>
          <t>looks outdated (copyright 2023)</t>
        </is>
      </c>
      <c r="M810" s="2" t="inlineStr">
        <is>
          <t>Hi Sommerville Smash Repairs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0" s="4" t="inlineStr">
        <is>
          <t>Open map</t>
        </is>
      </c>
      <c r="O810" s="2" t="inlineStr">
        <is>
          <t>Not contacted</t>
        </is>
      </c>
      <c r="P810" s="2" t="inlineStr"/>
      <c r="Q810" s="2" t="inlineStr"/>
      <c r="R810" s="2" t="inlineStr"/>
      <c r="S810" s="2" t="inlineStr"/>
    </row>
    <row r="811">
      <c r="A811" s="2" t="n">
        <v>810</v>
      </c>
      <c r="B811" s="6" t="inlineStr">
        <is>
          <t>MEDIUM</t>
        </is>
      </c>
      <c r="C811" s="2" t="inlineStr">
        <is>
          <t>Weak website</t>
        </is>
      </c>
      <c r="D811" s="2" t="inlineStr">
        <is>
          <t>Southport Budget Tyres &amp; Brakes</t>
        </is>
      </c>
      <c r="E811" s="2" t="inlineStr">
        <is>
          <t>mechanic</t>
        </is>
      </c>
      <c r="F811" s="2" t="inlineStr">
        <is>
          <t>Gold Coast</t>
        </is>
      </c>
      <c r="G811" s="2" t="inlineStr">
        <is>
          <t>Facebook</t>
        </is>
      </c>
      <c r="H811" s="2" t="inlineStr"/>
      <c r="I811" s="4" t="inlineStr">
        <is>
          <t>https://www.facebook.com/southportbudgettyres</t>
        </is>
      </c>
      <c r="J811" s="2" t="inlineStr">
        <is>
          <t>+61 7 5527 0004</t>
        </is>
      </c>
      <c r="K811" s="4" t="inlineStr">
        <is>
          <t>https://budgettyressouthport.com/</t>
        </is>
      </c>
      <c r="L811" s="2" t="inlineStr">
        <is>
          <t>slow to load (5.7s)</t>
        </is>
      </c>
      <c r="M811" s="2" t="inlineStr">
        <is>
          <t>Hi Southport Budget Tyres &amp; Brakes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11" s="4" t="inlineStr">
        <is>
          <t>Open map</t>
        </is>
      </c>
      <c r="O811" s="2" t="inlineStr">
        <is>
          <t>Not contacted</t>
        </is>
      </c>
      <c r="P811" s="2" t="inlineStr"/>
      <c r="Q811" s="2" t="inlineStr"/>
      <c r="R811" s="2" t="inlineStr"/>
      <c r="S811" s="2" t="inlineStr"/>
    </row>
    <row r="812">
      <c r="A812" s="2" t="n">
        <v>811</v>
      </c>
      <c r="B812" s="6" t="inlineStr">
        <is>
          <t>MEDIUM</t>
        </is>
      </c>
      <c r="C812" s="2" t="inlineStr">
        <is>
          <t>Weak website</t>
        </is>
      </c>
      <c r="D812" s="2" t="inlineStr">
        <is>
          <t>Southport Exhaust</t>
        </is>
      </c>
      <c r="E812" s="2" t="inlineStr">
        <is>
          <t>mechanic</t>
        </is>
      </c>
      <c r="F812" s="2" t="inlineStr">
        <is>
          <t>Gold Coast</t>
        </is>
      </c>
      <c r="G812" s="2" t="inlineStr">
        <is>
          <t>Facebook</t>
        </is>
      </c>
      <c r="H812" s="2" t="inlineStr"/>
      <c r="I812" s="4" t="inlineStr">
        <is>
          <t>https://www.facebook.com/southportexhaust</t>
        </is>
      </c>
      <c r="J812" s="2" t="inlineStr">
        <is>
          <t>+61 7 5532 4707</t>
        </is>
      </c>
      <c r="K812" s="4" t="inlineStr">
        <is>
          <t>https://southportexhaust.com.au/</t>
        </is>
      </c>
      <c r="L812" s="2" t="inlineStr">
        <is>
          <t>looks outdated (copyright 2015); missing meta description; slow to load (3.0s)</t>
        </is>
      </c>
      <c r="M812" s="2" t="inlineStr">
        <is>
          <t>Hi Southport Exhaust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12" s="4" t="inlineStr">
        <is>
          <t>Open map</t>
        </is>
      </c>
      <c r="O812" s="2" t="inlineStr">
        <is>
          <t>Not contacted</t>
        </is>
      </c>
      <c r="P812" s="2" t="inlineStr"/>
      <c r="Q812" s="2" t="inlineStr"/>
      <c r="R812" s="2" t="inlineStr"/>
      <c r="S812" s="2" t="inlineStr"/>
    </row>
    <row r="813">
      <c r="A813" s="2" t="n">
        <v>812</v>
      </c>
      <c r="B813" s="6" t="inlineStr">
        <is>
          <t>MEDIUM</t>
        </is>
      </c>
      <c r="C813" s="2" t="inlineStr">
        <is>
          <t>Weak website</t>
        </is>
      </c>
      <c r="D813" s="2" t="inlineStr">
        <is>
          <t>The Garage</t>
        </is>
      </c>
      <c r="E813" s="2" t="inlineStr">
        <is>
          <t>mechanic</t>
        </is>
      </c>
      <c r="F813" s="2" t="inlineStr">
        <is>
          <t>Gold Coast</t>
        </is>
      </c>
      <c r="G813" s="2" t="inlineStr">
        <is>
          <t>Instagram</t>
        </is>
      </c>
      <c r="H813" s="4" t="inlineStr">
        <is>
          <t>https://www.instagram.com/thegaragegoldcoast/</t>
        </is>
      </c>
      <c r="I813" s="4" t="inlineStr">
        <is>
          <t>https://www.facebook.com/thegaragemiami/</t>
        </is>
      </c>
      <c r="J813" s="2" t="inlineStr">
        <is>
          <t>+61 7 5572 1711</t>
        </is>
      </c>
      <c r="K813" s="4" t="inlineStr">
        <is>
          <t>https://www.thegaragemiami.com.au/</t>
        </is>
      </c>
      <c r="L813" s="2" t="inlineStr">
        <is>
          <t>could not check (site refused automated visit, HTTP 403)</t>
        </is>
      </c>
      <c r="M813" s="2" t="inlineStr">
        <is>
          <t>Hi The Garage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3" s="4" t="inlineStr">
        <is>
          <t>Open map</t>
        </is>
      </c>
      <c r="O813" s="2" t="inlineStr">
        <is>
          <t>Not contacted</t>
        </is>
      </c>
      <c r="P813" s="2" t="inlineStr"/>
      <c r="Q813" s="2" t="inlineStr"/>
      <c r="R813" s="2" t="inlineStr"/>
      <c r="S813" s="2" t="inlineStr"/>
    </row>
    <row r="814">
      <c r="A814" s="2" t="n">
        <v>813</v>
      </c>
      <c r="B814" s="6" t="inlineStr">
        <is>
          <t>MEDIUM</t>
        </is>
      </c>
      <c r="C814" s="2" t="inlineStr">
        <is>
          <t>Weak website</t>
        </is>
      </c>
      <c r="D814" s="2" t="inlineStr">
        <is>
          <t>Three Point</t>
        </is>
      </c>
      <c r="E814" s="2" t="inlineStr">
        <is>
          <t>mechanic</t>
        </is>
      </c>
      <c r="F814" s="2" t="inlineStr">
        <is>
          <t>Gold Coast</t>
        </is>
      </c>
      <c r="G814" s="2" t="inlineStr">
        <is>
          <t>Facebook</t>
        </is>
      </c>
      <c r="H814" s="2" t="inlineStr"/>
      <c r="I814" s="4" t="inlineStr">
        <is>
          <t>https://www.facebook.com/wix</t>
        </is>
      </c>
      <c r="J814" s="2" t="inlineStr">
        <is>
          <t>+61 7 5531 6068</t>
        </is>
      </c>
      <c r="K814" s="4" t="inlineStr">
        <is>
          <t>https://www.threepointgoldcoast.com/</t>
        </is>
      </c>
      <c r="L814" s="2" t="inlineStr">
        <is>
          <t>looks outdated (copyright 2023)</t>
        </is>
      </c>
      <c r="M814" s="2" t="inlineStr">
        <is>
          <t>Hi Three Point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4" s="4" t="inlineStr">
        <is>
          <t>Open map</t>
        </is>
      </c>
      <c r="O814" s="2" t="inlineStr">
        <is>
          <t>Not contacted</t>
        </is>
      </c>
      <c r="P814" s="2" t="inlineStr"/>
      <c r="Q814" s="2" t="inlineStr"/>
      <c r="R814" s="2" t="inlineStr"/>
      <c r="S814" s="2" t="inlineStr"/>
    </row>
    <row r="815">
      <c r="A815" s="2" t="n">
        <v>814</v>
      </c>
      <c r="B815" s="6" t="inlineStr">
        <is>
          <t>MEDIUM</t>
        </is>
      </c>
      <c r="C815" s="2" t="inlineStr">
        <is>
          <t>Weak website</t>
        </is>
      </c>
      <c r="D815" s="2" t="inlineStr">
        <is>
          <t>Ashbury Cosmetics Gold Coast</t>
        </is>
      </c>
      <c r="E815" s="2" t="inlineStr">
        <is>
          <t>medical clinic</t>
        </is>
      </c>
      <c r="F815" s="2" t="inlineStr">
        <is>
          <t>Gold Coast</t>
        </is>
      </c>
      <c r="G815" s="2" t="inlineStr">
        <is>
          <t>Facebook</t>
        </is>
      </c>
      <c r="H815" s="2" t="inlineStr"/>
      <c r="I815" s="4" t="inlineStr">
        <is>
          <t>https://www.facebook.com/ashburycosmeticsurgery</t>
        </is>
      </c>
      <c r="J815" s="2" t="inlineStr">
        <is>
          <t>+61 7 5570 6800</t>
        </is>
      </c>
      <c r="K815" s="4" t="inlineStr">
        <is>
          <t>https://ashburycosmetic.com.au/</t>
        </is>
      </c>
      <c r="L815" s="2" t="inlineStr">
        <is>
          <t>slow to load (7.2s)</t>
        </is>
      </c>
      <c r="M815" s="2" t="inlineStr">
        <is>
          <t>Hi Ashbury Cosmetics Gold Coast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15" s="4" t="inlineStr">
        <is>
          <t>Open map</t>
        </is>
      </c>
      <c r="O815" s="2" t="inlineStr">
        <is>
          <t>Not contacted</t>
        </is>
      </c>
      <c r="P815" s="2" t="inlineStr"/>
      <c r="Q815" s="2" t="inlineStr"/>
      <c r="R815" s="2" t="inlineStr"/>
      <c r="S815" s="2" t="inlineStr"/>
    </row>
    <row r="816">
      <c r="A816" s="2" t="n">
        <v>815</v>
      </c>
      <c r="B816" s="6" t="inlineStr">
        <is>
          <t>MEDIUM</t>
        </is>
      </c>
      <c r="C816" s="2" t="inlineStr">
        <is>
          <t>Weak website</t>
        </is>
      </c>
      <c r="D816" s="2" t="inlineStr">
        <is>
          <t>Bugalwena General Practice</t>
        </is>
      </c>
      <c r="E816" s="2" t="inlineStr">
        <is>
          <t>medical clinic</t>
        </is>
      </c>
      <c r="F816" s="2" t="inlineStr">
        <is>
          <t>Gold Coast</t>
        </is>
      </c>
      <c r="G816" s="2" t="inlineStr">
        <is>
          <t>Facebook</t>
        </is>
      </c>
      <c r="H816" s="2" t="inlineStr"/>
      <c r="I816" s="4" t="inlineStr">
        <is>
          <t>https://www.facebook.com/BugalwenaGP</t>
        </is>
      </c>
      <c r="J816" s="2" t="inlineStr"/>
      <c r="K816" s="4" t="inlineStr">
        <is>
          <t>https://bnmac.com.au/clinics/bugalwena-general-practice/</t>
        </is>
      </c>
      <c r="L816" s="2" t="inlineStr">
        <is>
          <t>missing meta description</t>
        </is>
      </c>
      <c r="M816" s="2" t="inlineStr">
        <is>
          <t>Hi Bugalwena General Practice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6" s="4" t="inlineStr">
        <is>
          <t>Open map</t>
        </is>
      </c>
      <c r="O816" s="2" t="inlineStr">
        <is>
          <t>Not contacted</t>
        </is>
      </c>
      <c r="P816" s="2" t="inlineStr"/>
      <c r="Q816" s="2" t="inlineStr"/>
      <c r="R816" s="2" t="inlineStr"/>
      <c r="S816" s="2" t="inlineStr"/>
    </row>
    <row r="817">
      <c r="A817" s="2" t="n">
        <v>816</v>
      </c>
      <c r="B817" s="6" t="inlineStr">
        <is>
          <t>MEDIUM</t>
        </is>
      </c>
      <c r="C817" s="2" t="inlineStr">
        <is>
          <t>Weak website</t>
        </is>
      </c>
      <c r="D817" s="2" t="inlineStr">
        <is>
          <t>Bundall Medical Centre</t>
        </is>
      </c>
      <c r="E817" s="2" t="inlineStr">
        <is>
          <t>medical clinic</t>
        </is>
      </c>
      <c r="F817" s="2" t="inlineStr">
        <is>
          <t>Gold Coast</t>
        </is>
      </c>
      <c r="G817" s="2" t="inlineStr">
        <is>
          <t>Facebook</t>
        </is>
      </c>
      <c r="H817" s="2" t="inlineStr"/>
      <c r="I817" s="4" t="inlineStr">
        <is>
          <t>https://www.facebook.com/bundallmedicalcentre</t>
        </is>
      </c>
      <c r="J817" s="2" t="inlineStr">
        <is>
          <t>+61 7 5656 4800</t>
        </is>
      </c>
      <c r="K817" s="4" t="inlineStr">
        <is>
          <t>https://bundallmedicalcentre.com.au/</t>
        </is>
      </c>
      <c r="L817" s="2" t="inlineStr">
        <is>
          <t>slow to load (4.4s)</t>
        </is>
      </c>
      <c r="M817" s="2" t="inlineStr">
        <is>
          <t>Hi Bundall Medical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17" s="4" t="inlineStr">
        <is>
          <t>Open map</t>
        </is>
      </c>
      <c r="O817" s="2" t="inlineStr">
        <is>
          <t>Not contacted</t>
        </is>
      </c>
      <c r="P817" s="2" t="inlineStr"/>
      <c r="Q817" s="2" t="inlineStr"/>
      <c r="R817" s="2" t="inlineStr"/>
      <c r="S817" s="2" t="inlineStr"/>
    </row>
    <row r="818">
      <c r="A818" s="2" t="n">
        <v>817</v>
      </c>
      <c r="B818" s="6" t="inlineStr">
        <is>
          <t>MEDIUM</t>
        </is>
      </c>
      <c r="C818" s="2" t="inlineStr">
        <is>
          <t>Weak website</t>
        </is>
      </c>
      <c r="D818" s="2" t="inlineStr">
        <is>
          <t>Filtered Faces Aesthetics</t>
        </is>
      </c>
      <c r="E818" s="2" t="inlineStr">
        <is>
          <t>medical clinic</t>
        </is>
      </c>
      <c r="F818" s="2" t="inlineStr">
        <is>
          <t>Gold Coast</t>
        </is>
      </c>
      <c r="G818" s="2" t="inlineStr">
        <is>
          <t>Instagram</t>
        </is>
      </c>
      <c r="H818" s="4" t="inlineStr">
        <is>
          <t>https://www.instagram.com/filtered_faces_aesthetics/</t>
        </is>
      </c>
      <c r="I818" s="4" t="inlineStr">
        <is>
          <t>https://www.facebook.com/people/filtered_faces_aesthetics/100064212724547/</t>
        </is>
      </c>
      <c r="J818" s="2" t="inlineStr"/>
      <c r="K818" s="4" t="inlineStr">
        <is>
          <t>https://filteredfacesaesthetics.com/</t>
        </is>
      </c>
      <c r="L818" s="2" t="inlineStr">
        <is>
          <t>looks outdated (copyright 2015)</t>
        </is>
      </c>
      <c r="M818" s="2" t="inlineStr">
        <is>
          <t>Hi Filtered Faces Aesthetics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8" s="4" t="inlineStr">
        <is>
          <t>Open map</t>
        </is>
      </c>
      <c r="O818" s="2" t="inlineStr">
        <is>
          <t>Not contacted</t>
        </is>
      </c>
      <c r="P818" s="2" t="inlineStr"/>
      <c r="Q818" s="2" t="inlineStr"/>
      <c r="R818" s="2" t="inlineStr"/>
      <c r="S818" s="2" t="inlineStr"/>
    </row>
    <row r="819">
      <c r="A819" s="2" t="n">
        <v>818</v>
      </c>
      <c r="B819" s="6" t="inlineStr">
        <is>
          <t>MEDIUM</t>
        </is>
      </c>
      <c r="C819" s="2" t="inlineStr">
        <is>
          <t>Weak website</t>
        </is>
      </c>
      <c r="D819" s="2" t="inlineStr">
        <is>
          <t>Medical On Miami</t>
        </is>
      </c>
      <c r="E819" s="2" t="inlineStr">
        <is>
          <t>medical clinic</t>
        </is>
      </c>
      <c r="F819" s="2" t="inlineStr">
        <is>
          <t>Gold Coast</t>
        </is>
      </c>
      <c r="G819" s="2" t="inlineStr">
        <is>
          <t>Instagram</t>
        </is>
      </c>
      <c r="H819" s="4" t="inlineStr">
        <is>
          <t>https://www.instagram.com/medicalonmiami</t>
        </is>
      </c>
      <c r="I819" s="4" t="inlineStr">
        <is>
          <t>https://www.facebook.com/medicalonmiami</t>
        </is>
      </c>
      <c r="J819" s="2" t="inlineStr">
        <is>
          <t>+61 7 5576 5832</t>
        </is>
      </c>
      <c r="K819" s="4" t="inlineStr">
        <is>
          <t>https://medicalonmiami.com.au/</t>
        </is>
      </c>
      <c r="L819" s="2" t="inlineStr">
        <is>
          <t>looks outdated (copyright 2022)</t>
        </is>
      </c>
      <c r="M819" s="2" t="inlineStr">
        <is>
          <t>Hi Medical On Miami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9" s="4" t="inlineStr">
        <is>
          <t>Open map</t>
        </is>
      </c>
      <c r="O819" s="2" t="inlineStr">
        <is>
          <t>Not contacted</t>
        </is>
      </c>
      <c r="P819" s="2" t="inlineStr"/>
      <c r="Q819" s="2" t="inlineStr"/>
      <c r="R819" s="2" t="inlineStr"/>
      <c r="S819" s="2" t="inlineStr"/>
    </row>
    <row r="820">
      <c r="A820" s="2" t="n">
        <v>819</v>
      </c>
      <c r="B820" s="6" t="inlineStr">
        <is>
          <t>MEDIUM</t>
        </is>
      </c>
      <c r="C820" s="2" t="inlineStr">
        <is>
          <t>Weak website</t>
        </is>
      </c>
      <c r="D820" s="2" t="inlineStr">
        <is>
          <t>Mermaid Central Medical Clinic</t>
        </is>
      </c>
      <c r="E820" s="2" t="inlineStr">
        <is>
          <t>medical clinic</t>
        </is>
      </c>
      <c r="F820" s="2" t="inlineStr">
        <is>
          <t>Gold Coast</t>
        </is>
      </c>
      <c r="G820" s="2" t="inlineStr">
        <is>
          <t>Instagram</t>
        </is>
      </c>
      <c r="H820" s="4" t="inlineStr">
        <is>
          <t>https://www.instagram.com/mermaidcentralmc</t>
        </is>
      </c>
      <c r="I820" s="4" t="inlineStr">
        <is>
          <t>https://www.facebook.com/mermaidcentralmc</t>
        </is>
      </c>
      <c r="J820" s="2" t="inlineStr">
        <is>
          <t>+61 7 5575 2444</t>
        </is>
      </c>
      <c r="K820" s="4" t="inlineStr">
        <is>
          <t>https://www.mermaidcentralmedicalclinic.com.au/index.php</t>
        </is>
      </c>
      <c r="L820" s="2" t="inlineStr">
        <is>
          <t>missing meta description; slow to load (3.2s)</t>
        </is>
      </c>
      <c r="M820" s="2" t="inlineStr">
        <is>
          <t>Hi Mermaid Central Medical Clinic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20" s="4" t="inlineStr">
        <is>
          <t>Open map</t>
        </is>
      </c>
      <c r="O820" s="2" t="inlineStr">
        <is>
          <t>Not contacted</t>
        </is>
      </c>
      <c r="P820" s="2" t="inlineStr"/>
      <c r="Q820" s="2" t="inlineStr"/>
      <c r="R820" s="2" t="inlineStr"/>
      <c r="S820" s="2" t="inlineStr"/>
    </row>
    <row r="821">
      <c r="A821" s="2" t="n">
        <v>820</v>
      </c>
      <c r="B821" s="6" t="inlineStr">
        <is>
          <t>MEDIUM</t>
        </is>
      </c>
      <c r="C821" s="2" t="inlineStr">
        <is>
          <t>Weak website</t>
        </is>
      </c>
      <c r="D821" s="2" t="inlineStr">
        <is>
          <t>My Green Medical</t>
        </is>
      </c>
      <c r="E821" s="2" t="inlineStr">
        <is>
          <t>medical clinic</t>
        </is>
      </c>
      <c r="F821" s="2" t="inlineStr">
        <is>
          <t>Gold Coast</t>
        </is>
      </c>
      <c r="G821" s="2" t="inlineStr">
        <is>
          <t>Instagram</t>
        </is>
      </c>
      <c r="H821" s="4" t="inlineStr">
        <is>
          <t>https://www.instagram.com/mygreenmedical</t>
        </is>
      </c>
      <c r="I821" s="4" t="inlineStr">
        <is>
          <t>https://www.facebook.com/profile.php</t>
        </is>
      </c>
      <c r="J821" s="2" t="inlineStr">
        <is>
          <t>+61 7 5621 1582</t>
        </is>
      </c>
      <c r="K821" s="4" t="inlineStr">
        <is>
          <t>https://www.mygreenmedical.com.au/location-bundall/</t>
        </is>
      </c>
      <c r="L821" s="2" t="inlineStr">
        <is>
          <t>looks outdated (copyright 2022)</t>
        </is>
      </c>
      <c r="M821" s="2" t="inlineStr">
        <is>
          <t>Hi My Green Medical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1" s="4" t="inlineStr">
        <is>
          <t>Open map</t>
        </is>
      </c>
      <c r="O821" s="2" t="inlineStr">
        <is>
          <t>Not contacted</t>
        </is>
      </c>
      <c r="P821" s="2" t="inlineStr"/>
      <c r="Q821" s="2" t="inlineStr"/>
      <c r="R821" s="2" t="inlineStr"/>
      <c r="S821" s="2" t="inlineStr"/>
    </row>
    <row r="822">
      <c r="A822" s="2" t="n">
        <v>821</v>
      </c>
      <c r="B822" s="6" t="inlineStr">
        <is>
          <t>MEDIUM</t>
        </is>
      </c>
      <c r="C822" s="2" t="inlineStr">
        <is>
          <t>Weak website</t>
        </is>
      </c>
      <c r="D822" s="2" t="inlineStr">
        <is>
          <t>Optimal Health Chiropractic</t>
        </is>
      </c>
      <c r="E822" s="2" t="inlineStr">
        <is>
          <t>medical clinic</t>
        </is>
      </c>
      <c r="F822" s="2" t="inlineStr">
        <is>
          <t>Gold Coast</t>
        </is>
      </c>
      <c r="G822" s="2" t="inlineStr">
        <is>
          <t>Instagram</t>
        </is>
      </c>
      <c r="H822" s="4" t="inlineStr">
        <is>
          <t>http://instagram.com/optimalhealth_gc</t>
        </is>
      </c>
      <c r="I822" s="4" t="inlineStr">
        <is>
          <t>https://www.facebook.com/OptimalHealthGc</t>
        </is>
      </c>
      <c r="J822" s="2" t="inlineStr">
        <is>
          <t>+61 7 5657 3600</t>
        </is>
      </c>
      <c r="K822" s="4" t="inlineStr">
        <is>
          <t>http://www.optimalhealthgc.com.au/</t>
        </is>
      </c>
      <c r="L822" s="2" t="inlineStr">
        <is>
          <t>no HTTPS (browser shows 'Not secure')</t>
        </is>
      </c>
      <c r="M822" s="2" t="inlineStr">
        <is>
          <t>Hi Optimal Health Chiropractic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2" s="4" t="inlineStr">
        <is>
          <t>Open map</t>
        </is>
      </c>
      <c r="O822" s="2" t="inlineStr">
        <is>
          <t>Not contacted</t>
        </is>
      </c>
      <c r="P822" s="2" t="inlineStr"/>
      <c r="Q822" s="2" t="inlineStr"/>
      <c r="R822" s="2" t="inlineStr"/>
      <c r="S822" s="2" t="inlineStr"/>
    </row>
    <row r="823">
      <c r="A823" s="2" t="n">
        <v>822</v>
      </c>
      <c r="B823" s="6" t="inlineStr">
        <is>
          <t>MEDIUM</t>
        </is>
      </c>
      <c r="C823" s="2" t="inlineStr">
        <is>
          <t>Weak website</t>
        </is>
      </c>
      <c r="D823" s="2" t="inlineStr">
        <is>
          <t>Robina Village Medical Centre</t>
        </is>
      </c>
      <c r="E823" s="2" t="inlineStr">
        <is>
          <t>medical clinic</t>
        </is>
      </c>
      <c r="F823" s="2" t="inlineStr">
        <is>
          <t>Gold Coast</t>
        </is>
      </c>
      <c r="G823" s="2" t="inlineStr">
        <is>
          <t>Instagram</t>
        </is>
      </c>
      <c r="H823" s="4" t="inlineStr">
        <is>
          <t>https://www.instagram.com/robinavillagemedicalcentre</t>
        </is>
      </c>
      <c r="I823" s="4" t="inlineStr">
        <is>
          <t>https://www.facebook.com/100812578168280</t>
        </is>
      </c>
      <c r="J823" s="2" t="inlineStr">
        <is>
          <t>+61 7 5593 1266</t>
        </is>
      </c>
      <c r="K823" s="4" t="inlineStr">
        <is>
          <t>https://robinavillagemedical.com.au/</t>
        </is>
      </c>
      <c r="L823" s="2" t="inlineStr">
        <is>
          <t>looks outdated (copyright 2023)</t>
        </is>
      </c>
      <c r="M823" s="2" t="inlineStr">
        <is>
          <t>Hi Robina Village Medical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3" s="4" t="inlineStr">
        <is>
          <t>Open map</t>
        </is>
      </c>
      <c r="O823" s="2" t="inlineStr">
        <is>
          <t>Not contacted</t>
        </is>
      </c>
      <c r="P823" s="2" t="inlineStr"/>
      <c r="Q823" s="2" t="inlineStr"/>
      <c r="R823" s="2" t="inlineStr"/>
      <c r="S823" s="2" t="inlineStr"/>
    </row>
    <row r="824">
      <c r="A824" s="2" t="n">
        <v>823</v>
      </c>
      <c r="B824" s="6" t="inlineStr">
        <is>
          <t>MEDIUM</t>
        </is>
      </c>
      <c r="C824" s="2" t="inlineStr">
        <is>
          <t>Weak website</t>
        </is>
      </c>
      <c r="D824" s="2" t="inlineStr">
        <is>
          <t>Tamborine Mountain Medical Practice</t>
        </is>
      </c>
      <c r="E824" s="2" t="inlineStr">
        <is>
          <t>medical clinic</t>
        </is>
      </c>
      <c r="F824" s="2" t="inlineStr">
        <is>
          <t>Gold Coast</t>
        </is>
      </c>
      <c r="G824" s="2" t="inlineStr">
        <is>
          <t>Facebook</t>
        </is>
      </c>
      <c r="H824" s="2" t="inlineStr"/>
      <c r="I824" s="4" t="inlineStr">
        <is>
          <t>https://www.facebook.com/Tamborine-Mountain-Medical-Practice-875436596124506</t>
        </is>
      </c>
      <c r="J824" s="2" t="inlineStr"/>
      <c r="K824" s="4" t="inlineStr">
        <is>
          <t>https://www.tmmp.com.au/</t>
        </is>
      </c>
      <c r="L824" s="2" t="inlineStr">
        <is>
          <t>looks outdated (copyright 2019); missing meta description</t>
        </is>
      </c>
      <c r="M824" s="2" t="inlineStr">
        <is>
          <t>Hi Tamborine Mountain Medical Practice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4" s="4" t="inlineStr">
        <is>
          <t>Open map</t>
        </is>
      </c>
      <c r="O824" s="2" t="inlineStr">
        <is>
          <t>Not contacted</t>
        </is>
      </c>
      <c r="P824" s="2" t="inlineStr"/>
      <c r="Q824" s="2" t="inlineStr"/>
      <c r="R824" s="2" t="inlineStr"/>
      <c r="S824" s="2" t="inlineStr"/>
    </row>
    <row r="825">
      <c r="A825" s="2" t="n">
        <v>824</v>
      </c>
      <c r="B825" s="6" t="inlineStr">
        <is>
          <t>MEDIUM</t>
        </is>
      </c>
      <c r="C825" s="2" t="inlineStr">
        <is>
          <t>Weak website</t>
        </is>
      </c>
      <c r="D825" s="2" t="inlineStr">
        <is>
          <t>The Cardiac Center</t>
        </is>
      </c>
      <c r="E825" s="2" t="inlineStr">
        <is>
          <t>medical clinic</t>
        </is>
      </c>
      <c r="F825" s="2" t="inlineStr">
        <is>
          <t>Gold Coast</t>
        </is>
      </c>
      <c r="G825" s="2" t="inlineStr">
        <is>
          <t>Facebook</t>
        </is>
      </c>
      <c r="H825" s="2" t="inlineStr"/>
      <c r="I825" s="4" t="inlineStr">
        <is>
          <t>https://www.facebook.com/TheCardiacCtr</t>
        </is>
      </c>
      <c r="J825" s="2" t="inlineStr">
        <is>
          <t>+61 7 5598 0322</t>
        </is>
      </c>
      <c r="K825" s="4" t="inlineStr">
        <is>
          <t>https://www.cardiac-centre.com.au/</t>
        </is>
      </c>
      <c r="L825" s="2" t="inlineStr">
        <is>
          <t>slow to load (3.7s)</t>
        </is>
      </c>
      <c r="M825" s="2" t="inlineStr">
        <is>
          <t>Hi The Cardiac Center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25" s="4" t="inlineStr">
        <is>
          <t>Open map</t>
        </is>
      </c>
      <c r="O825" s="2" t="inlineStr">
        <is>
          <t>Not contacted</t>
        </is>
      </c>
      <c r="P825" s="2" t="inlineStr"/>
      <c r="Q825" s="2" t="inlineStr"/>
      <c r="R825" s="2" t="inlineStr"/>
      <c r="S825" s="2" t="inlineStr"/>
    </row>
    <row r="826">
      <c r="A826" s="2" t="n">
        <v>825</v>
      </c>
      <c r="B826" s="6" t="inlineStr">
        <is>
          <t>MEDIUM</t>
        </is>
      </c>
      <c r="C826" s="2" t="inlineStr">
        <is>
          <t>Weak website</t>
        </is>
      </c>
      <c r="D826" s="2" t="inlineStr">
        <is>
          <t>Hope Island Optical</t>
        </is>
      </c>
      <c r="E826" s="2" t="inlineStr">
        <is>
          <t>optometrist</t>
        </is>
      </c>
      <c r="F826" s="2" t="inlineStr">
        <is>
          <t>Gold Coast</t>
        </is>
      </c>
      <c r="G826" s="2" t="inlineStr">
        <is>
          <t>Instagram</t>
        </is>
      </c>
      <c r="H826" s="4" t="inlineStr">
        <is>
          <t>https://www.instagram.com/concretecms</t>
        </is>
      </c>
      <c r="I826" s="4" t="inlineStr">
        <is>
          <t>https://www.facebook.com/concretecms</t>
        </is>
      </c>
      <c r="J826" s="2" t="inlineStr">
        <is>
          <t>+61 7 5676 6491</t>
        </is>
      </c>
      <c r="K826" s="4" t="inlineStr">
        <is>
          <t>https://www.hopeislandoptometrist.com.au/</t>
        </is>
      </c>
      <c r="L826" s="2" t="inlineStr">
        <is>
          <t>missing meta description</t>
        </is>
      </c>
      <c r="M826" s="2" t="inlineStr">
        <is>
          <t>Hi Hope Island Optical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6" s="4" t="inlineStr">
        <is>
          <t>Open map</t>
        </is>
      </c>
      <c r="O826" s="2" t="inlineStr">
        <is>
          <t>Not contacted</t>
        </is>
      </c>
      <c r="P826" s="2" t="inlineStr"/>
      <c r="Q826" s="2" t="inlineStr"/>
      <c r="R826" s="2" t="inlineStr"/>
      <c r="S826" s="2" t="inlineStr"/>
    </row>
    <row r="827">
      <c r="A827" s="2" t="n">
        <v>826</v>
      </c>
      <c r="B827" s="6" t="inlineStr">
        <is>
          <t>MEDIUM</t>
        </is>
      </c>
      <c r="C827" s="2" t="inlineStr">
        <is>
          <t>Weak website</t>
        </is>
      </c>
      <c r="D827" s="2" t="inlineStr">
        <is>
          <t>Vue Optometrists</t>
        </is>
      </c>
      <c r="E827" s="2" t="inlineStr">
        <is>
          <t>optometrist</t>
        </is>
      </c>
      <c r="F827" s="2" t="inlineStr">
        <is>
          <t>Gold Coast</t>
        </is>
      </c>
      <c r="G827" s="2" t="inlineStr">
        <is>
          <t>Instagram</t>
        </is>
      </c>
      <c r="H827" s="4" t="inlineStr">
        <is>
          <t>https://www.instagram.com/vueoptometrists</t>
        </is>
      </c>
      <c r="I827" s="4" t="inlineStr">
        <is>
          <t>https://www.facebook.com/search/top</t>
        </is>
      </c>
      <c r="J827" s="2" t="inlineStr"/>
      <c r="K827" s="4" t="inlineStr">
        <is>
          <t>https://vueoptometrists.com.au/</t>
        </is>
      </c>
      <c r="L827" s="2" t="inlineStr">
        <is>
          <t>slow to load (4.1s)</t>
        </is>
      </c>
      <c r="M827" s="2" t="inlineStr">
        <is>
          <t>Hi Vue Optometrists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27" s="4" t="inlineStr">
        <is>
          <t>Open map</t>
        </is>
      </c>
      <c r="O827" s="2" t="inlineStr">
        <is>
          <t>Not contacted</t>
        </is>
      </c>
      <c r="P827" s="2" t="inlineStr"/>
      <c r="Q827" s="2" t="inlineStr"/>
      <c r="R827" s="2" t="inlineStr"/>
      <c r="S827" s="2" t="inlineStr"/>
    </row>
    <row r="828">
      <c r="A828" s="2" t="n">
        <v>827</v>
      </c>
      <c r="B828" s="6" t="inlineStr">
        <is>
          <t>MEDIUM</t>
        </is>
      </c>
      <c r="C828" s="2" t="inlineStr">
        <is>
          <t>Weak website</t>
        </is>
      </c>
      <c r="D828" s="2" t="inlineStr">
        <is>
          <t>Curtis Street Vets</t>
        </is>
      </c>
      <c r="E828" s="2" t="inlineStr">
        <is>
          <t>pet business</t>
        </is>
      </c>
      <c r="F828" s="2" t="inlineStr">
        <is>
          <t>Gold Coast</t>
        </is>
      </c>
      <c r="G828" s="2" t="inlineStr">
        <is>
          <t>Instagram</t>
        </is>
      </c>
      <c r="H828" s="4" t="inlineStr">
        <is>
          <t>https://www.instagram.com/curtisstvets</t>
        </is>
      </c>
      <c r="I828" s="4" t="inlineStr">
        <is>
          <t>https://www.facebook.com/curtisstreetvets</t>
        </is>
      </c>
      <c r="J828" s="2" t="inlineStr">
        <is>
          <t>+61 7 5549 0624</t>
        </is>
      </c>
      <c r="K828" s="4" t="inlineStr">
        <is>
          <t>https://curtisstvets.com.au/</t>
        </is>
      </c>
      <c r="L828" s="2" t="inlineStr">
        <is>
          <t>missing meta description</t>
        </is>
      </c>
      <c r="M828" s="2" t="inlineStr">
        <is>
          <t>Hi Curtis Street Vets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28" s="4" t="inlineStr">
        <is>
          <t>Open map</t>
        </is>
      </c>
      <c r="O828" s="2" t="inlineStr">
        <is>
          <t>Not contacted</t>
        </is>
      </c>
      <c r="P828" s="2" t="inlineStr"/>
      <c r="Q828" s="2" t="inlineStr"/>
      <c r="R828" s="2" t="inlineStr"/>
      <c r="S828" s="2" t="inlineStr"/>
    </row>
    <row r="829">
      <c r="A829" s="2" t="n">
        <v>828</v>
      </c>
      <c r="B829" s="6" t="inlineStr">
        <is>
          <t>MEDIUM</t>
        </is>
      </c>
      <c r="C829" s="2" t="inlineStr">
        <is>
          <t>Weak website</t>
        </is>
      </c>
      <c r="D829" s="2" t="inlineStr">
        <is>
          <t>Peerless Pooches Pet Parlour</t>
        </is>
      </c>
      <c r="E829" s="2" t="inlineStr">
        <is>
          <t>pet business</t>
        </is>
      </c>
      <c r="F829" s="2" t="inlineStr">
        <is>
          <t>Gold Coast</t>
        </is>
      </c>
      <c r="G829" s="2" t="inlineStr">
        <is>
          <t>Instagram</t>
        </is>
      </c>
      <c r="H829" s="4" t="inlineStr">
        <is>
          <t>https://www.instagram.com/peerless_pooches</t>
        </is>
      </c>
      <c r="I829" s="2" t="inlineStr"/>
      <c r="J829" s="2" t="inlineStr">
        <is>
          <t>+61 7 5574 4769</t>
        </is>
      </c>
      <c r="K829" s="4" t="inlineStr">
        <is>
          <t>https://peerlesspooches.com.au/</t>
        </is>
      </c>
      <c r="L829" s="2" t="inlineStr">
        <is>
          <t>missing meta description; slow to load (9.8s)</t>
        </is>
      </c>
      <c r="M829" s="2" t="inlineStr">
        <is>
          <t>Hi Peerless Pooches Pet Parlour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29" s="4" t="inlineStr">
        <is>
          <t>Open map</t>
        </is>
      </c>
      <c r="O829" s="2" t="inlineStr">
        <is>
          <t>Not contacted</t>
        </is>
      </c>
      <c r="P829" s="2" t="inlineStr"/>
      <c r="Q829" s="2" t="inlineStr"/>
      <c r="R829" s="2" t="inlineStr"/>
      <c r="S829" s="2" t="inlineStr"/>
    </row>
    <row r="830">
      <c r="A830" s="2" t="n">
        <v>829</v>
      </c>
      <c r="B830" s="6" t="inlineStr">
        <is>
          <t>MEDIUM</t>
        </is>
      </c>
      <c r="C830" s="2" t="inlineStr">
        <is>
          <t>Weak website</t>
        </is>
      </c>
      <c r="D830" s="2" t="inlineStr">
        <is>
          <t>Pet Wellness Centre Burleigh Heads</t>
        </is>
      </c>
      <c r="E830" s="2" t="inlineStr">
        <is>
          <t>pet business</t>
        </is>
      </c>
      <c r="F830" s="2" t="inlineStr">
        <is>
          <t>Gold Coast</t>
        </is>
      </c>
      <c r="G830" s="2" t="inlineStr">
        <is>
          <t>Instagram</t>
        </is>
      </c>
      <c r="H830" s="4" t="inlineStr">
        <is>
          <t>https://www.instagram.com/petwellnesscentres</t>
        </is>
      </c>
      <c r="I830" s="4" t="inlineStr">
        <is>
          <t>https://www.facebook.com/petwellnesscentres</t>
        </is>
      </c>
      <c r="J830" s="2" t="inlineStr">
        <is>
          <t>+61 7 5532 2011</t>
        </is>
      </c>
      <c r="K830" s="4" t="inlineStr">
        <is>
          <t>https://petwellnesscentres.com.au/</t>
        </is>
      </c>
      <c r="L830" s="2" t="inlineStr">
        <is>
          <t>missing meta description</t>
        </is>
      </c>
      <c r="M830" s="2" t="inlineStr">
        <is>
          <t>Hi Pet Wellness Centre Burleigh Heads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0" s="4" t="inlineStr">
        <is>
          <t>Open map</t>
        </is>
      </c>
      <c r="O830" s="2" t="inlineStr">
        <is>
          <t>Not contacted</t>
        </is>
      </c>
      <c r="P830" s="2" t="inlineStr"/>
      <c r="Q830" s="2" t="inlineStr"/>
      <c r="R830" s="2" t="inlineStr"/>
      <c r="S830" s="2" t="inlineStr"/>
    </row>
    <row r="831">
      <c r="A831" s="2" t="n">
        <v>830</v>
      </c>
      <c r="B831" s="6" t="inlineStr">
        <is>
          <t>MEDIUM</t>
        </is>
      </c>
      <c r="C831" s="2" t="inlineStr">
        <is>
          <t>Weak website</t>
        </is>
      </c>
      <c r="D831" s="2" t="inlineStr">
        <is>
          <t>Vetcall Mudgeeraba</t>
        </is>
      </c>
      <c r="E831" s="2" t="inlineStr">
        <is>
          <t>pet business</t>
        </is>
      </c>
      <c r="F831" s="2" t="inlineStr">
        <is>
          <t>Gold Coast</t>
        </is>
      </c>
      <c r="G831" s="2" t="inlineStr">
        <is>
          <t>Instagram</t>
        </is>
      </c>
      <c r="H831" s="4" t="inlineStr">
        <is>
          <t>https://www.instagram.com/vetcallmudgeeraba</t>
        </is>
      </c>
      <c r="I831" s="4" t="inlineStr">
        <is>
          <t>https://www.facebook.com/vetcallmudgeeraba</t>
        </is>
      </c>
      <c r="J831" s="2" t="inlineStr">
        <is>
          <t>+61 7 5530 2204</t>
        </is>
      </c>
      <c r="K831" s="4" t="inlineStr">
        <is>
          <t>https://vetcallmudgeeraba.com.au/</t>
        </is>
      </c>
      <c r="L831" s="2" t="inlineStr">
        <is>
          <t>slow to load (3.6s)</t>
        </is>
      </c>
      <c r="M831" s="2" t="inlineStr">
        <is>
          <t>Hi Vetcall Mudgeeraba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31" s="4" t="inlineStr">
        <is>
          <t>Open map</t>
        </is>
      </c>
      <c r="O831" s="2" t="inlineStr">
        <is>
          <t>Not contacted</t>
        </is>
      </c>
      <c r="P831" s="2" t="inlineStr"/>
      <c r="Q831" s="2" t="inlineStr"/>
      <c r="R831" s="2" t="inlineStr"/>
      <c r="S831" s="2" t="inlineStr"/>
    </row>
    <row r="832">
      <c r="A832" s="2" t="n">
        <v>831</v>
      </c>
      <c r="B832" s="6" t="inlineStr">
        <is>
          <t>MEDIUM</t>
        </is>
      </c>
      <c r="C832" s="2" t="inlineStr">
        <is>
          <t>Weak website</t>
        </is>
      </c>
      <c r="D832" s="2" t="inlineStr">
        <is>
          <t>Active Hand Therapy</t>
        </is>
      </c>
      <c r="E832" s="2" t="inlineStr">
        <is>
          <t>physiotherapist</t>
        </is>
      </c>
      <c r="F832" s="2" t="inlineStr">
        <is>
          <t>Gold Coast</t>
        </is>
      </c>
      <c r="G832" s="2" t="inlineStr">
        <is>
          <t>Facebook</t>
        </is>
      </c>
      <c r="H832" s="2" t="inlineStr"/>
      <c r="I832" s="4" t="inlineStr">
        <is>
          <t>https://www.facebook.com/ActiveHandTherapyGoldCoast</t>
        </is>
      </c>
      <c r="J832" s="2" t="inlineStr">
        <is>
          <t>+61 7 5526 4066</t>
        </is>
      </c>
      <c r="K832" s="4" t="inlineStr">
        <is>
          <t>https://activehandtherapy.com.au/</t>
        </is>
      </c>
      <c r="L832" s="2" t="inlineStr">
        <is>
          <t>looks outdated (copyright 2015)</t>
        </is>
      </c>
      <c r="M832" s="2" t="inlineStr">
        <is>
          <t>Hi Active Hand Therapy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2" s="4" t="inlineStr">
        <is>
          <t>Open map</t>
        </is>
      </c>
      <c r="O832" s="2" t="inlineStr">
        <is>
          <t>Not contacted</t>
        </is>
      </c>
      <c r="P832" s="2" t="inlineStr"/>
      <c r="Q832" s="2" t="inlineStr"/>
      <c r="R832" s="2" t="inlineStr"/>
      <c r="S832" s="2" t="inlineStr"/>
    </row>
    <row r="833">
      <c r="A833" s="2" t="n">
        <v>832</v>
      </c>
      <c r="B833" s="6" t="inlineStr">
        <is>
          <t>MEDIUM</t>
        </is>
      </c>
      <c r="C833" s="2" t="inlineStr">
        <is>
          <t>Weak website</t>
        </is>
      </c>
      <c r="D833" s="2" t="inlineStr">
        <is>
          <t>Atlantis Recovery Centre</t>
        </is>
      </c>
      <c r="E833" s="2" t="inlineStr">
        <is>
          <t>physiotherapist</t>
        </is>
      </c>
      <c r="F833" s="2" t="inlineStr">
        <is>
          <t>Gold Coast</t>
        </is>
      </c>
      <c r="G833" s="2" t="inlineStr">
        <is>
          <t>Instagram</t>
        </is>
      </c>
      <c r="H833" s="4" t="inlineStr">
        <is>
          <t>https://www.instagram.com/atlantisrc_</t>
        </is>
      </c>
      <c r="I833" s="4" t="inlineStr">
        <is>
          <t>https://www.facebook.com/atlantisrecoverycentre</t>
        </is>
      </c>
      <c r="J833" s="2" t="inlineStr">
        <is>
          <t>+61 7 5610 2312</t>
        </is>
      </c>
      <c r="K833" s="4" t="inlineStr">
        <is>
          <t>https://atlantisrc.com.au/</t>
        </is>
      </c>
      <c r="L833" s="2" t="inlineStr">
        <is>
          <t>missing meta description</t>
        </is>
      </c>
      <c r="M833" s="2" t="inlineStr">
        <is>
          <t>Hi Atlantis Recovery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3" s="4" t="inlineStr">
        <is>
          <t>Open map</t>
        </is>
      </c>
      <c r="O833" s="2" t="inlineStr">
        <is>
          <t>Not contacted</t>
        </is>
      </c>
      <c r="P833" s="2" t="inlineStr"/>
      <c r="Q833" s="2" t="inlineStr"/>
      <c r="R833" s="2" t="inlineStr"/>
      <c r="S833" s="2" t="inlineStr"/>
    </row>
    <row r="834">
      <c r="A834" s="2" t="n">
        <v>833</v>
      </c>
      <c r="B834" s="6" t="inlineStr">
        <is>
          <t>MEDIUM</t>
        </is>
      </c>
      <c r="C834" s="2" t="inlineStr">
        <is>
          <t>Weak website</t>
        </is>
      </c>
      <c r="D834" s="2" t="inlineStr">
        <is>
          <t>Back In Motion Bundall</t>
        </is>
      </c>
      <c r="E834" s="2" t="inlineStr">
        <is>
          <t>physiotherapist</t>
        </is>
      </c>
      <c r="F834" s="2" t="inlineStr">
        <is>
          <t>Gold Coast</t>
        </is>
      </c>
      <c r="G834" s="2" t="inlineStr">
        <is>
          <t>Instagram</t>
        </is>
      </c>
      <c r="H834" s="4" t="inlineStr">
        <is>
          <t>https://www.instagram.com/back_in_motion_bundall</t>
        </is>
      </c>
      <c r="I834" s="4" t="inlineStr">
        <is>
          <t>https://www.facebook.com/backinmotionbundall</t>
        </is>
      </c>
      <c r="J834" s="2" t="inlineStr">
        <is>
          <t>+61 7 5592 4141</t>
        </is>
      </c>
      <c r="K834" s="4" t="inlineStr">
        <is>
          <t>https://www.backinmotion.com.au/bundall</t>
        </is>
      </c>
      <c r="L834" s="2" t="inlineStr">
        <is>
          <t>slow to load (5.5s)</t>
        </is>
      </c>
      <c r="M834" s="2" t="inlineStr">
        <is>
          <t>Hi Back In Motion Bundall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34" s="4" t="inlineStr">
        <is>
          <t>Open map</t>
        </is>
      </c>
      <c r="O834" s="2" t="inlineStr">
        <is>
          <t>Not contacted</t>
        </is>
      </c>
      <c r="P834" s="2" t="inlineStr"/>
      <c r="Q834" s="2" t="inlineStr"/>
      <c r="R834" s="2" t="inlineStr"/>
      <c r="S834" s="2" t="inlineStr"/>
    </row>
    <row r="835">
      <c r="A835" s="2" t="n">
        <v>834</v>
      </c>
      <c r="B835" s="6" t="inlineStr">
        <is>
          <t>MEDIUM</t>
        </is>
      </c>
      <c r="C835" s="2" t="inlineStr">
        <is>
          <t>Weak website</t>
        </is>
      </c>
      <c r="D835" s="2" t="inlineStr">
        <is>
          <t>Bell Place Physiotherapy</t>
        </is>
      </c>
      <c r="E835" s="2" t="inlineStr">
        <is>
          <t>physiotherapist</t>
        </is>
      </c>
      <c r="F835" s="2" t="inlineStr">
        <is>
          <t>Gold Coast</t>
        </is>
      </c>
      <c r="G835" s="2" t="inlineStr">
        <is>
          <t>Instagram</t>
        </is>
      </c>
      <c r="H835" s="4" t="inlineStr">
        <is>
          <t>https://www.instagram.com/bellplacephysiotherapy</t>
        </is>
      </c>
      <c r="I835" s="4" t="inlineStr">
        <is>
          <t>https://www.facebook.com/BellPlacePhysiotherapy/services</t>
        </is>
      </c>
      <c r="J835" s="2" t="inlineStr">
        <is>
          <t>+61 7 5530 3411</t>
        </is>
      </c>
      <c r="K835" s="4" t="inlineStr">
        <is>
          <t>https://www.bellplacephysiotherapy.com.au/</t>
        </is>
      </c>
      <c r="L835" s="2" t="inlineStr">
        <is>
          <t>missing meta description; slow to load (13.4s)</t>
        </is>
      </c>
      <c r="M835" s="2" t="inlineStr">
        <is>
          <t>Hi Bell Place Physiotherapy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35" s="4" t="inlineStr">
        <is>
          <t>Open map</t>
        </is>
      </c>
      <c r="O835" s="2" t="inlineStr">
        <is>
          <t>Not contacted</t>
        </is>
      </c>
      <c r="P835" s="2" t="inlineStr"/>
      <c r="Q835" s="2" t="inlineStr"/>
      <c r="R835" s="2" t="inlineStr"/>
      <c r="S835" s="2" t="inlineStr"/>
    </row>
    <row r="836">
      <c r="A836" s="2" t="n">
        <v>835</v>
      </c>
      <c r="B836" s="6" t="inlineStr">
        <is>
          <t>MEDIUM</t>
        </is>
      </c>
      <c r="C836" s="2" t="inlineStr">
        <is>
          <t>Weak website</t>
        </is>
      </c>
      <c r="D836" s="2" t="inlineStr">
        <is>
          <t>Ferry Rd Physio andFunctional Therapies</t>
        </is>
      </c>
      <c r="E836" s="2" t="inlineStr">
        <is>
          <t>physiotherapist</t>
        </is>
      </c>
      <c r="F836" s="2" t="inlineStr">
        <is>
          <t>Gold Coast</t>
        </is>
      </c>
      <c r="G836" s="2" t="inlineStr">
        <is>
          <t>Instagram</t>
        </is>
      </c>
      <c r="H836" s="4" t="inlineStr">
        <is>
          <t>https://www.instagram.com/ferry_rd_physio</t>
        </is>
      </c>
      <c r="I836" s="4" t="inlineStr">
        <is>
          <t>https://www.facebook.com/ferryrdphysio</t>
        </is>
      </c>
      <c r="J836" s="2" t="inlineStr">
        <is>
          <t>+61 7 5532 0999</t>
        </is>
      </c>
      <c r="K836" s="4" t="inlineStr">
        <is>
          <t>https://www.ferryrdphysio.com.au/</t>
        </is>
      </c>
      <c r="L836" s="2" t="inlineStr">
        <is>
          <t>looks outdated (copyright 2015)</t>
        </is>
      </c>
      <c r="M836" s="2" t="inlineStr">
        <is>
          <t>Hi Ferry Rd Physio andFunctional Therapies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6" s="4" t="inlineStr">
        <is>
          <t>Open map</t>
        </is>
      </c>
      <c r="O836" s="2" t="inlineStr">
        <is>
          <t>Not contacted</t>
        </is>
      </c>
      <c r="P836" s="2" t="inlineStr"/>
      <c r="Q836" s="2" t="inlineStr"/>
      <c r="R836" s="2" t="inlineStr"/>
      <c r="S836" s="2" t="inlineStr"/>
    </row>
    <row r="837">
      <c r="A837" s="2" t="n">
        <v>836</v>
      </c>
      <c r="B837" s="6" t="inlineStr">
        <is>
          <t>MEDIUM</t>
        </is>
      </c>
      <c r="C837" s="2" t="inlineStr">
        <is>
          <t>Weak website</t>
        </is>
      </c>
      <c r="D837" s="2" t="inlineStr">
        <is>
          <t>Fix My Muscles</t>
        </is>
      </c>
      <c r="E837" s="2" t="inlineStr">
        <is>
          <t>physiotherapist</t>
        </is>
      </c>
      <c r="F837" s="2" t="inlineStr">
        <is>
          <t>Gold Coast</t>
        </is>
      </c>
      <c r="G837" s="2" t="inlineStr">
        <is>
          <t>Instagram</t>
        </is>
      </c>
      <c r="H837" s="4" t="inlineStr">
        <is>
          <t>http://www.instagram.com/fixmymuscleshq</t>
        </is>
      </c>
      <c r="I837" s="4" t="inlineStr">
        <is>
          <t>http://www.facebook.com/fixmymuscleshq</t>
        </is>
      </c>
      <c r="J837" s="2" t="inlineStr">
        <is>
          <t>+61 7 5511 8002</t>
        </is>
      </c>
      <c r="K837" s="4" t="inlineStr">
        <is>
          <t>https://www.fixmymuscles.com.au/</t>
        </is>
      </c>
      <c r="L837" s="2" t="inlineStr">
        <is>
          <t>looks outdated (copyright 2022)</t>
        </is>
      </c>
      <c r="M837" s="2" t="inlineStr">
        <is>
          <t>Hi Fix My Muscles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7" s="4" t="inlineStr">
        <is>
          <t>Open map</t>
        </is>
      </c>
      <c r="O837" s="2" t="inlineStr">
        <is>
          <t>Not contacted</t>
        </is>
      </c>
      <c r="P837" s="2" t="inlineStr"/>
      <c r="Q837" s="2" t="inlineStr"/>
      <c r="R837" s="2" t="inlineStr"/>
      <c r="S837" s="2" t="inlineStr"/>
    </row>
    <row r="838">
      <c r="A838" s="2" t="n">
        <v>837</v>
      </c>
      <c r="B838" s="6" t="inlineStr">
        <is>
          <t>MEDIUM</t>
        </is>
      </c>
      <c r="C838" s="2" t="inlineStr">
        <is>
          <t>Weak website</t>
        </is>
      </c>
      <c r="D838" s="2" t="inlineStr">
        <is>
          <t>A Counting House</t>
        </is>
      </c>
      <c r="E838" s="2" t="inlineStr">
        <is>
          <t>professional services</t>
        </is>
      </c>
      <c r="F838" s="2" t="inlineStr">
        <is>
          <t>Gold Coast</t>
        </is>
      </c>
      <c r="G838" s="2" t="inlineStr">
        <is>
          <t>Instagram</t>
        </is>
      </c>
      <c r="H838" s="4" t="inlineStr">
        <is>
          <t>https://www.instagram.com/acountinghousegc</t>
        </is>
      </c>
      <c r="I838" s="4" t="inlineStr">
        <is>
          <t>https://www.facebook.com/acountinghouseqld</t>
        </is>
      </c>
      <c r="J838" s="2" t="inlineStr">
        <is>
          <t>+61 7 5526 1855</t>
        </is>
      </c>
      <c r="K838" s="4" t="inlineStr">
        <is>
          <t>https://acountinghouse.com/</t>
        </is>
      </c>
      <c r="L838" s="2" t="inlineStr">
        <is>
          <t>slow to load (3.2s)</t>
        </is>
      </c>
      <c r="M838" s="2" t="inlineStr">
        <is>
          <t>Hi A Counting House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38" s="4" t="inlineStr">
        <is>
          <t>Open map</t>
        </is>
      </c>
      <c r="O838" s="2" t="inlineStr">
        <is>
          <t>Not contacted</t>
        </is>
      </c>
      <c r="P838" s="2" t="inlineStr"/>
      <c r="Q838" s="2" t="inlineStr"/>
      <c r="R838" s="2" t="inlineStr"/>
      <c r="S838" s="2" t="inlineStr"/>
    </row>
    <row r="839">
      <c r="A839" s="2" t="n">
        <v>838</v>
      </c>
      <c r="B839" s="6" t="inlineStr">
        <is>
          <t>MEDIUM</t>
        </is>
      </c>
      <c r="C839" s="2" t="inlineStr">
        <is>
          <t>Weak website</t>
        </is>
      </c>
      <c r="D839" s="2" t="inlineStr">
        <is>
          <t>Accounting Edge</t>
        </is>
      </c>
      <c r="E839" s="2" t="inlineStr">
        <is>
          <t>professional services</t>
        </is>
      </c>
      <c r="F839" s="2" t="inlineStr">
        <is>
          <t>Gold Coast</t>
        </is>
      </c>
      <c r="G839" s="2" t="inlineStr">
        <is>
          <t>Facebook</t>
        </is>
      </c>
      <c r="H839" s="2" t="inlineStr"/>
      <c r="I839" s="4" t="inlineStr">
        <is>
          <t>https://www.facebook.com/profile.php</t>
        </is>
      </c>
      <c r="J839" s="2" t="inlineStr">
        <is>
          <t>+61 7 5570 1349</t>
        </is>
      </c>
      <c r="K839" s="4" t="inlineStr">
        <is>
          <t>https://www.accountingedge.com.au/</t>
        </is>
      </c>
      <c r="L839" s="2" t="inlineStr">
        <is>
          <t>looks outdated (copyright 2022); missing meta description</t>
        </is>
      </c>
      <c r="M839" s="2" t="inlineStr">
        <is>
          <t>Hi Accounting Edge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9" s="4" t="inlineStr">
        <is>
          <t>Open map</t>
        </is>
      </c>
      <c r="O839" s="2" t="inlineStr">
        <is>
          <t>Not contacted</t>
        </is>
      </c>
      <c r="P839" s="2" t="inlineStr"/>
      <c r="Q839" s="2" t="inlineStr"/>
      <c r="R839" s="2" t="inlineStr"/>
      <c r="S839" s="2" t="inlineStr"/>
    </row>
    <row r="840">
      <c r="A840" s="2" t="n">
        <v>839</v>
      </c>
      <c r="B840" s="6" t="inlineStr">
        <is>
          <t>MEDIUM</t>
        </is>
      </c>
      <c r="C840" s="2" t="inlineStr">
        <is>
          <t>Weak website</t>
        </is>
      </c>
      <c r="D840" s="2" t="inlineStr">
        <is>
          <t>Bridgland Findlay Accounting</t>
        </is>
      </c>
      <c r="E840" s="2" t="inlineStr">
        <is>
          <t>professional services</t>
        </is>
      </c>
      <c r="F840" s="2" t="inlineStr">
        <is>
          <t>Gold Coast</t>
        </is>
      </c>
      <c r="G840" s="2" t="inlineStr">
        <is>
          <t>Facebook</t>
        </is>
      </c>
      <c r="H840" s="2" t="inlineStr"/>
      <c r="I840" s="4" t="inlineStr">
        <is>
          <t>https://www.facebook.com/BridglandFindlayAccountingPtyLtd</t>
        </is>
      </c>
      <c r="J840" s="2" t="inlineStr">
        <is>
          <t>+61 7 5532 4463</t>
        </is>
      </c>
      <c r="K840" s="4" t="inlineStr">
        <is>
          <t>https://www.bridglandfindlayaccounting.com.au/</t>
        </is>
      </c>
      <c r="L840" s="2" t="inlineStr">
        <is>
          <t>looks outdated (copyright 2020)</t>
        </is>
      </c>
      <c r="M840" s="2" t="inlineStr">
        <is>
          <t>Hi Bridgland Findlay Accounting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40" s="4" t="inlineStr">
        <is>
          <t>Open map</t>
        </is>
      </c>
      <c r="O840" s="2" t="inlineStr">
        <is>
          <t>Not contacted</t>
        </is>
      </c>
      <c r="P840" s="2" t="inlineStr"/>
      <c r="Q840" s="2" t="inlineStr"/>
      <c r="R840" s="2" t="inlineStr"/>
      <c r="S840" s="2" t="inlineStr"/>
    </row>
    <row r="841">
      <c r="A841" s="2" t="n">
        <v>840</v>
      </c>
      <c r="B841" s="6" t="inlineStr">
        <is>
          <t>MEDIUM</t>
        </is>
      </c>
      <c r="C841" s="2" t="inlineStr">
        <is>
          <t>Weak website</t>
        </is>
      </c>
      <c r="D841" s="2" t="inlineStr">
        <is>
          <t>Browns Lawyers</t>
        </is>
      </c>
      <c r="E841" s="2" t="inlineStr">
        <is>
          <t>professional services</t>
        </is>
      </c>
      <c r="F841" s="2" t="inlineStr">
        <is>
          <t>Gold Coast</t>
        </is>
      </c>
      <c r="G841" s="2" t="inlineStr">
        <is>
          <t>Facebook</t>
        </is>
      </c>
      <c r="H841" s="2" t="inlineStr"/>
      <c r="I841" s="4" t="inlineStr">
        <is>
          <t>https://facebook.com/brownslawyers</t>
        </is>
      </c>
      <c r="J841" s="2" t="inlineStr">
        <is>
          <t>+61 7 5535 1822</t>
        </is>
      </c>
      <c r="K841" s="4" t="inlineStr">
        <is>
          <t>https://brownslawyers.com.au</t>
        </is>
      </c>
      <c r="L841" s="2" t="inlineStr">
        <is>
          <t>looks outdated (copyright 2020); missing meta description</t>
        </is>
      </c>
      <c r="M841" s="2" t="inlineStr">
        <is>
          <t>Hi Browns Lawyers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41" s="4" t="inlineStr">
        <is>
          <t>Open map</t>
        </is>
      </c>
      <c r="O841" s="2" t="inlineStr">
        <is>
          <t>Not contacted</t>
        </is>
      </c>
      <c r="P841" s="2" t="inlineStr"/>
      <c r="Q841" s="2" t="inlineStr"/>
      <c r="R841" s="2" t="inlineStr"/>
      <c r="S841" s="2" t="inlineStr"/>
    </row>
    <row r="842">
      <c r="A842" s="2" t="n">
        <v>841</v>
      </c>
      <c r="B842" s="6" t="inlineStr">
        <is>
          <t>MEDIUM</t>
        </is>
      </c>
      <c r="C842" s="2" t="inlineStr">
        <is>
          <t>Weak website</t>
        </is>
      </c>
      <c r="D842" s="2" t="inlineStr">
        <is>
          <t>Diamonds Solicitors</t>
        </is>
      </c>
      <c r="E842" s="2" t="inlineStr">
        <is>
          <t>professional services</t>
        </is>
      </c>
      <c r="F842" s="2" t="inlineStr">
        <is>
          <t>Gold Coast</t>
        </is>
      </c>
      <c r="G842" s="2" t="inlineStr">
        <is>
          <t>Facebook</t>
        </is>
      </c>
      <c r="H842" s="2" t="inlineStr"/>
      <c r="I842" s="4" t="inlineStr">
        <is>
          <t>http://www.facebook.com/diamondssolicitors</t>
        </is>
      </c>
      <c r="J842" s="2" t="inlineStr">
        <is>
          <t>+61 7 5572 5211</t>
        </is>
      </c>
      <c r="K842" s="4" t="inlineStr">
        <is>
          <t>https://www.diamondssolicitors.com.au/contact-us</t>
        </is>
      </c>
      <c r="L842" s="2" t="inlineStr">
        <is>
          <t>slow to load (3.5s)</t>
        </is>
      </c>
      <c r="M842" s="2" t="inlineStr">
        <is>
          <t>Hi Diamonds Solicitors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2" s="4" t="inlineStr">
        <is>
          <t>Open map</t>
        </is>
      </c>
      <c r="O842" s="2" t="inlineStr">
        <is>
          <t>Not contacted</t>
        </is>
      </c>
      <c r="P842" s="2" t="inlineStr"/>
      <c r="Q842" s="2" t="inlineStr"/>
      <c r="R842" s="2" t="inlineStr"/>
      <c r="S842" s="2" t="inlineStr"/>
    </row>
    <row r="843">
      <c r="A843" s="2" t="n">
        <v>842</v>
      </c>
      <c r="B843" s="6" t="inlineStr">
        <is>
          <t>MEDIUM</t>
        </is>
      </c>
      <c r="C843" s="2" t="inlineStr">
        <is>
          <t>Weak website</t>
        </is>
      </c>
      <c r="D843" s="2" t="inlineStr">
        <is>
          <t>Financing Property</t>
        </is>
      </c>
      <c r="E843" s="2" t="inlineStr">
        <is>
          <t>professional services</t>
        </is>
      </c>
      <c r="F843" s="2" t="inlineStr">
        <is>
          <t>Gold Coast</t>
        </is>
      </c>
      <c r="G843" s="2" t="inlineStr">
        <is>
          <t>Instagram</t>
        </is>
      </c>
      <c r="H843" s="4" t="inlineStr">
        <is>
          <t>https://instagram.com/financingproperty</t>
        </is>
      </c>
      <c r="I843" s="4" t="inlineStr">
        <is>
          <t>https://www.facebook.com/financingproperty</t>
        </is>
      </c>
      <c r="J843" s="2" t="inlineStr"/>
      <c r="K843" s="4" t="inlineStr">
        <is>
          <t>https://financingproperty.com.au</t>
        </is>
      </c>
      <c r="L843" s="2" t="inlineStr">
        <is>
          <t>missing meta description; slow to load (3.2s)</t>
        </is>
      </c>
      <c r="M843" s="2" t="inlineStr">
        <is>
          <t>Hi Financing Property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3" s="4" t="inlineStr">
        <is>
          <t>Open map</t>
        </is>
      </c>
      <c r="O843" s="2" t="inlineStr">
        <is>
          <t>Not contacted</t>
        </is>
      </c>
      <c r="P843" s="2" t="inlineStr"/>
      <c r="Q843" s="2" t="inlineStr"/>
      <c r="R843" s="2" t="inlineStr"/>
      <c r="S843" s="2" t="inlineStr"/>
    </row>
    <row r="844">
      <c r="A844" s="2" t="n">
        <v>843</v>
      </c>
      <c r="B844" s="6" t="inlineStr">
        <is>
          <t>MEDIUM</t>
        </is>
      </c>
      <c r="C844" s="2" t="inlineStr">
        <is>
          <t>Weak website</t>
        </is>
      </c>
      <c r="D844" s="2" t="inlineStr">
        <is>
          <t>O’Reilly Workplace Law</t>
        </is>
      </c>
      <c r="E844" s="2" t="inlineStr">
        <is>
          <t>professional services</t>
        </is>
      </c>
      <c r="F844" s="2" t="inlineStr">
        <is>
          <t>Gold Coast</t>
        </is>
      </c>
      <c r="G844" s="2" t="inlineStr">
        <is>
          <t>Instagram</t>
        </is>
      </c>
      <c r="H844" s="4" t="inlineStr">
        <is>
          <t>https://www.instagram.com/oreillyworkplacelaw</t>
        </is>
      </c>
      <c r="I844" s="4" t="inlineStr">
        <is>
          <t>https://www.facebook.com/oreillyworkplacelaw</t>
        </is>
      </c>
      <c r="J844" s="2" t="inlineStr">
        <is>
          <t>+61 7 5535 9979</t>
        </is>
      </c>
      <c r="K844" s="4" t="inlineStr">
        <is>
          <t>https://oreillyworkplacelaw.com.au/</t>
        </is>
      </c>
      <c r="L844" s="2" t="inlineStr">
        <is>
          <t>looks outdated (copyright 2018); slow to load (3.1s)</t>
        </is>
      </c>
      <c r="M844" s="2" t="inlineStr">
        <is>
          <t>Hi O’Reilly Workplace Law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4" s="4" t="inlineStr">
        <is>
          <t>Open map</t>
        </is>
      </c>
      <c r="O844" s="2" t="inlineStr">
        <is>
          <t>Not contacted</t>
        </is>
      </c>
      <c r="P844" s="2" t="inlineStr"/>
      <c r="Q844" s="2" t="inlineStr"/>
      <c r="R844" s="2" t="inlineStr"/>
      <c r="S844" s="2" t="inlineStr"/>
    </row>
    <row r="845">
      <c r="A845" s="2" t="n">
        <v>844</v>
      </c>
      <c r="B845" s="6" t="inlineStr">
        <is>
          <t>MEDIUM</t>
        </is>
      </c>
      <c r="C845" s="2" t="inlineStr">
        <is>
          <t>Weak website</t>
        </is>
      </c>
      <c r="D845" s="2" t="inlineStr">
        <is>
          <t>Peerless Law Firm</t>
        </is>
      </c>
      <c r="E845" s="2" t="inlineStr">
        <is>
          <t>professional services</t>
        </is>
      </c>
      <c r="F845" s="2" t="inlineStr">
        <is>
          <t>Gold Coast</t>
        </is>
      </c>
      <c r="G845" s="2" t="inlineStr">
        <is>
          <t>Instagram</t>
        </is>
      </c>
      <c r="H845" s="4" t="inlineStr">
        <is>
          <t>http://www.instagram.com/peerlesslaw</t>
        </is>
      </c>
      <c r="I845" s="4" t="inlineStr">
        <is>
          <t>http://www.facebook.com/peerlesslaw</t>
        </is>
      </c>
      <c r="J845" s="2" t="inlineStr">
        <is>
          <t>+61 7 5661 6249</t>
        </is>
      </c>
      <c r="K845" s="4" t="inlineStr">
        <is>
          <t>https://www.thepeerless.com.au/</t>
        </is>
      </c>
      <c r="L845" s="2" t="inlineStr">
        <is>
          <t>looks outdated (copyright 2023)</t>
        </is>
      </c>
      <c r="M845" s="2" t="inlineStr">
        <is>
          <t>Hi Peerless Law Firm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45" s="4" t="inlineStr">
        <is>
          <t>Open map</t>
        </is>
      </c>
      <c r="O845" s="2" t="inlineStr">
        <is>
          <t>Not contacted</t>
        </is>
      </c>
      <c r="P845" s="2" t="inlineStr"/>
      <c r="Q845" s="2" t="inlineStr"/>
      <c r="R845" s="2" t="inlineStr"/>
      <c r="S845" s="2" t="inlineStr"/>
    </row>
    <row r="846">
      <c r="A846" s="2" t="n">
        <v>845</v>
      </c>
      <c r="B846" s="6" t="inlineStr">
        <is>
          <t>MEDIUM</t>
        </is>
      </c>
      <c r="C846" s="2" t="inlineStr">
        <is>
          <t>Weak website</t>
        </is>
      </c>
      <c r="D846" s="2" t="inlineStr">
        <is>
          <t>Shipley Crozier Accountants</t>
        </is>
      </c>
      <c r="E846" s="2" t="inlineStr">
        <is>
          <t>professional services</t>
        </is>
      </c>
      <c r="F846" s="2" t="inlineStr">
        <is>
          <t>Gold Coast</t>
        </is>
      </c>
      <c r="G846" s="2" t="inlineStr">
        <is>
          <t>Facebook</t>
        </is>
      </c>
      <c r="H846" s="2" t="inlineStr"/>
      <c r="I846" s="4" t="inlineStr">
        <is>
          <t>https://www.facebook.com/shipleycrozieraccountants</t>
        </is>
      </c>
      <c r="J846" s="2" t="inlineStr">
        <is>
          <t>+61 7 5559 5235</t>
        </is>
      </c>
      <c r="K846" s="4" t="inlineStr">
        <is>
          <t>https://shipleycrozier.com.au/</t>
        </is>
      </c>
      <c r="L846" s="2" t="inlineStr">
        <is>
          <t>looks outdated (copyright 2019); missing meta description</t>
        </is>
      </c>
      <c r="M846" s="2" t="inlineStr">
        <is>
          <t>Hi Shipley Crozier Accountants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46" s="4" t="inlineStr">
        <is>
          <t>Open map</t>
        </is>
      </c>
      <c r="O846" s="2" t="inlineStr">
        <is>
          <t>Not contacted</t>
        </is>
      </c>
      <c r="P846" s="2" t="inlineStr"/>
      <c r="Q846" s="2" t="inlineStr"/>
      <c r="R846" s="2" t="inlineStr"/>
      <c r="S846" s="2" t="inlineStr"/>
    </row>
    <row r="847">
      <c r="A847" s="2" t="n">
        <v>846</v>
      </c>
      <c r="B847" s="6" t="inlineStr">
        <is>
          <t>MEDIUM</t>
        </is>
      </c>
      <c r="C847" s="2" t="inlineStr">
        <is>
          <t>Weak website</t>
        </is>
      </c>
      <c r="D847" s="2" t="inlineStr">
        <is>
          <t>Chateaux Property Group</t>
        </is>
      </c>
      <c r="E847" s="2" t="inlineStr">
        <is>
          <t>real estate agent</t>
        </is>
      </c>
      <c r="F847" s="2" t="inlineStr">
        <is>
          <t>Gold Coast</t>
        </is>
      </c>
      <c r="G847" s="2" t="inlineStr">
        <is>
          <t>Facebook</t>
        </is>
      </c>
      <c r="H847" s="2" t="inlineStr"/>
      <c r="I847" s="4" t="inlineStr">
        <is>
          <t>https://www.facebook.com/Chateaux-Group-117144475093593</t>
        </is>
      </c>
      <c r="J847" s="2" t="inlineStr">
        <is>
          <t>+61 7 5532 1555</t>
        </is>
      </c>
      <c r="K847" s="4" t="inlineStr">
        <is>
          <t>https://www.chateaux.com.au/</t>
        </is>
      </c>
      <c r="L847" s="2" t="inlineStr">
        <is>
          <t>missing meta description</t>
        </is>
      </c>
      <c r="M847" s="2" t="inlineStr">
        <is>
          <t>Hi Chateaux Property Group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47" s="4" t="inlineStr">
        <is>
          <t>Open map</t>
        </is>
      </c>
      <c r="O847" s="2" t="inlineStr">
        <is>
          <t>Not contacted</t>
        </is>
      </c>
      <c r="P847" s="2" t="inlineStr"/>
      <c r="Q847" s="2" t="inlineStr"/>
      <c r="R847" s="2" t="inlineStr"/>
      <c r="S847" s="2" t="inlineStr"/>
    </row>
    <row r="848">
      <c r="A848" s="2" t="n">
        <v>847</v>
      </c>
      <c r="B848" s="6" t="inlineStr">
        <is>
          <t>MEDIUM</t>
        </is>
      </c>
      <c r="C848" s="2" t="inlineStr">
        <is>
          <t>Weak website</t>
        </is>
      </c>
      <c r="D848" s="2" t="inlineStr">
        <is>
          <t>NGU Real Estate</t>
        </is>
      </c>
      <c r="E848" s="2" t="inlineStr">
        <is>
          <t>real estate agent</t>
        </is>
      </c>
      <c r="F848" s="2" t="inlineStr">
        <is>
          <t>Gold Coast</t>
        </is>
      </c>
      <c r="G848" s="2" t="inlineStr">
        <is>
          <t>Instagram</t>
        </is>
      </c>
      <c r="H848" s="4" t="inlineStr">
        <is>
          <t>https://www.instagram.com/ngu_real_estate</t>
        </is>
      </c>
      <c r="I848" s="4" t="inlineStr">
        <is>
          <t>https://www.facebook.com/ngurealestate</t>
        </is>
      </c>
      <c r="J848" s="2" t="inlineStr">
        <is>
          <t>+61 7 5570 3791</t>
        </is>
      </c>
      <c r="K848" s="4" t="inlineStr">
        <is>
          <t>https://www.ngugoldcoast.com.au/</t>
        </is>
      </c>
      <c r="L848" s="2" t="inlineStr">
        <is>
          <t>missing meta description; slow to load (4.1s)</t>
        </is>
      </c>
      <c r="M848" s="2" t="inlineStr">
        <is>
          <t>Hi NGU Real Estate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8" s="4" t="inlineStr">
        <is>
          <t>Open map</t>
        </is>
      </c>
      <c r="O848" s="2" t="inlineStr">
        <is>
          <t>Not contacted</t>
        </is>
      </c>
      <c r="P848" s="2" t="inlineStr"/>
      <c r="Q848" s="2" t="inlineStr"/>
      <c r="R848" s="2" t="inlineStr"/>
      <c r="S848" s="2" t="inlineStr"/>
    </row>
    <row r="849">
      <c r="A849" s="2" t="n">
        <v>848</v>
      </c>
      <c r="B849" s="6" t="inlineStr">
        <is>
          <t>MEDIUM</t>
        </is>
      </c>
      <c r="C849" s="2" t="inlineStr">
        <is>
          <t>Weak website</t>
        </is>
      </c>
      <c r="D849" s="2" t="inlineStr">
        <is>
          <t>NGU Real Estate Gold Coast</t>
        </is>
      </c>
      <c r="E849" s="2" t="inlineStr">
        <is>
          <t>real estate agent</t>
        </is>
      </c>
      <c r="F849" s="2" t="inlineStr">
        <is>
          <t>Gold Coast</t>
        </is>
      </c>
      <c r="G849" s="2" t="inlineStr">
        <is>
          <t>Instagram</t>
        </is>
      </c>
      <c r="H849" s="4" t="inlineStr">
        <is>
          <t>https://www.instagram.com/ngu_real_estate</t>
        </is>
      </c>
      <c r="I849" s="4" t="inlineStr">
        <is>
          <t>https://www.facebook.com/ngurealestate</t>
        </is>
      </c>
      <c r="J849" s="2" t="inlineStr">
        <is>
          <t>+61 7 3103 0723</t>
        </is>
      </c>
      <c r="K849" s="4" t="inlineStr">
        <is>
          <t>https://www.ngurealestate.com.au/gold-coast/</t>
        </is>
      </c>
      <c r="L849" s="2" t="inlineStr">
        <is>
          <t>missing meta description; slow to load (4.2s)</t>
        </is>
      </c>
      <c r="M849" s="2" t="inlineStr">
        <is>
          <t>Hi NGU Real Estate Gold Coast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9" s="4" t="inlineStr">
        <is>
          <t>Open map</t>
        </is>
      </c>
      <c r="O849" s="2" t="inlineStr">
        <is>
          <t>Not contacted</t>
        </is>
      </c>
      <c r="P849" s="2" t="inlineStr"/>
      <c r="Q849" s="2" t="inlineStr"/>
      <c r="R849" s="2" t="inlineStr"/>
      <c r="S849" s="2" t="inlineStr"/>
    </row>
    <row r="850">
      <c r="A850" s="2" t="n">
        <v>849</v>
      </c>
      <c r="B850" s="6" t="inlineStr">
        <is>
          <t>MEDIUM</t>
        </is>
      </c>
      <c r="C850" s="2" t="inlineStr">
        <is>
          <t>Weak website</t>
        </is>
      </c>
      <c r="D850" s="2" t="inlineStr">
        <is>
          <t>PRD Coolangatta/Tweed</t>
        </is>
      </c>
      <c r="E850" s="2" t="inlineStr">
        <is>
          <t>real estate agent</t>
        </is>
      </c>
      <c r="F850" s="2" t="inlineStr">
        <is>
          <t>Gold Coast</t>
        </is>
      </c>
      <c r="G850" s="2" t="inlineStr">
        <is>
          <t>Instagram</t>
        </is>
      </c>
      <c r="H850" s="4" t="inlineStr">
        <is>
          <t>https://www.instagram.com/prdrealestate</t>
        </is>
      </c>
      <c r="I850" s="4" t="inlineStr">
        <is>
          <t>https://www.facebook.com/PRDRealEstate</t>
        </is>
      </c>
      <c r="J850" s="2" t="inlineStr">
        <is>
          <t>+61 7 5536 5526</t>
        </is>
      </c>
      <c r="K850" s="4" t="inlineStr">
        <is>
          <t>https://www.prdcoolangattatweedcoast.com.au/</t>
        </is>
      </c>
      <c r="L850" s="2" t="inlineStr">
        <is>
          <t>slow to load (3.2s)</t>
        </is>
      </c>
      <c r="M850" s="2" t="inlineStr">
        <is>
          <t>Hi PRD Coolangatta/Tweed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50" s="4" t="inlineStr">
        <is>
          <t>Open map</t>
        </is>
      </c>
      <c r="O850" s="2" t="inlineStr">
        <is>
          <t>Not contacted</t>
        </is>
      </c>
      <c r="P850" s="2" t="inlineStr"/>
      <c r="Q850" s="2" t="inlineStr"/>
      <c r="R850" s="2" t="inlineStr"/>
      <c r="S850" s="2" t="inlineStr"/>
    </row>
    <row r="851">
      <c r="A851" s="2" t="n">
        <v>850</v>
      </c>
      <c r="B851" s="6" t="inlineStr">
        <is>
          <t>MEDIUM</t>
        </is>
      </c>
      <c r="C851" s="2" t="inlineStr">
        <is>
          <t>Weak website</t>
        </is>
      </c>
      <c r="D851" s="2" t="inlineStr">
        <is>
          <t>Salt Property</t>
        </is>
      </c>
      <c r="E851" s="2" t="inlineStr">
        <is>
          <t>real estate agent</t>
        </is>
      </c>
      <c r="F851" s="2" t="inlineStr">
        <is>
          <t>Gold Coast</t>
        </is>
      </c>
      <c r="G851" s="2" t="inlineStr">
        <is>
          <t>Instagram</t>
        </is>
      </c>
      <c r="H851" s="4" t="inlineStr">
        <is>
          <t>https://www.instagram.com/salt.property/</t>
        </is>
      </c>
      <c r="I851" s="2" t="inlineStr"/>
      <c r="J851" s="2" t="inlineStr"/>
      <c r="K851" s="4" t="inlineStr">
        <is>
          <t>https://www.saltproperties.com.au/</t>
        </is>
      </c>
      <c r="L851" s="2" t="inlineStr">
        <is>
          <t>could not check (site refused automated visit, HTTP 401)</t>
        </is>
      </c>
      <c r="M851" s="2" t="inlineStr">
        <is>
          <t>Hi Salt Property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1" s="4" t="inlineStr">
        <is>
          <t>Open map</t>
        </is>
      </c>
      <c r="O851" s="2" t="inlineStr">
        <is>
          <t>Not contacted</t>
        </is>
      </c>
      <c r="P851" s="2" t="inlineStr"/>
      <c r="Q851" s="2" t="inlineStr"/>
      <c r="R851" s="2" t="inlineStr"/>
      <c r="S851" s="2" t="inlineStr"/>
    </row>
    <row r="852">
      <c r="A852" s="2" t="n">
        <v>851</v>
      </c>
      <c r="B852" s="6" t="inlineStr">
        <is>
          <t>MEDIUM</t>
        </is>
      </c>
      <c r="C852" s="2" t="inlineStr">
        <is>
          <t>Weak website</t>
        </is>
      </c>
      <c r="D852" s="2" t="inlineStr">
        <is>
          <t>Social Real Estate</t>
        </is>
      </c>
      <c r="E852" s="2" t="inlineStr">
        <is>
          <t>real estate agent</t>
        </is>
      </c>
      <c r="F852" s="2" t="inlineStr">
        <is>
          <t>Gold Coast</t>
        </is>
      </c>
      <c r="G852" s="2" t="inlineStr">
        <is>
          <t>Instagram</t>
        </is>
      </c>
      <c r="H852" s="4" t="inlineStr">
        <is>
          <t>https://instagram.com/socialrealestateagents</t>
        </is>
      </c>
      <c r="I852" s="2" t="inlineStr"/>
      <c r="J852" s="2" t="inlineStr">
        <is>
          <t>+61 7 5660 9187</t>
        </is>
      </c>
      <c r="K852" s="4" t="inlineStr">
        <is>
          <t>https://socialrea.com.au/</t>
        </is>
      </c>
      <c r="L852" s="2" t="inlineStr">
        <is>
          <t>looks outdated (copyright 2015); missing meta description</t>
        </is>
      </c>
      <c r="M852" s="2" t="inlineStr">
        <is>
          <t>Hi Social Real Estate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2" s="4" t="inlineStr">
        <is>
          <t>Open map</t>
        </is>
      </c>
      <c r="O852" s="2" t="inlineStr">
        <is>
          <t>Not contacted</t>
        </is>
      </c>
      <c r="P852" s="2" t="inlineStr"/>
      <c r="Q852" s="2" t="inlineStr"/>
      <c r="R852" s="2" t="inlineStr"/>
      <c r="S852" s="2" t="inlineStr"/>
    </row>
    <row r="853">
      <c r="A853" s="2" t="n">
        <v>852</v>
      </c>
      <c r="B853" s="6" t="inlineStr">
        <is>
          <t>MEDIUM</t>
        </is>
      </c>
      <c r="C853" s="2" t="inlineStr">
        <is>
          <t>Weak website</t>
        </is>
      </c>
      <c r="D853" s="2" t="inlineStr">
        <is>
          <t>The Agency</t>
        </is>
      </c>
      <c r="E853" s="2" t="inlineStr">
        <is>
          <t>real estate agent</t>
        </is>
      </c>
      <c r="F853" s="2" t="inlineStr">
        <is>
          <t>Gold Coast</t>
        </is>
      </c>
      <c r="G853" s="2" t="inlineStr">
        <is>
          <t>Instagram</t>
        </is>
      </c>
      <c r="H853" s="4" t="inlineStr">
        <is>
          <t>https://www.instagram.com/theagency_realestate</t>
        </is>
      </c>
      <c r="I853" s="4" t="inlineStr">
        <is>
          <t>https://www.facebook.com/theagencyaustralia</t>
        </is>
      </c>
      <c r="J853" s="2" t="inlineStr"/>
      <c r="K853" s="4" t="inlineStr">
        <is>
          <t>https://theagency.com.au/office/10/gold-coast</t>
        </is>
      </c>
      <c r="L853" s="2" t="inlineStr">
        <is>
          <t>missing meta description</t>
        </is>
      </c>
      <c r="M853" s="2" t="inlineStr">
        <is>
          <t>Hi The Agency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3" s="4" t="inlineStr">
        <is>
          <t>Open map</t>
        </is>
      </c>
      <c r="O853" s="2" t="inlineStr">
        <is>
          <t>Not contacted</t>
        </is>
      </c>
      <c r="P853" s="2" t="inlineStr"/>
      <c r="Q853" s="2" t="inlineStr"/>
      <c r="R853" s="2" t="inlineStr"/>
      <c r="S853" s="2" t="inlineStr"/>
    </row>
    <row r="854">
      <c r="A854" s="2" t="n">
        <v>853</v>
      </c>
      <c r="B854" s="6" t="inlineStr">
        <is>
          <t>MEDIUM</t>
        </is>
      </c>
      <c r="C854" s="2" t="inlineStr">
        <is>
          <t>Weak website</t>
        </is>
      </c>
      <c r="D854" s="2" t="inlineStr">
        <is>
          <t>Tweed Coolangatta Real Estate</t>
        </is>
      </c>
      <c r="E854" s="2" t="inlineStr">
        <is>
          <t>real estate agent</t>
        </is>
      </c>
      <c r="F854" s="2" t="inlineStr">
        <is>
          <t>Gold Coast</t>
        </is>
      </c>
      <c r="G854" s="2" t="inlineStr">
        <is>
          <t>Instagram</t>
        </is>
      </c>
      <c r="H854" s="4" t="inlineStr">
        <is>
          <t>https://www.instagram.com/tweedcoolangattarealestate</t>
        </is>
      </c>
      <c r="I854" s="4" t="inlineStr">
        <is>
          <t>https://www.facebook.com/tweedcoolangattarealestate</t>
        </is>
      </c>
      <c r="J854" s="2" t="inlineStr">
        <is>
          <t>+61 7 5599 2000</t>
        </is>
      </c>
      <c r="K854" s="4" t="inlineStr">
        <is>
          <t>https://www.tcre.net.au/</t>
        </is>
      </c>
      <c r="L854" s="2" t="inlineStr">
        <is>
          <t>missing meta description</t>
        </is>
      </c>
      <c r="M854" s="2" t="inlineStr">
        <is>
          <t>Hi Tweed Coolangatta Real Estate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4" s="4" t="inlineStr">
        <is>
          <t>Open map</t>
        </is>
      </c>
      <c r="O854" s="2" t="inlineStr">
        <is>
          <t>Not contacted</t>
        </is>
      </c>
      <c r="P854" s="2" t="inlineStr"/>
      <c r="Q854" s="2" t="inlineStr"/>
      <c r="R854" s="2" t="inlineStr"/>
      <c r="S854" s="2" t="inlineStr"/>
    </row>
    <row r="855">
      <c r="A855" s="2" t="n">
        <v>854</v>
      </c>
      <c r="B855" s="6" t="inlineStr">
        <is>
          <t>MEDIUM</t>
        </is>
      </c>
      <c r="C855" s="2" t="inlineStr">
        <is>
          <t>Weak website</t>
        </is>
      </c>
      <c r="D855" s="2" t="inlineStr">
        <is>
          <t>Z. Real Estate</t>
        </is>
      </c>
      <c r="E855" s="2" t="inlineStr">
        <is>
          <t>real estate agent</t>
        </is>
      </c>
      <c r="F855" s="2" t="inlineStr">
        <is>
          <t>Gold Coast</t>
        </is>
      </c>
      <c r="G855" s="2" t="inlineStr">
        <is>
          <t>Instagram</t>
        </is>
      </c>
      <c r="H855" s="4" t="inlineStr">
        <is>
          <t>https://www.instagram.com/zedrealestate</t>
        </is>
      </c>
      <c r="I855" s="4" t="inlineStr">
        <is>
          <t>https://www.facebook.com/ZedRealEstate</t>
        </is>
      </c>
      <c r="J855" s="2" t="inlineStr"/>
      <c r="K855" s="4" t="inlineStr">
        <is>
          <t>https://zedrealestate.au/gold-coast/</t>
        </is>
      </c>
      <c r="L855" s="2" t="inlineStr">
        <is>
          <t>slow to load (3.6s)</t>
        </is>
      </c>
      <c r="M855" s="2" t="inlineStr">
        <is>
          <t>Hi Z. Real Estate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55" s="4" t="inlineStr">
        <is>
          <t>Open map</t>
        </is>
      </c>
      <c r="O855" s="2" t="inlineStr">
        <is>
          <t>Not contacted</t>
        </is>
      </c>
      <c r="P855" s="2" t="inlineStr"/>
      <c r="Q855" s="2" t="inlineStr"/>
      <c r="R855" s="2" t="inlineStr"/>
      <c r="S855" s="2" t="inlineStr"/>
    </row>
    <row r="856">
      <c r="A856" s="2" t="n">
        <v>855</v>
      </c>
      <c r="B856" s="6" t="inlineStr">
        <is>
          <t>MEDIUM</t>
        </is>
      </c>
      <c r="C856" s="2" t="inlineStr">
        <is>
          <t>Weak website</t>
        </is>
      </c>
      <c r="D856" s="2" t="inlineStr">
        <is>
          <t>Burger'D Varsity Lakes</t>
        </is>
      </c>
      <c r="E856" s="2" t="inlineStr">
        <is>
          <t>takeaway</t>
        </is>
      </c>
      <c r="F856" s="2" t="inlineStr">
        <is>
          <t>Gold Coast</t>
        </is>
      </c>
      <c r="G856" s="2" t="inlineStr">
        <is>
          <t>Instagram</t>
        </is>
      </c>
      <c r="H856" s="4" t="inlineStr">
        <is>
          <t>https://www.instagram.com/burgerdauthentic</t>
        </is>
      </c>
      <c r="I856" s="4" t="inlineStr">
        <is>
          <t>https://www.facebook.com/Burgerd01</t>
        </is>
      </c>
      <c r="J856" s="2" t="inlineStr">
        <is>
          <t>+61 7 5522 8131</t>
        </is>
      </c>
      <c r="K856" s="4" t="inlineStr">
        <is>
          <t>https://burgerd.com.au/</t>
        </is>
      </c>
      <c r="L856" s="2" t="inlineStr">
        <is>
          <t>missing meta description</t>
        </is>
      </c>
      <c r="M856" s="2" t="inlineStr">
        <is>
          <t>Hi Burger'D Varsity Lakes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6" s="4" t="inlineStr">
        <is>
          <t>Open map</t>
        </is>
      </c>
      <c r="O856" s="2" t="inlineStr">
        <is>
          <t>Not contacted</t>
        </is>
      </c>
      <c r="P856" s="2" t="inlineStr"/>
      <c r="Q856" s="2" t="inlineStr"/>
      <c r="R856" s="2" t="inlineStr"/>
      <c r="S856" s="2" t="inlineStr"/>
    </row>
    <row r="857">
      <c r="A857" s="2" t="n">
        <v>856</v>
      </c>
      <c r="B857" s="6" t="inlineStr">
        <is>
          <t>MEDIUM</t>
        </is>
      </c>
      <c r="C857" s="2" t="inlineStr">
        <is>
          <t>Weak website</t>
        </is>
      </c>
      <c r="D857" s="2" t="inlineStr">
        <is>
          <t>Longboards Laidback Eatery &amp; Bar</t>
        </is>
      </c>
      <c r="E857" s="2" t="inlineStr">
        <is>
          <t>takeaway</t>
        </is>
      </c>
      <c r="F857" s="2" t="inlineStr">
        <is>
          <t>Gold Coast</t>
        </is>
      </c>
      <c r="G857" s="2" t="inlineStr">
        <is>
          <t>Instagram</t>
        </is>
      </c>
      <c r="H857" s="4" t="inlineStr">
        <is>
          <t>https://www.instagram.com/longboardsbar</t>
        </is>
      </c>
      <c r="I857" s="4" t="inlineStr">
        <is>
          <t>https://www.facebook.com/490206341019620</t>
        </is>
      </c>
      <c r="J857" s="2" t="inlineStr">
        <is>
          <t>+61 7 5538 2559</t>
        </is>
      </c>
      <c r="K857" s="4" t="inlineStr">
        <is>
          <t>https://longboardsbar.com.au/</t>
        </is>
      </c>
      <c r="L857" s="2" t="inlineStr">
        <is>
          <t>looks outdated (copyright 2020)</t>
        </is>
      </c>
      <c r="M857" s="2" t="inlineStr">
        <is>
          <t>Hi Longboards Laidback Eatery &amp;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7" s="4" t="inlineStr">
        <is>
          <t>Open map</t>
        </is>
      </c>
      <c r="O857" s="2" t="inlineStr">
        <is>
          <t>Not contacted</t>
        </is>
      </c>
      <c r="P857" s="2" t="inlineStr"/>
      <c r="Q857" s="2" t="inlineStr"/>
      <c r="R857" s="2" t="inlineStr"/>
      <c r="S857" s="2" t="inlineStr"/>
    </row>
    <row r="858">
      <c r="A858" s="2" t="n">
        <v>857</v>
      </c>
      <c r="B858" s="6" t="inlineStr">
        <is>
          <t>MEDIUM</t>
        </is>
      </c>
      <c r="C858" s="2" t="inlineStr">
        <is>
          <t>Weak website</t>
        </is>
      </c>
      <c r="D858" s="2" t="inlineStr">
        <is>
          <t>Maries Pizza</t>
        </is>
      </c>
      <c r="E858" s="2" t="inlineStr">
        <is>
          <t>takeaway</t>
        </is>
      </c>
      <c r="F858" s="2" t="inlineStr">
        <is>
          <t>Gold Coast</t>
        </is>
      </c>
      <c r="G858" s="2" t="inlineStr">
        <is>
          <t>Instagram</t>
        </is>
      </c>
      <c r="H858" s="4" t="inlineStr">
        <is>
          <t>https://www.instagram.com/mariespizzagc</t>
        </is>
      </c>
      <c r="I858" s="4" t="inlineStr">
        <is>
          <t>https://www.facebook.com/MariesPizza</t>
        </is>
      </c>
      <c r="J858" s="2" t="inlineStr">
        <is>
          <t>+61 7 5572 8629</t>
        </is>
      </c>
      <c r="K858" s="4" t="inlineStr">
        <is>
          <t>https://www.mariespizza.com.au/store/mermaid-beach/</t>
        </is>
      </c>
      <c r="L858" s="2" t="inlineStr">
        <is>
          <t>missing meta description; slow to load (6.0s)</t>
        </is>
      </c>
      <c r="M858" s="2" t="inlineStr">
        <is>
          <t>Hi Maries Pizza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58" s="4" t="inlineStr">
        <is>
          <t>Open map</t>
        </is>
      </c>
      <c r="O858" s="2" t="inlineStr">
        <is>
          <t>Not contacted</t>
        </is>
      </c>
      <c r="P858" s="2" t="inlineStr"/>
      <c r="Q858" s="2" t="inlineStr"/>
      <c r="R858" s="2" t="inlineStr"/>
      <c r="S858" s="2" t="inlineStr"/>
    </row>
    <row r="859">
      <c r="A859" s="2" t="n">
        <v>858</v>
      </c>
      <c r="B859" s="6" t="inlineStr">
        <is>
          <t>MEDIUM</t>
        </is>
      </c>
      <c r="C859" s="2" t="inlineStr">
        <is>
          <t>Weak website</t>
        </is>
      </c>
      <c r="D859" s="2" t="inlineStr">
        <is>
          <t>The Fish Tank</t>
        </is>
      </c>
      <c r="E859" s="2" t="inlineStr">
        <is>
          <t>takeaway</t>
        </is>
      </c>
      <c r="F859" s="2" t="inlineStr">
        <is>
          <t>Gold Coast</t>
        </is>
      </c>
      <c r="G859" s="2" t="inlineStr">
        <is>
          <t>Instagram</t>
        </is>
      </c>
      <c r="H859" s="4" t="inlineStr">
        <is>
          <t>https://www.instagram.com/thefishtank_southport</t>
        </is>
      </c>
      <c r="I859" s="4" t="inlineStr">
        <is>
          <t>https://www.facebook.com/thefishtankonqueenstreet</t>
        </is>
      </c>
      <c r="J859" s="2" t="inlineStr">
        <is>
          <t>+61 7 5551 6252</t>
        </is>
      </c>
      <c r="K859" s="4" t="inlineStr">
        <is>
          <t>https://www.thefishtank.com.au/</t>
        </is>
      </c>
      <c r="L859" s="2" t="inlineStr">
        <is>
          <t>looks outdated (copyright 2023)</t>
        </is>
      </c>
      <c r="M859" s="2" t="inlineStr">
        <is>
          <t>Hi The Fish Tank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59" s="4" t="inlineStr">
        <is>
          <t>Open map</t>
        </is>
      </c>
      <c r="O859" s="2" t="inlineStr">
        <is>
          <t>Not contacted</t>
        </is>
      </c>
      <c r="P859" s="2" t="inlineStr"/>
      <c r="Q859" s="2" t="inlineStr"/>
      <c r="R859" s="2" t="inlineStr"/>
      <c r="S859" s="2" t="inlineStr"/>
    </row>
    <row r="860">
      <c r="A860" s="2" t="n">
        <v>859</v>
      </c>
      <c r="B860" s="6" t="inlineStr">
        <is>
          <t>MEDIUM</t>
        </is>
      </c>
      <c r="C860" s="2" t="inlineStr">
        <is>
          <t>Weak website</t>
        </is>
      </c>
      <c r="D860" s="2" t="inlineStr">
        <is>
          <t>Yo My Goodness</t>
        </is>
      </c>
      <c r="E860" s="2" t="inlineStr">
        <is>
          <t>takeaway</t>
        </is>
      </c>
      <c r="F860" s="2" t="inlineStr">
        <is>
          <t>Gold Coast</t>
        </is>
      </c>
      <c r="G860" s="2" t="inlineStr">
        <is>
          <t>Instagram</t>
        </is>
      </c>
      <c r="H860" s="4" t="inlineStr">
        <is>
          <t>https://www.instagram.com/yomgburgers</t>
        </is>
      </c>
      <c r="I860" s="4" t="inlineStr">
        <is>
          <t>https://www.facebook.com/yomgburgers</t>
        </is>
      </c>
      <c r="J860" s="2" t="inlineStr">
        <is>
          <t>+61 7 2115 7842</t>
        </is>
      </c>
      <c r="K860" s="4" t="inlineStr">
        <is>
          <t>https://www.yomg.com.au/elanora/</t>
        </is>
      </c>
      <c r="L860" s="2" t="inlineStr">
        <is>
          <t>slow to load (3.9s)</t>
        </is>
      </c>
      <c r="M860" s="2" t="inlineStr">
        <is>
          <t>Hi Yo My Goodness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0" s="4" t="inlineStr">
        <is>
          <t>Open map</t>
        </is>
      </c>
      <c r="O860" s="2" t="inlineStr">
        <is>
          <t>Not contacted</t>
        </is>
      </c>
      <c r="P860" s="2" t="inlineStr"/>
      <c r="Q860" s="2" t="inlineStr"/>
      <c r="R860" s="2" t="inlineStr"/>
      <c r="S860" s="2" t="inlineStr"/>
    </row>
    <row r="861">
      <c r="A861" s="2" t="n">
        <v>860</v>
      </c>
      <c r="B861" s="6" t="inlineStr">
        <is>
          <t>MEDIUM</t>
        </is>
      </c>
      <c r="C861" s="2" t="inlineStr">
        <is>
          <t>Weak website</t>
        </is>
      </c>
      <c r="D861" s="2" t="inlineStr">
        <is>
          <t>Celebrity Ink</t>
        </is>
      </c>
      <c r="E861" s="2" t="inlineStr">
        <is>
          <t>tattoo studio</t>
        </is>
      </c>
      <c r="F861" s="2" t="inlineStr">
        <is>
          <t>Gold Coast</t>
        </is>
      </c>
      <c r="G861" s="2" t="inlineStr">
        <is>
          <t>Instagram</t>
        </is>
      </c>
      <c r="H861" s="4" t="inlineStr">
        <is>
          <t>https://www.instagram.com/celebrityinktattoobroadbeach</t>
        </is>
      </c>
      <c r="I861" s="4" t="inlineStr">
        <is>
          <t>https://www.facebook.com/celebrityinktattoobroadbeach</t>
        </is>
      </c>
      <c r="J861" s="2" t="inlineStr">
        <is>
          <t>+61 423 954 228</t>
        </is>
      </c>
      <c r="K861" s="4" t="inlineStr">
        <is>
          <t>https://www.celebrityink.com/locations/broadbeach/</t>
        </is>
      </c>
      <c r="L861" s="2" t="inlineStr">
        <is>
          <t>slow to load (3.4s)</t>
        </is>
      </c>
      <c r="M861" s="2" t="inlineStr">
        <is>
          <t>Hi Celebrity Ink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1" s="4" t="inlineStr">
        <is>
          <t>Open map</t>
        </is>
      </c>
      <c r="O861" s="2" t="inlineStr">
        <is>
          <t>Not contacted</t>
        </is>
      </c>
      <c r="P861" s="2" t="inlineStr"/>
      <c r="Q861" s="2" t="inlineStr"/>
      <c r="R861" s="2" t="inlineStr"/>
      <c r="S861" s="2" t="inlineStr"/>
    </row>
    <row r="862">
      <c r="A862" s="2" t="n">
        <v>861</v>
      </c>
      <c r="B862" s="6" t="inlineStr">
        <is>
          <t>MEDIUM</t>
        </is>
      </c>
      <c r="C862" s="2" t="inlineStr">
        <is>
          <t>Weak website</t>
        </is>
      </c>
      <c r="D862" s="2" t="inlineStr">
        <is>
          <t>Garage Ink</t>
        </is>
      </c>
      <c r="E862" s="2" t="inlineStr">
        <is>
          <t>tattoo studio</t>
        </is>
      </c>
      <c r="F862" s="2" t="inlineStr">
        <is>
          <t>Gold Coast</t>
        </is>
      </c>
      <c r="G862" s="2" t="inlineStr">
        <is>
          <t>Instagram</t>
        </is>
      </c>
      <c r="H862" s="4" t="inlineStr">
        <is>
          <t>https://www.instagram.com/garageink4221</t>
        </is>
      </c>
      <c r="I862" s="4" t="inlineStr">
        <is>
          <t>https://www.facebook.com/garageink4224</t>
        </is>
      </c>
      <c r="J862" s="2" t="inlineStr">
        <is>
          <t>+61 7 5525 2812</t>
        </is>
      </c>
      <c r="K862" s="4" t="inlineStr">
        <is>
          <t>https://garageink.com.au/</t>
        </is>
      </c>
      <c r="L862" s="2" t="inlineStr">
        <is>
          <t>missing meta description</t>
        </is>
      </c>
      <c r="M862" s="2" t="inlineStr">
        <is>
          <t>Hi Garage Ink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62" s="4" t="inlineStr">
        <is>
          <t>Open map</t>
        </is>
      </c>
      <c r="O862" s="2" t="inlineStr">
        <is>
          <t>Not contacted</t>
        </is>
      </c>
      <c r="P862" s="2" t="inlineStr"/>
      <c r="Q862" s="2" t="inlineStr"/>
      <c r="R862" s="2" t="inlineStr"/>
      <c r="S862" s="2" t="inlineStr"/>
    </row>
    <row r="863">
      <c r="A863" s="2" t="n">
        <v>862</v>
      </c>
      <c r="B863" s="6" t="inlineStr">
        <is>
          <t>MEDIUM</t>
        </is>
      </c>
      <c r="C863" s="2" t="inlineStr">
        <is>
          <t>Weak website</t>
        </is>
      </c>
      <c r="D863" s="2" t="inlineStr">
        <is>
          <t>Allcoast Roofing</t>
        </is>
      </c>
      <c r="E863" s="2" t="inlineStr">
        <is>
          <t>trades</t>
        </is>
      </c>
      <c r="F863" s="2" t="inlineStr">
        <is>
          <t>Gold Coast</t>
        </is>
      </c>
      <c r="G863" s="2" t="inlineStr">
        <is>
          <t>Facebook</t>
        </is>
      </c>
      <c r="H863" s="2" t="inlineStr"/>
      <c r="I863" s="4" t="inlineStr">
        <is>
          <t>https://www.facebook.com/1349447021843367/videos/311424696286843</t>
        </is>
      </c>
      <c r="J863" s="2" t="inlineStr">
        <is>
          <t>+61 411 132 583</t>
        </is>
      </c>
      <c r="K863" s="4" t="inlineStr">
        <is>
          <t>https://www.allcoastroofing.com.au</t>
        </is>
      </c>
      <c r="L863" s="2" t="inlineStr">
        <is>
          <t>slow to load (4.2s)</t>
        </is>
      </c>
      <c r="M863" s="2" t="inlineStr">
        <is>
          <t>Hi Allcoast Roofing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3" s="4" t="inlineStr">
        <is>
          <t>Open map</t>
        </is>
      </c>
      <c r="O863" s="2" t="inlineStr">
        <is>
          <t>Not contacted</t>
        </is>
      </c>
      <c r="P863" s="2" t="inlineStr"/>
      <c r="Q863" s="2" t="inlineStr"/>
      <c r="R863" s="2" t="inlineStr"/>
      <c r="S863" s="2" t="inlineStr"/>
    </row>
    <row r="864">
      <c r="A864" s="2" t="n">
        <v>863</v>
      </c>
      <c r="B864" s="6" t="inlineStr">
        <is>
          <t>MEDIUM</t>
        </is>
      </c>
      <c r="C864" s="2" t="inlineStr">
        <is>
          <t>Weak website</t>
        </is>
      </c>
      <c r="D864" s="2" t="inlineStr">
        <is>
          <t>CLAMROC Constructions</t>
        </is>
      </c>
      <c r="E864" s="2" t="inlineStr">
        <is>
          <t>trades</t>
        </is>
      </c>
      <c r="F864" s="2" t="inlineStr">
        <is>
          <t>Gold Coast</t>
        </is>
      </c>
      <c r="G864" s="2" t="inlineStr">
        <is>
          <t>Instagram</t>
        </is>
      </c>
      <c r="H864" s="4" t="inlineStr">
        <is>
          <t>https://www.instagram.com/clamrocconstructions</t>
        </is>
      </c>
      <c r="I864" s="4" t="inlineStr">
        <is>
          <t>https://www.facebook.com/ClamrocConstructions</t>
        </is>
      </c>
      <c r="J864" s="2" t="inlineStr">
        <is>
          <t>+61 7 5575 2149</t>
        </is>
      </c>
      <c r="K864" s="4" t="inlineStr">
        <is>
          <t>https://clamroc.com.au/</t>
        </is>
      </c>
      <c r="L864" s="2" t="inlineStr">
        <is>
          <t>looks outdated (copyright 2021); missing meta description</t>
        </is>
      </c>
      <c r="M864" s="2" t="inlineStr">
        <is>
          <t>Hi CLAMROC Constructions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64" s="4" t="inlineStr">
        <is>
          <t>Open map</t>
        </is>
      </c>
      <c r="O864" s="2" t="inlineStr">
        <is>
          <t>Not contacted</t>
        </is>
      </c>
      <c r="P864" s="2" t="inlineStr"/>
      <c r="Q864" s="2" t="inlineStr"/>
      <c r="R864" s="2" t="inlineStr"/>
      <c r="S864" s="2" t="inlineStr"/>
    </row>
    <row r="865">
      <c r="A865" s="2" t="n">
        <v>864</v>
      </c>
      <c r="B865" s="6" t="inlineStr">
        <is>
          <t>MEDIUM</t>
        </is>
      </c>
      <c r="C865" s="2" t="inlineStr">
        <is>
          <t>Weak website</t>
        </is>
      </c>
      <c r="D865" s="2" t="inlineStr">
        <is>
          <t>Gold Coast Patios &amp; Blinds</t>
        </is>
      </c>
      <c r="E865" s="2" t="inlineStr">
        <is>
          <t>trades</t>
        </is>
      </c>
      <c r="F865" s="2" t="inlineStr">
        <is>
          <t>Gold Coast</t>
        </is>
      </c>
      <c r="G865" s="2" t="inlineStr">
        <is>
          <t>Instagram</t>
        </is>
      </c>
      <c r="H865" s="4" t="inlineStr">
        <is>
          <t>https://www.instagram.com/goldcoastpatiosandblinds</t>
        </is>
      </c>
      <c r="I865" s="4" t="inlineStr">
        <is>
          <t>https://www.facebook.com/goldcoastpatiosandblinds</t>
        </is>
      </c>
      <c r="J865" s="2" t="inlineStr">
        <is>
          <t>+61 7 5539 6688</t>
        </is>
      </c>
      <c r="K865" s="4" t="inlineStr">
        <is>
          <t>https://www.goldcoastpatios.com.au/</t>
        </is>
      </c>
      <c r="L865" s="2" t="inlineStr">
        <is>
          <t>slow to load (6.7s)</t>
        </is>
      </c>
      <c r="M865" s="2" t="inlineStr">
        <is>
          <t>Hi Gold Coast Patios &amp; Blinds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5" s="4" t="inlineStr">
        <is>
          <t>Open map</t>
        </is>
      </c>
      <c r="O865" s="2" t="inlineStr">
        <is>
          <t>Not contacted</t>
        </is>
      </c>
      <c r="P865" s="2" t="inlineStr"/>
      <c r="Q865" s="2" t="inlineStr"/>
      <c r="R865" s="2" t="inlineStr"/>
      <c r="S865" s="2" t="inlineStr"/>
    </row>
    <row r="866">
      <c r="A866" s="2" t="n">
        <v>865</v>
      </c>
      <c r="B866" s="6" t="inlineStr">
        <is>
          <t>MEDIUM</t>
        </is>
      </c>
      <c r="C866" s="2" t="inlineStr">
        <is>
          <t>Weak website</t>
        </is>
      </c>
      <c r="D866" s="2" t="inlineStr">
        <is>
          <t>Grimmond</t>
        </is>
      </c>
      <c r="E866" s="2" t="inlineStr">
        <is>
          <t>trades</t>
        </is>
      </c>
      <c r="F866" s="2" t="inlineStr">
        <is>
          <t>Gold Coast</t>
        </is>
      </c>
      <c r="G866" s="2" t="inlineStr">
        <is>
          <t>Instagram</t>
        </is>
      </c>
      <c r="H866" s="4" t="inlineStr">
        <is>
          <t>https://www.instagram.com/__grimmond__</t>
        </is>
      </c>
      <c r="I866" s="2" t="inlineStr"/>
      <c r="J866" s="2" t="inlineStr">
        <is>
          <t>+61 402 497 657</t>
        </is>
      </c>
      <c r="K866" s="4" t="inlineStr">
        <is>
          <t>https://www.grimmond.com.au/</t>
        </is>
      </c>
      <c r="L866" s="2" t="inlineStr">
        <is>
          <t>missing meta description; slow to load (3.8s)</t>
        </is>
      </c>
      <c r="M866" s="2" t="inlineStr">
        <is>
          <t>Hi Grimmond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6" s="4" t="inlineStr">
        <is>
          <t>Open map</t>
        </is>
      </c>
      <c r="O866" s="2" t="inlineStr">
        <is>
          <t>Not contacted</t>
        </is>
      </c>
      <c r="P866" s="2" t="inlineStr"/>
      <c r="Q866" s="2" t="inlineStr"/>
      <c r="R866" s="2" t="inlineStr"/>
      <c r="S866" s="2" t="inlineStr"/>
    </row>
    <row r="867">
      <c r="A867" s="2" t="n">
        <v>866</v>
      </c>
      <c r="B867" s="6" t="inlineStr">
        <is>
          <t>MEDIUM</t>
        </is>
      </c>
      <c r="C867" s="2" t="inlineStr">
        <is>
          <t>Weak website</t>
        </is>
      </c>
      <c r="D867" s="2" t="inlineStr">
        <is>
          <t>Gympie Nationwide Motel</t>
        </is>
      </c>
      <c r="E867" s="2" t="inlineStr">
        <is>
          <t>accommodation</t>
        </is>
      </c>
      <c r="F867" s="2" t="inlineStr">
        <is>
          <t>Gympie</t>
        </is>
      </c>
      <c r="G867" s="2" t="inlineStr">
        <is>
          <t>Facebook</t>
        </is>
      </c>
      <c r="H867" s="2" t="inlineStr"/>
      <c r="I867" s="4" t="inlineStr">
        <is>
          <t>https://www.facebook.com/nationwidemotel</t>
        </is>
      </c>
      <c r="J867" s="2" t="inlineStr">
        <is>
          <t>+61 7 5482 5777</t>
        </is>
      </c>
      <c r="K867" s="4" t="inlineStr">
        <is>
          <t>https://www.gympienationwidemotel.com.au/</t>
        </is>
      </c>
      <c r="L867" s="2" t="inlineStr">
        <is>
          <t>missing meta description; slow to load (4.4s)</t>
        </is>
      </c>
      <c r="M867" s="2" t="inlineStr">
        <is>
          <t>Hi Gympie Nationwide Motel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7" s="4" t="inlineStr">
        <is>
          <t>Open map</t>
        </is>
      </c>
      <c r="O867" s="2" t="inlineStr">
        <is>
          <t>Not contacted</t>
        </is>
      </c>
      <c r="P867" s="2" t="inlineStr"/>
      <c r="Q867" s="2" t="inlineStr"/>
      <c r="R867" s="2" t="inlineStr"/>
      <c r="S867" s="2" t="inlineStr"/>
    </row>
    <row r="868">
      <c r="A868" s="2" t="n">
        <v>867</v>
      </c>
      <c r="B868" s="6" t="inlineStr">
        <is>
          <t>MEDIUM</t>
        </is>
      </c>
      <c r="C868" s="2" t="inlineStr">
        <is>
          <t>Weak website</t>
        </is>
      </c>
      <c r="D868" s="2" t="inlineStr">
        <is>
          <t>Victory Hotel</t>
        </is>
      </c>
      <c r="E868" s="2" t="inlineStr">
        <is>
          <t>bar or pub</t>
        </is>
      </c>
      <c r="F868" s="2" t="inlineStr">
        <is>
          <t>Gympie</t>
        </is>
      </c>
      <c r="G868" s="2" t="inlineStr">
        <is>
          <t>Instagram</t>
        </is>
      </c>
      <c r="H868" s="4" t="inlineStr">
        <is>
          <t>https://www.instagram.com/gympievictoryhotelmotel</t>
        </is>
      </c>
      <c r="I868" s="4" t="inlineStr">
        <is>
          <t>https://www.facebook.com/managers.victory</t>
        </is>
      </c>
      <c r="J868" s="2" t="inlineStr"/>
      <c r="K868" s="4" t="inlineStr">
        <is>
          <t>https://victoryhotelgympie.com.au/</t>
        </is>
      </c>
      <c r="L868" s="2" t="inlineStr">
        <is>
          <t>missing meta description; slow to load (8.8s)</t>
        </is>
      </c>
      <c r="M868" s="2" t="inlineStr">
        <is>
          <t>Hi Victory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8" s="4" t="inlineStr">
        <is>
          <t>Open map</t>
        </is>
      </c>
      <c r="O868" s="2" t="inlineStr">
        <is>
          <t>Not contacted</t>
        </is>
      </c>
      <c r="P868" s="2" t="inlineStr"/>
      <c r="Q868" s="2" t="inlineStr"/>
      <c r="R868" s="2" t="inlineStr"/>
      <c r="S868" s="2" t="inlineStr"/>
    </row>
    <row r="869">
      <c r="A869" s="2" t="n">
        <v>868</v>
      </c>
      <c r="B869" s="6" t="inlineStr">
        <is>
          <t>MEDIUM</t>
        </is>
      </c>
      <c r="C869" s="2" t="inlineStr">
        <is>
          <t>Weak website</t>
        </is>
      </c>
      <c r="D869" s="2" t="inlineStr">
        <is>
          <t>Kingston House Impresssions</t>
        </is>
      </c>
      <c r="E869" s="2" t="inlineStr">
        <is>
          <t>restaurant</t>
        </is>
      </c>
      <c r="F869" s="2" t="inlineStr">
        <is>
          <t>Gympie</t>
        </is>
      </c>
      <c r="G869" s="2" t="inlineStr">
        <is>
          <t>Facebook</t>
        </is>
      </c>
      <c r="H869" s="2" t="inlineStr"/>
      <c r="I869" s="4" t="inlineStr">
        <is>
          <t>https://www.facebook.com/KingstonHouseImpressions</t>
        </is>
      </c>
      <c r="J869" s="2" t="inlineStr">
        <is>
          <t>+61 7 5483 6733</t>
        </is>
      </c>
      <c r="K869" s="4" t="inlineStr">
        <is>
          <t>https://kingstonhouseimpressions.com.au/</t>
        </is>
      </c>
      <c r="L869" s="2" t="inlineStr">
        <is>
          <t>missing meta description</t>
        </is>
      </c>
      <c r="M869" s="2" t="inlineStr">
        <is>
          <t>Hi Kingston House Impresssions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69" s="4" t="inlineStr">
        <is>
          <t>Open map</t>
        </is>
      </c>
      <c r="O869" s="2" t="inlineStr">
        <is>
          <t>Not contacted</t>
        </is>
      </c>
      <c r="P869" s="2" t="inlineStr"/>
      <c r="Q869" s="2" t="inlineStr"/>
      <c r="R869" s="2" t="inlineStr"/>
      <c r="S869" s="2" t="inlineStr"/>
    </row>
    <row r="870">
      <c r="A870" s="2" t="n">
        <v>869</v>
      </c>
      <c r="B870" s="6" t="inlineStr">
        <is>
          <t>MEDIUM</t>
        </is>
      </c>
      <c r="C870" s="2" t="inlineStr">
        <is>
          <t>Weak website</t>
        </is>
      </c>
      <c r="D870" s="2" t="inlineStr">
        <is>
          <t>Hervey Bay Hotel</t>
        </is>
      </c>
      <c r="E870" s="2" t="inlineStr">
        <is>
          <t>accommodation</t>
        </is>
      </c>
      <c r="F870" s="2" t="inlineStr">
        <is>
          <t>Hervey Bay</t>
        </is>
      </c>
      <c r="G870" s="2" t="inlineStr">
        <is>
          <t>Instagram</t>
        </is>
      </c>
      <c r="H870" s="4" t="inlineStr">
        <is>
          <t>https://www.instagram.com/herveybay_hotel</t>
        </is>
      </c>
      <c r="I870" s="4" t="inlineStr">
        <is>
          <t>https://www.facebook.com/hervey.bayhotel.3</t>
        </is>
      </c>
      <c r="J870" s="2" t="inlineStr"/>
      <c r="K870" s="4" t="inlineStr">
        <is>
          <t>https://herveybayhotel.com.au/</t>
        </is>
      </c>
      <c r="L870" s="2" t="inlineStr">
        <is>
          <t>slow to load (3.6s)</t>
        </is>
      </c>
      <c r="M870" s="2" t="inlineStr">
        <is>
          <t>Hi Hervey Bay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70" s="4" t="inlineStr">
        <is>
          <t>Open map</t>
        </is>
      </c>
      <c r="O870" s="2" t="inlineStr">
        <is>
          <t>Not contacted</t>
        </is>
      </c>
      <c r="P870" s="2" t="inlineStr"/>
      <c r="Q870" s="2" t="inlineStr"/>
      <c r="R870" s="2" t="inlineStr"/>
      <c r="S870" s="2" t="inlineStr"/>
    </row>
    <row r="871">
      <c r="A871" s="2" t="n">
        <v>870</v>
      </c>
      <c r="B871" s="6" t="inlineStr">
        <is>
          <t>MEDIUM</t>
        </is>
      </c>
      <c r="C871" s="2" t="inlineStr">
        <is>
          <t>Weak website</t>
        </is>
      </c>
      <c r="D871" s="2" t="inlineStr">
        <is>
          <t>The Beach House Hotel</t>
        </is>
      </c>
      <c r="E871" s="2" t="inlineStr">
        <is>
          <t>bar or pub</t>
        </is>
      </c>
      <c r="F871" s="2" t="inlineStr">
        <is>
          <t>Hervey Bay</t>
        </is>
      </c>
      <c r="G871" s="2" t="inlineStr">
        <is>
          <t>Instagram</t>
        </is>
      </c>
      <c r="H871" s="4" t="inlineStr">
        <is>
          <t>https://www.instagram.com/beachhouseherveybay</t>
        </is>
      </c>
      <c r="I871" s="4" t="inlineStr">
        <is>
          <t>https://www.facebook.com/BeachHouseHotelHerveyBay</t>
        </is>
      </c>
      <c r="J871" s="2" t="inlineStr"/>
      <c r="K871" s="4" t="inlineStr">
        <is>
          <t>https://beachhousehotel.com.au/</t>
        </is>
      </c>
      <c r="L871" s="2" t="inlineStr">
        <is>
          <t>missing meta description</t>
        </is>
      </c>
      <c r="M871" s="2" t="inlineStr">
        <is>
          <t>Hi The Beach House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1" s="4" t="inlineStr">
        <is>
          <t>Open map</t>
        </is>
      </c>
      <c r="O871" s="2" t="inlineStr">
        <is>
          <t>Not contacted</t>
        </is>
      </c>
      <c r="P871" s="2" t="inlineStr"/>
      <c r="Q871" s="2" t="inlineStr"/>
      <c r="R871" s="2" t="inlineStr"/>
      <c r="S871" s="2" t="inlineStr"/>
    </row>
    <row r="872">
      <c r="A872" s="2" t="n">
        <v>871</v>
      </c>
      <c r="B872" s="6" t="inlineStr">
        <is>
          <t>MEDIUM</t>
        </is>
      </c>
      <c r="C872" s="2" t="inlineStr">
        <is>
          <t>Weak website</t>
        </is>
      </c>
      <c r="D872" s="2" t="inlineStr">
        <is>
          <t>Raine &amp; Horne</t>
        </is>
      </c>
      <c r="E872" s="2" t="inlineStr">
        <is>
          <t>real estate agent</t>
        </is>
      </c>
      <c r="F872" s="2" t="inlineStr">
        <is>
          <t>Hervey Bay</t>
        </is>
      </c>
      <c r="G872" s="2" t="inlineStr">
        <is>
          <t>Instagram</t>
        </is>
      </c>
      <c r="H872" s="4" t="inlineStr">
        <is>
          <t>https://www.instagram.com/raineandhorne</t>
        </is>
      </c>
      <c r="I872" s="4" t="inlineStr">
        <is>
          <t>https://www.facebook.com/raineandhorne</t>
        </is>
      </c>
      <c r="J872" s="2" t="inlineStr">
        <is>
          <t>+61 7 4128 2188</t>
        </is>
      </c>
      <c r="K872" s="4" t="inlineStr">
        <is>
          <t>https://rh.com.au/</t>
        </is>
      </c>
      <c r="L872" s="2" t="inlineStr">
        <is>
          <t>looks outdated (copyright 2023)</t>
        </is>
      </c>
      <c r="M872" s="2" t="inlineStr">
        <is>
          <t>Hi Raine &amp; Horne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2" s="4" t="inlineStr">
        <is>
          <t>Open map</t>
        </is>
      </c>
      <c r="O872" s="2" t="inlineStr">
        <is>
          <t>Not contacted</t>
        </is>
      </c>
      <c r="P872" s="2" t="inlineStr"/>
      <c r="Q872" s="2" t="inlineStr"/>
      <c r="R872" s="2" t="inlineStr"/>
      <c r="S872" s="2" t="inlineStr"/>
    </row>
    <row r="873">
      <c r="A873" s="2" t="n">
        <v>872</v>
      </c>
      <c r="B873" s="6" t="inlineStr">
        <is>
          <t>MEDIUM</t>
        </is>
      </c>
      <c r="C873" s="2" t="inlineStr">
        <is>
          <t>Weak website</t>
        </is>
      </c>
      <c r="D873" s="2" t="inlineStr">
        <is>
          <t>enzo's on the beach</t>
        </is>
      </c>
      <c r="E873" s="2" t="inlineStr">
        <is>
          <t>restaurant</t>
        </is>
      </c>
      <c r="F873" s="2" t="inlineStr">
        <is>
          <t>Hervey Bay</t>
        </is>
      </c>
      <c r="G873" s="2" t="inlineStr">
        <is>
          <t>Instagram</t>
        </is>
      </c>
      <c r="H873" s="4" t="inlineStr">
        <is>
          <t>http://www.instagram.com/enzosonthebeach</t>
        </is>
      </c>
      <c r="I873" s="4" t="inlineStr">
        <is>
          <t>http://www.facebook.com/enzosonthebeach</t>
        </is>
      </c>
      <c r="J873" s="2" t="inlineStr"/>
      <c r="K873" s="4" t="inlineStr">
        <is>
          <t>https://www.enzosonthebeach.com.au/</t>
        </is>
      </c>
      <c r="L873" s="2" t="inlineStr">
        <is>
          <t>looks outdated (copyright 2022)</t>
        </is>
      </c>
      <c r="M873" s="2" t="inlineStr">
        <is>
          <t>Hi enzo's on the beach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3" s="4" t="inlineStr">
        <is>
          <t>Open map</t>
        </is>
      </c>
      <c r="O873" s="2" t="inlineStr">
        <is>
          <t>Not contacted</t>
        </is>
      </c>
      <c r="P873" s="2" t="inlineStr"/>
      <c r="Q873" s="2" t="inlineStr"/>
      <c r="R873" s="2" t="inlineStr"/>
      <c r="S873" s="2" t="inlineStr"/>
    </row>
    <row r="874">
      <c r="A874" s="2" t="n">
        <v>873</v>
      </c>
      <c r="B874" s="6" t="inlineStr">
        <is>
          <t>MEDIUM</t>
        </is>
      </c>
      <c r="C874" s="2" t="inlineStr">
        <is>
          <t>Weak website</t>
        </is>
      </c>
      <c r="D874" s="2" t="inlineStr">
        <is>
          <t>Falvey's Hotel</t>
        </is>
      </c>
      <c r="E874" s="2" t="inlineStr">
        <is>
          <t>bar or pub</t>
        </is>
      </c>
      <c r="F874" s="2" t="inlineStr">
        <is>
          <t>Ipswich</t>
        </is>
      </c>
      <c r="G874" s="2" t="inlineStr">
        <is>
          <t>Instagram</t>
        </is>
      </c>
      <c r="H874" s="4" t="inlineStr">
        <is>
          <t>https://www.instagram.com/falveys_nightclub</t>
        </is>
      </c>
      <c r="I874" s="4" t="inlineStr">
        <is>
          <t>https://www.facebook.com/FalveysHotelYamanto</t>
        </is>
      </c>
      <c r="J874" s="2" t="inlineStr"/>
      <c r="K874" s="4" t="inlineStr">
        <is>
          <t>https://falveyshotelyamanto.com.au/</t>
        </is>
      </c>
      <c r="L874" s="2" t="inlineStr">
        <is>
          <t>looks outdated (copyright 2022)</t>
        </is>
      </c>
      <c r="M874" s="2" t="inlineStr">
        <is>
          <t>Hi Falvey's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4" s="4" t="inlineStr">
        <is>
          <t>Open map</t>
        </is>
      </c>
      <c r="O874" s="2" t="inlineStr">
        <is>
          <t>Not contacted</t>
        </is>
      </c>
      <c r="P874" s="2" t="inlineStr"/>
      <c r="Q874" s="2" t="inlineStr"/>
      <c r="R874" s="2" t="inlineStr"/>
      <c r="S874" s="2" t="inlineStr"/>
    </row>
    <row r="875">
      <c r="A875" s="2" t="n">
        <v>874</v>
      </c>
      <c r="B875" s="6" t="inlineStr">
        <is>
          <t>MEDIUM</t>
        </is>
      </c>
      <c r="C875" s="2" t="inlineStr">
        <is>
          <t>Weak website</t>
        </is>
      </c>
      <c r="D875" s="2" t="inlineStr">
        <is>
          <t>Stellarossa</t>
        </is>
      </c>
      <c r="E875" s="2" t="inlineStr">
        <is>
          <t>cafe</t>
        </is>
      </c>
      <c r="F875" s="2" t="inlineStr">
        <is>
          <t>Ipswich</t>
        </is>
      </c>
      <c r="G875" s="2" t="inlineStr">
        <is>
          <t>Facebook</t>
        </is>
      </c>
      <c r="H875" s="2" t="inlineStr"/>
      <c r="I875" s="4" t="inlineStr">
        <is>
          <t>https://www.facebook.com/stellarossaipswichcbd</t>
        </is>
      </c>
      <c r="J875" s="2" t="inlineStr">
        <is>
          <t>+61 7 3143 0405</t>
        </is>
      </c>
      <c r="K875" s="4" t="inlineStr">
        <is>
          <t>https://www.stellarossa.com.au/ipswichcbd/</t>
        </is>
      </c>
      <c r="L875" s="2" t="inlineStr">
        <is>
          <t>could not check (site served a bot-protection page)</t>
        </is>
      </c>
      <c r="M875" s="2" t="inlineStr">
        <is>
          <t>Hi Stellarossa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5" s="4" t="inlineStr">
        <is>
          <t>Open map</t>
        </is>
      </c>
      <c r="O875" s="2" t="inlineStr">
        <is>
          <t>Not contacted</t>
        </is>
      </c>
      <c r="P875" s="2" t="inlineStr"/>
      <c r="Q875" s="2" t="inlineStr"/>
      <c r="R875" s="2" t="inlineStr"/>
      <c r="S875" s="2" t="inlineStr"/>
    </row>
    <row r="876">
      <c r="A876" s="2" t="n">
        <v>875</v>
      </c>
      <c r="B876" s="6" t="inlineStr">
        <is>
          <t>MEDIUM</t>
        </is>
      </c>
      <c r="C876" s="2" t="inlineStr">
        <is>
          <t>Weak website</t>
        </is>
      </c>
      <c r="D876" s="2" t="inlineStr">
        <is>
          <t>Active Kids Brassall</t>
        </is>
      </c>
      <c r="E876" s="2" t="inlineStr">
        <is>
          <t>childcare</t>
        </is>
      </c>
      <c r="F876" s="2" t="inlineStr">
        <is>
          <t>Ipswich</t>
        </is>
      </c>
      <c r="G876" s="2" t="inlineStr">
        <is>
          <t>Facebook</t>
        </is>
      </c>
      <c r="H876" s="2" t="inlineStr"/>
      <c r="I876" s="4" t="inlineStr">
        <is>
          <t>https://www.facebook.com/profile.php?id=61564823386678</t>
        </is>
      </c>
      <c r="J876" s="2" t="inlineStr"/>
      <c r="K876" s="4" t="inlineStr">
        <is>
          <t>https://activekids.net.au/active-kids-early-learning-centre-brassall/</t>
        </is>
      </c>
      <c r="L876" s="2" t="inlineStr">
        <is>
          <t>could not check (site served a bot-protection page)</t>
        </is>
      </c>
      <c r="M876" s="2" t="inlineStr">
        <is>
          <t>Hi Active Kids Brassall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6" s="4" t="inlineStr">
        <is>
          <t>Open map</t>
        </is>
      </c>
      <c r="O876" s="2" t="inlineStr">
        <is>
          <t>Not contacted</t>
        </is>
      </c>
      <c r="P876" s="2" t="inlineStr"/>
      <c r="Q876" s="2" t="inlineStr"/>
      <c r="R876" s="2" t="inlineStr"/>
      <c r="S876" s="2" t="inlineStr"/>
    </row>
    <row r="877">
      <c r="A877" s="2" t="n">
        <v>876</v>
      </c>
      <c r="B877" s="6" t="inlineStr">
        <is>
          <t>MEDIUM</t>
        </is>
      </c>
      <c r="C877" s="2" t="inlineStr">
        <is>
          <t>Weak website</t>
        </is>
      </c>
      <c r="D877" s="2" t="inlineStr">
        <is>
          <t>Ipswich Early Education Centre</t>
        </is>
      </c>
      <c r="E877" s="2" t="inlineStr">
        <is>
          <t>childcare</t>
        </is>
      </c>
      <c r="F877" s="2" t="inlineStr">
        <is>
          <t>Ipswich</t>
        </is>
      </c>
      <c r="G877" s="2" t="inlineStr">
        <is>
          <t>Instagram</t>
        </is>
      </c>
      <c r="H877" s="4" t="inlineStr">
        <is>
          <t>https://instagram.com/queenslandchildcareservices</t>
        </is>
      </c>
      <c r="I877" s="4" t="inlineStr">
        <is>
          <t>https://www.facebook.com/QCCS.1</t>
        </is>
      </c>
      <c r="J877" s="2" t="inlineStr">
        <is>
          <t>+61 7 3282 9300</t>
        </is>
      </c>
      <c r="K877" s="4" t="inlineStr">
        <is>
          <t>https://www.qccs.com.au/centre/ipswich/</t>
        </is>
      </c>
      <c r="L877" s="2" t="inlineStr">
        <is>
          <t>missing meta description</t>
        </is>
      </c>
      <c r="M877" s="2" t="inlineStr">
        <is>
          <t>Hi Ipswich Early Education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7" s="4" t="inlineStr">
        <is>
          <t>Open map</t>
        </is>
      </c>
      <c r="O877" s="2" t="inlineStr">
        <is>
          <t>Not contacted</t>
        </is>
      </c>
      <c r="P877" s="2" t="inlineStr"/>
      <c r="Q877" s="2" t="inlineStr"/>
      <c r="R877" s="2" t="inlineStr"/>
      <c r="S877" s="2" t="inlineStr"/>
    </row>
    <row r="878">
      <c r="A878" s="2" t="n">
        <v>877</v>
      </c>
      <c r="B878" s="6" t="inlineStr">
        <is>
          <t>MEDIUM</t>
        </is>
      </c>
      <c r="C878" s="2" t="inlineStr">
        <is>
          <t>Weak website</t>
        </is>
      </c>
      <c r="D878" s="2" t="inlineStr">
        <is>
          <t>LEAD Childcare &amp; Education</t>
        </is>
      </c>
      <c r="E878" s="2" t="inlineStr">
        <is>
          <t>childcare</t>
        </is>
      </c>
      <c r="F878" s="2" t="inlineStr">
        <is>
          <t>Ipswich</t>
        </is>
      </c>
      <c r="G878" s="2" t="inlineStr">
        <is>
          <t>Instagram</t>
        </is>
      </c>
      <c r="H878" s="4" t="inlineStr">
        <is>
          <t>https://www.instagram.com/leadchildcare</t>
        </is>
      </c>
      <c r="I878" s="4" t="inlineStr">
        <is>
          <t>https://www.facebook.com/LEADChildcare</t>
        </is>
      </c>
      <c r="J878" s="2" t="inlineStr">
        <is>
          <t>+61 7 5314 8880</t>
        </is>
      </c>
      <c r="K878" s="4" t="inlineStr">
        <is>
          <t>https://www.leadchildcare.com.au/center-details/?sl-store=42</t>
        </is>
      </c>
      <c r="L878" s="2" t="inlineStr">
        <is>
          <t>missing meta description</t>
        </is>
      </c>
      <c r="M878" s="2" t="inlineStr">
        <is>
          <t>Hi LEAD Childcare &amp; Education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8" s="4" t="inlineStr">
        <is>
          <t>Open map</t>
        </is>
      </c>
      <c r="O878" s="2" t="inlineStr">
        <is>
          <t>Not contacted</t>
        </is>
      </c>
      <c r="P878" s="2" t="inlineStr"/>
      <c r="Q878" s="2" t="inlineStr"/>
      <c r="R878" s="2" t="inlineStr"/>
      <c r="S878" s="2" t="inlineStr"/>
    </row>
    <row r="879">
      <c r="A879" s="2" t="n">
        <v>878</v>
      </c>
      <c r="B879" s="6" t="inlineStr">
        <is>
          <t>MEDIUM</t>
        </is>
      </c>
      <c r="C879" s="2" t="inlineStr">
        <is>
          <t>Weak website</t>
        </is>
      </c>
      <c r="D879" s="2" t="inlineStr">
        <is>
          <t>Little World for Scholars</t>
        </is>
      </c>
      <c r="E879" s="2" t="inlineStr">
        <is>
          <t>childcare</t>
        </is>
      </c>
      <c r="F879" s="2" t="inlineStr">
        <is>
          <t>Ipswich</t>
        </is>
      </c>
      <c r="G879" s="2" t="inlineStr">
        <is>
          <t>Facebook</t>
        </is>
      </c>
      <c r="H879" s="2" t="inlineStr"/>
      <c r="I879" s="4" t="inlineStr">
        <is>
          <t>https://www.facebook.com/littleworldforscholarschurchill</t>
        </is>
      </c>
      <c r="J879" s="2" t="inlineStr"/>
      <c r="K879" s="4" t="inlineStr">
        <is>
          <t>https://littleworldchurchill.com</t>
        </is>
      </c>
      <c r="L879" s="2" t="inlineStr">
        <is>
          <t>looks outdated (copyright 2015); missing meta description</t>
        </is>
      </c>
      <c r="M879" s="2" t="inlineStr">
        <is>
          <t>Hi Little World for Scholars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79" s="4" t="inlineStr">
        <is>
          <t>Open map</t>
        </is>
      </c>
      <c r="O879" s="2" t="inlineStr">
        <is>
          <t>Not contacted</t>
        </is>
      </c>
      <c r="P879" s="2" t="inlineStr"/>
      <c r="Q879" s="2" t="inlineStr"/>
      <c r="R879" s="2" t="inlineStr"/>
      <c r="S879" s="2" t="inlineStr"/>
    </row>
    <row r="880">
      <c r="A880" s="2" t="n">
        <v>879</v>
      </c>
      <c r="B880" s="6" t="inlineStr">
        <is>
          <t>MEDIUM</t>
        </is>
      </c>
      <c r="C880" s="2" t="inlineStr">
        <is>
          <t>Weak website</t>
        </is>
      </c>
      <c r="D880" s="2" t="inlineStr">
        <is>
          <t>Everdent</t>
        </is>
      </c>
      <c r="E880" s="2" t="inlineStr">
        <is>
          <t>dentist</t>
        </is>
      </c>
      <c r="F880" s="2" t="inlineStr">
        <is>
          <t>Ipswich</t>
        </is>
      </c>
      <c r="G880" s="2" t="inlineStr">
        <is>
          <t>Instagram</t>
        </is>
      </c>
      <c r="H880" s="4" t="inlineStr">
        <is>
          <t>https://www.instagram.com/everdentclinicipswich</t>
        </is>
      </c>
      <c r="I880" s="4" t="inlineStr">
        <is>
          <t>https://www.facebook.com/EverdentClinic</t>
        </is>
      </c>
      <c r="J880" s="2" t="inlineStr">
        <is>
          <t>+61 7 3143 5899</t>
        </is>
      </c>
      <c r="K880" s="4" t="inlineStr">
        <is>
          <t>https://everdent.com.au/</t>
        </is>
      </c>
      <c r="L880" s="2" t="inlineStr">
        <is>
          <t>looks outdated (copyright 2021); missing meta description</t>
        </is>
      </c>
      <c r="M880" s="2" t="inlineStr">
        <is>
          <t>Hi Everdent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0" s="4" t="inlineStr">
        <is>
          <t>Open map</t>
        </is>
      </c>
      <c r="O880" s="2" t="inlineStr">
        <is>
          <t>Not contacted</t>
        </is>
      </c>
      <c r="P880" s="2" t="inlineStr"/>
      <c r="Q880" s="2" t="inlineStr"/>
      <c r="R880" s="2" t="inlineStr"/>
      <c r="S880" s="2" t="inlineStr"/>
    </row>
    <row r="881">
      <c r="A881" s="2" t="n">
        <v>880</v>
      </c>
      <c r="B881" s="6" t="inlineStr">
        <is>
          <t>MEDIUM</t>
        </is>
      </c>
      <c r="C881" s="2" t="inlineStr">
        <is>
          <t>Weak website</t>
        </is>
      </c>
      <c r="D881" s="2" t="inlineStr">
        <is>
          <t>Goodlife Health Club</t>
        </is>
      </c>
      <c r="E881" s="2" t="inlineStr">
        <is>
          <t>gym or studio</t>
        </is>
      </c>
      <c r="F881" s="2" t="inlineStr">
        <is>
          <t>Ipswich</t>
        </is>
      </c>
      <c r="G881" s="2" t="inlineStr">
        <is>
          <t>Instagram</t>
        </is>
      </c>
      <c r="H881" s="4" t="inlineStr">
        <is>
          <t>https://www.instagram.com/goodlifehc</t>
        </is>
      </c>
      <c r="I881" s="4" t="inlineStr">
        <is>
          <t>https://www.facebook.com/goodlifehealthclubs</t>
        </is>
      </c>
      <c r="J881" s="2" t="inlineStr">
        <is>
          <t>+61 7 3813 6655</t>
        </is>
      </c>
      <c r="K881" s="4" t="inlineStr">
        <is>
          <t>https://www.goodlifehealthclubs.com.au/</t>
        </is>
      </c>
      <c r="L881" s="2" t="inlineStr">
        <is>
          <t>looks outdated (copyright 2022)</t>
        </is>
      </c>
      <c r="M881" s="2" t="inlineStr">
        <is>
          <t>Hi Goodlife Health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1" s="4" t="inlineStr">
        <is>
          <t>Open map</t>
        </is>
      </c>
      <c r="O881" s="2" t="inlineStr">
        <is>
          <t>Not contacted</t>
        </is>
      </c>
      <c r="P881" s="2" t="inlineStr"/>
      <c r="Q881" s="2" t="inlineStr"/>
      <c r="R881" s="2" t="inlineStr"/>
      <c r="S881" s="2" t="inlineStr"/>
    </row>
    <row r="882">
      <c r="A882" s="2" t="n">
        <v>881</v>
      </c>
      <c r="B882" s="6" t="inlineStr">
        <is>
          <t>MEDIUM</t>
        </is>
      </c>
      <c r="C882" s="2" t="inlineStr">
        <is>
          <t>Weak website</t>
        </is>
      </c>
      <c r="D882" s="2" t="inlineStr">
        <is>
          <t>Ipswich Wing Chun Kung Fu Academy</t>
        </is>
      </c>
      <c r="E882" s="2" t="inlineStr">
        <is>
          <t>gym or studio</t>
        </is>
      </c>
      <c r="F882" s="2" t="inlineStr">
        <is>
          <t>Ipswich</t>
        </is>
      </c>
      <c r="G882" s="2" t="inlineStr">
        <is>
          <t>Facebook</t>
        </is>
      </c>
      <c r="H882" s="2" t="inlineStr"/>
      <c r="I882" s="4" t="inlineStr">
        <is>
          <t>http://www.facebook.com/1409871819225608</t>
        </is>
      </c>
      <c r="J882" s="2" t="inlineStr">
        <is>
          <t>+61 7 3812 1118</t>
        </is>
      </c>
      <c r="K882" s="4" t="inlineStr">
        <is>
          <t>https://www.ipswich-wckf.com/</t>
        </is>
      </c>
      <c r="L882" s="2" t="inlineStr">
        <is>
          <t>looks outdated (copyright 2014)</t>
        </is>
      </c>
      <c r="M882" s="2" t="inlineStr">
        <is>
          <t>Hi Ipswich Wing Chun Kung Fu Academy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2" s="4" t="inlineStr">
        <is>
          <t>Open map</t>
        </is>
      </c>
      <c r="O882" s="2" t="inlineStr">
        <is>
          <t>Not contacted</t>
        </is>
      </c>
      <c r="P882" s="2" t="inlineStr"/>
      <c r="Q882" s="2" t="inlineStr"/>
      <c r="R882" s="2" t="inlineStr"/>
      <c r="S882" s="2" t="inlineStr"/>
    </row>
    <row r="883">
      <c r="A883" s="2" t="n">
        <v>882</v>
      </c>
      <c r="B883" s="6" t="inlineStr">
        <is>
          <t>MEDIUM</t>
        </is>
      </c>
      <c r="C883" s="2" t="inlineStr">
        <is>
          <t>Weak website</t>
        </is>
      </c>
      <c r="D883" s="2" t="inlineStr">
        <is>
          <t>View Fitness</t>
        </is>
      </c>
      <c r="E883" s="2" t="inlineStr">
        <is>
          <t>gym or studio</t>
        </is>
      </c>
      <c r="F883" s="2" t="inlineStr">
        <is>
          <t>Ipswich</t>
        </is>
      </c>
      <c r="G883" s="2" t="inlineStr">
        <is>
          <t>Instagram</t>
        </is>
      </c>
      <c r="H883" s="4" t="inlineStr">
        <is>
          <t>https://www.instagram.com/williamgeertsma</t>
        </is>
      </c>
      <c r="I883" s="4" t="inlineStr">
        <is>
          <t>https://www.facebook.com/ViewFitnessIpswich</t>
        </is>
      </c>
      <c r="J883" s="2" t="inlineStr">
        <is>
          <t>+61 7 3496 1372</t>
        </is>
      </c>
      <c r="K883" s="4" t="inlineStr">
        <is>
          <t>https://www.view-fitness.com/</t>
        </is>
      </c>
      <c r="L883" s="2" t="inlineStr">
        <is>
          <t>looks outdated (copyright 2015); missing meta description</t>
        </is>
      </c>
      <c r="M883" s="2" t="inlineStr">
        <is>
          <t>Hi View Fitness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3" s="4" t="inlineStr">
        <is>
          <t>Open map</t>
        </is>
      </c>
      <c r="O883" s="2" t="inlineStr">
        <is>
          <t>Not contacted</t>
        </is>
      </c>
      <c r="P883" s="2" t="inlineStr"/>
      <c r="Q883" s="2" t="inlineStr"/>
      <c r="R883" s="2" t="inlineStr"/>
      <c r="S883" s="2" t="inlineStr"/>
    </row>
    <row r="884">
      <c r="A884" s="2" t="n">
        <v>883</v>
      </c>
      <c r="B884" s="6" t="inlineStr">
        <is>
          <t>MEDIUM</t>
        </is>
      </c>
      <c r="C884" s="2" t="inlineStr">
        <is>
          <t>Weak website</t>
        </is>
      </c>
      <c r="D884" s="2" t="inlineStr">
        <is>
          <t>Sapar Landscaping Supplies</t>
        </is>
      </c>
      <c r="E884" s="2" t="inlineStr">
        <is>
          <t>landscaper</t>
        </is>
      </c>
      <c r="F884" s="2" t="inlineStr">
        <is>
          <t>Ipswich</t>
        </is>
      </c>
      <c r="G884" s="2" t="inlineStr">
        <is>
          <t>Facebook</t>
        </is>
      </c>
      <c r="H884" s="2" t="inlineStr"/>
      <c r="I884" s="4" t="inlineStr">
        <is>
          <t>https://www.facebook.com/saparlandscapingsupplies</t>
        </is>
      </c>
      <c r="J884" s="2" t="inlineStr">
        <is>
          <t>+61 7 3281 7888</t>
        </is>
      </c>
      <c r="K884" s="4" t="inlineStr">
        <is>
          <t>https://sapar.com.au/</t>
        </is>
      </c>
      <c r="L884" s="2" t="inlineStr">
        <is>
          <t>missing meta description</t>
        </is>
      </c>
      <c r="M884" s="2" t="inlineStr">
        <is>
          <t>Hi Sapar Landscaping Supplies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4" s="4" t="inlineStr">
        <is>
          <t>Open map</t>
        </is>
      </c>
      <c r="O884" s="2" t="inlineStr">
        <is>
          <t>Not contacted</t>
        </is>
      </c>
      <c r="P884" s="2" t="inlineStr"/>
      <c r="Q884" s="2" t="inlineStr"/>
      <c r="R884" s="2" t="inlineStr"/>
      <c r="S884" s="2" t="inlineStr"/>
    </row>
    <row r="885">
      <c r="A885" s="2" t="n">
        <v>884</v>
      </c>
      <c r="B885" s="6" t="inlineStr">
        <is>
          <t>MEDIUM</t>
        </is>
      </c>
      <c r="C885" s="2" t="inlineStr">
        <is>
          <t>Weak website</t>
        </is>
      </c>
      <c r="D885" s="2" t="inlineStr">
        <is>
          <t>Churchill Skin Cancer Clinic</t>
        </is>
      </c>
      <c r="E885" s="2" t="inlineStr">
        <is>
          <t>medical clinic</t>
        </is>
      </c>
      <c r="F885" s="2" t="inlineStr">
        <is>
          <t>Ipswich</t>
        </is>
      </c>
      <c r="G885" s="2" t="inlineStr">
        <is>
          <t>Facebook</t>
        </is>
      </c>
      <c r="H885" s="2" t="inlineStr"/>
      <c r="I885" s="4" t="inlineStr">
        <is>
          <t>https://www.facebook.com/wix</t>
        </is>
      </c>
      <c r="J885" s="2" t="inlineStr">
        <is>
          <t>+61 7 3294 0026</t>
        </is>
      </c>
      <c r="K885" s="4" t="inlineStr">
        <is>
          <t>https://www.churchillskincancerclinic.com/</t>
        </is>
      </c>
      <c r="L885" s="2" t="inlineStr">
        <is>
          <t>looks outdated (copyright 2020); missing meta description</t>
        </is>
      </c>
      <c r="M885" s="2" t="inlineStr">
        <is>
          <t>Hi Churchill Skin Cancer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5" s="4" t="inlineStr">
        <is>
          <t>Open map</t>
        </is>
      </c>
      <c r="O885" s="2" t="inlineStr">
        <is>
          <t>Not contacted</t>
        </is>
      </c>
      <c r="P885" s="2" t="inlineStr"/>
      <c r="Q885" s="2" t="inlineStr"/>
      <c r="R885" s="2" t="inlineStr"/>
      <c r="S885" s="2" t="inlineStr"/>
    </row>
    <row r="886">
      <c r="A886" s="2" t="n">
        <v>885</v>
      </c>
      <c r="B886" s="6" t="inlineStr">
        <is>
          <t>MEDIUM</t>
        </is>
      </c>
      <c r="C886" s="2" t="inlineStr">
        <is>
          <t>Weak website</t>
        </is>
      </c>
      <c r="D886" s="2" t="inlineStr">
        <is>
          <t>Exact Radiology Clinics</t>
        </is>
      </c>
      <c r="E886" s="2" t="inlineStr">
        <is>
          <t>medical clinic</t>
        </is>
      </c>
      <c r="F886" s="2" t="inlineStr">
        <is>
          <t>Ipswich</t>
        </is>
      </c>
      <c r="G886" s="2" t="inlineStr">
        <is>
          <t>Facebook</t>
        </is>
      </c>
      <c r="H886" s="2" t="inlineStr"/>
      <c r="I886" s="4" t="inlineStr">
        <is>
          <t>https://www.facebook.com/ExactRadiologyClinics</t>
        </is>
      </c>
      <c r="J886" s="2" t="inlineStr">
        <is>
          <t>+61 7 3281 9051</t>
        </is>
      </c>
      <c r="K886" s="4" t="inlineStr">
        <is>
          <t>https://www.exactradiology.com.au/</t>
        </is>
      </c>
      <c r="L886" s="2" t="inlineStr">
        <is>
          <t>missing meta description</t>
        </is>
      </c>
      <c r="M886" s="2" t="inlineStr">
        <is>
          <t>Hi Exact Radiology Clinics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6" s="4" t="inlineStr">
        <is>
          <t>Open map</t>
        </is>
      </c>
      <c r="O886" s="2" t="inlineStr">
        <is>
          <t>Not contacted</t>
        </is>
      </c>
      <c r="P886" s="2" t="inlineStr"/>
      <c r="Q886" s="2" t="inlineStr"/>
      <c r="R886" s="2" t="inlineStr"/>
      <c r="S886" s="2" t="inlineStr"/>
    </row>
    <row r="887">
      <c r="A887" s="2" t="n">
        <v>886</v>
      </c>
      <c r="B887" s="6" t="inlineStr">
        <is>
          <t>MEDIUM</t>
        </is>
      </c>
      <c r="C887" s="2" t="inlineStr">
        <is>
          <t>Weak website</t>
        </is>
      </c>
      <c r="D887" s="2" t="inlineStr">
        <is>
          <t>The Sharp Clinic</t>
        </is>
      </c>
      <c r="E887" s="2" t="inlineStr">
        <is>
          <t>medical clinic</t>
        </is>
      </c>
      <c r="F887" s="2" t="inlineStr">
        <is>
          <t>Ipswich</t>
        </is>
      </c>
      <c r="G887" s="2" t="inlineStr">
        <is>
          <t>Instagram</t>
        </is>
      </c>
      <c r="H887" s="4" t="inlineStr">
        <is>
          <t>https://www.instagram.com/drdavidsharp</t>
        </is>
      </c>
      <c r="I887" s="4" t="inlineStr">
        <is>
          <t>https://www.facebook.com/PlasticAndCosmeticSurgeryAustralia</t>
        </is>
      </c>
      <c r="J887" s="2" t="inlineStr">
        <is>
          <t>+61 7 3202 4744</t>
        </is>
      </c>
      <c r="K887" s="4" t="inlineStr">
        <is>
          <t>https://www.plastic-surgery-brisbane.com.au/</t>
        </is>
      </c>
      <c r="L887" s="2" t="inlineStr">
        <is>
          <t>looks outdated (copyright 2015)</t>
        </is>
      </c>
      <c r="M887" s="2" t="inlineStr">
        <is>
          <t>Hi The Sharp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7" s="4" t="inlineStr">
        <is>
          <t>Open map</t>
        </is>
      </c>
      <c r="O887" s="2" t="inlineStr">
        <is>
          <t>Not contacted</t>
        </is>
      </c>
      <c r="P887" s="2" t="inlineStr"/>
      <c r="Q887" s="2" t="inlineStr"/>
      <c r="R887" s="2" t="inlineStr"/>
      <c r="S887" s="2" t="inlineStr"/>
    </row>
    <row r="888">
      <c r="A888" s="2" t="n">
        <v>887</v>
      </c>
      <c r="B888" s="6" t="inlineStr">
        <is>
          <t>MEDIUM</t>
        </is>
      </c>
      <c r="C888" s="2" t="inlineStr">
        <is>
          <t>Weak website</t>
        </is>
      </c>
      <c r="D888" s="2" t="inlineStr">
        <is>
          <t>La Parilla</t>
        </is>
      </c>
      <c r="E888" s="2" t="inlineStr">
        <is>
          <t>restaurant</t>
        </is>
      </c>
      <c r="F888" s="2" t="inlineStr">
        <is>
          <t>Ipswich</t>
        </is>
      </c>
      <c r="G888" s="2" t="inlineStr">
        <is>
          <t>Instagram</t>
        </is>
      </c>
      <c r="H888" s="4" t="inlineStr">
        <is>
          <t>https://www.instagram.com/laparrilla85</t>
        </is>
      </c>
      <c r="I888" s="4" t="inlineStr">
        <is>
          <t>https://www.facebook.com/www.laparrilla.com.au</t>
        </is>
      </c>
      <c r="J888" s="2" t="inlineStr">
        <is>
          <t>+61 7 3498 0480</t>
        </is>
      </c>
      <c r="K888" s="4" t="inlineStr">
        <is>
          <t>https://laparrilla.com.au/</t>
        </is>
      </c>
      <c r="L888" s="2" t="inlineStr">
        <is>
          <t>missing meta description</t>
        </is>
      </c>
      <c r="M888" s="2" t="inlineStr">
        <is>
          <t>Hi La Parilla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8" s="4" t="inlineStr">
        <is>
          <t>Open map</t>
        </is>
      </c>
      <c r="O888" s="2" t="inlineStr">
        <is>
          <t>Not contacted</t>
        </is>
      </c>
      <c r="P888" s="2" t="inlineStr"/>
      <c r="Q888" s="2" t="inlineStr"/>
      <c r="R888" s="2" t="inlineStr"/>
      <c r="S888" s="2" t="inlineStr"/>
    </row>
    <row r="889">
      <c r="A889" s="2" t="n">
        <v>888</v>
      </c>
      <c r="B889" s="6" t="inlineStr">
        <is>
          <t>MEDIUM</t>
        </is>
      </c>
      <c r="C889" s="2" t="inlineStr">
        <is>
          <t>Weak website</t>
        </is>
      </c>
      <c r="D889" s="2" t="inlineStr">
        <is>
          <t>Lone Star Ribhouse</t>
        </is>
      </c>
      <c r="E889" s="2" t="inlineStr">
        <is>
          <t>restaurant</t>
        </is>
      </c>
      <c r="F889" s="2" t="inlineStr">
        <is>
          <t>Ipswich</t>
        </is>
      </c>
      <c r="G889" s="2" t="inlineStr">
        <is>
          <t>Instagram</t>
        </is>
      </c>
      <c r="H889" s="4" t="inlineStr">
        <is>
          <t>https://www.instagram.com/lonestarribhouseipswich</t>
        </is>
      </c>
      <c r="I889" s="4" t="inlineStr">
        <is>
          <t>https://www.facebook.com/profile.php</t>
        </is>
      </c>
      <c r="J889" s="2" t="inlineStr">
        <is>
          <t>+61 7 3470 5619</t>
        </is>
      </c>
      <c r="K889" s="4" t="inlineStr">
        <is>
          <t>https://lonestarribhouse.com.au/locations/ipswich-coming-soon/</t>
        </is>
      </c>
      <c r="L889" s="2" t="inlineStr">
        <is>
          <t>missing meta description; slow to load (8.9s)</t>
        </is>
      </c>
      <c r="M889" s="2" t="inlineStr">
        <is>
          <t>Hi Lone Star Ribhouse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89" s="4" t="inlineStr">
        <is>
          <t>Open map</t>
        </is>
      </c>
      <c r="O889" s="2" t="inlineStr">
        <is>
          <t>Not contacted</t>
        </is>
      </c>
      <c r="P889" s="2" t="inlineStr"/>
      <c r="Q889" s="2" t="inlineStr"/>
      <c r="R889" s="2" t="inlineStr"/>
      <c r="S889" s="2" t="inlineStr"/>
    </row>
    <row r="890">
      <c r="A890" s="2" t="n">
        <v>889</v>
      </c>
      <c r="B890" s="6" t="inlineStr">
        <is>
          <t>MEDIUM</t>
        </is>
      </c>
      <c r="C890" s="2" t="inlineStr">
        <is>
          <t>Weak website</t>
        </is>
      </c>
      <c r="D890" s="2" t="inlineStr">
        <is>
          <t>Montezuma's</t>
        </is>
      </c>
      <c r="E890" s="2" t="inlineStr">
        <is>
          <t>restaurant</t>
        </is>
      </c>
      <c r="F890" s="2" t="inlineStr">
        <is>
          <t>Ipswich</t>
        </is>
      </c>
      <c r="G890" s="2" t="inlineStr">
        <is>
          <t>Instagram</t>
        </is>
      </c>
      <c r="H890" s="4" t="inlineStr">
        <is>
          <t>https://www.instagram.com/montezumasmexican</t>
        </is>
      </c>
      <c r="I890" s="4" t="inlineStr">
        <is>
          <t>https://www.facebook.com/montezumasmexican</t>
        </is>
      </c>
      <c r="J890" s="2" t="inlineStr">
        <is>
          <t>+61 7 3143 2099</t>
        </is>
      </c>
      <c r="K890" s="4" t="inlineStr">
        <is>
          <t>https://www.montezumas.com.au/locations/ipswich/</t>
        </is>
      </c>
      <c r="L890" s="2" t="inlineStr">
        <is>
          <t>missing meta description</t>
        </is>
      </c>
      <c r="M890" s="2" t="inlineStr">
        <is>
          <t>Hi Montezuma's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0" s="4" t="inlineStr">
        <is>
          <t>Open map</t>
        </is>
      </c>
      <c r="O890" s="2" t="inlineStr">
        <is>
          <t>Not contacted</t>
        </is>
      </c>
      <c r="P890" s="2" t="inlineStr"/>
      <c r="Q890" s="2" t="inlineStr"/>
      <c r="R890" s="2" t="inlineStr"/>
      <c r="S890" s="2" t="inlineStr"/>
    </row>
    <row r="891">
      <c r="A891" s="2" t="n">
        <v>890</v>
      </c>
      <c r="B891" s="6" t="inlineStr">
        <is>
          <t>MEDIUM</t>
        </is>
      </c>
      <c r="C891" s="2" t="inlineStr">
        <is>
          <t>Weak website</t>
        </is>
      </c>
      <c r="D891" s="2" t="inlineStr">
        <is>
          <t>Phat Boyz</t>
        </is>
      </c>
      <c r="E891" s="2" t="inlineStr">
        <is>
          <t>restaurant</t>
        </is>
      </c>
      <c r="F891" s="2" t="inlineStr">
        <is>
          <t>Ipswich</t>
        </is>
      </c>
      <c r="G891" s="2" t="inlineStr">
        <is>
          <t>Instagram</t>
        </is>
      </c>
      <c r="H891" s="4" t="inlineStr">
        <is>
          <t>https://www.instagram.com/phatboyzsmoking</t>
        </is>
      </c>
      <c r="I891" s="4" t="inlineStr">
        <is>
          <t>https://www.facebook.com/phatboyzsmoking</t>
        </is>
      </c>
      <c r="J891" s="2" t="inlineStr">
        <is>
          <t>+61 7 5464 5198</t>
        </is>
      </c>
      <c r="K891" s="4" t="inlineStr">
        <is>
          <t>https://phatboyz.com.au</t>
        </is>
      </c>
      <c r="L891" s="2" t="inlineStr">
        <is>
          <t>missing meta description</t>
        </is>
      </c>
      <c r="M891" s="2" t="inlineStr">
        <is>
          <t>Hi Phat Boyz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1" s="4" t="inlineStr">
        <is>
          <t>Open map</t>
        </is>
      </c>
      <c r="O891" s="2" t="inlineStr">
        <is>
          <t>Not contacted</t>
        </is>
      </c>
      <c r="P891" s="2" t="inlineStr"/>
      <c r="Q891" s="2" t="inlineStr"/>
      <c r="R891" s="2" t="inlineStr"/>
      <c r="S891" s="2" t="inlineStr"/>
    </row>
    <row r="892">
      <c r="A892" s="2" t="n">
        <v>891</v>
      </c>
      <c r="B892" s="6" t="inlineStr">
        <is>
          <t>MEDIUM</t>
        </is>
      </c>
      <c r="C892" s="2" t="inlineStr">
        <is>
          <t>Weak website</t>
        </is>
      </c>
      <c r="D892" s="2" t="inlineStr">
        <is>
          <t>Rashays</t>
        </is>
      </c>
      <c r="E892" s="2" t="inlineStr">
        <is>
          <t>restaurant</t>
        </is>
      </c>
      <c r="F892" s="2" t="inlineStr">
        <is>
          <t>Ipswich</t>
        </is>
      </c>
      <c r="G892" s="2" t="inlineStr">
        <is>
          <t>Instagram</t>
        </is>
      </c>
      <c r="H892" s="4" t="inlineStr">
        <is>
          <t>https://www.instagram.com/rashays</t>
        </is>
      </c>
      <c r="I892" s="4" t="inlineStr">
        <is>
          <t>https://www.facebook.com/rashayscasualdining</t>
        </is>
      </c>
      <c r="J892" s="2" t="inlineStr"/>
      <c r="K892" s="4" t="inlineStr">
        <is>
          <t>https://www.rashays.com/</t>
        </is>
      </c>
      <c r="L892" s="2" t="inlineStr">
        <is>
          <t>missing meta description</t>
        </is>
      </c>
      <c r="M892" s="2" t="inlineStr">
        <is>
          <t>Hi Rashays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2" s="4" t="inlineStr">
        <is>
          <t>Open map</t>
        </is>
      </c>
      <c r="O892" s="2" t="inlineStr">
        <is>
          <t>Not contacted</t>
        </is>
      </c>
      <c r="P892" s="2" t="inlineStr"/>
      <c r="Q892" s="2" t="inlineStr"/>
      <c r="R892" s="2" t="inlineStr"/>
      <c r="S892" s="2" t="inlineStr"/>
    </row>
    <row r="893">
      <c r="A893" s="2" t="n">
        <v>892</v>
      </c>
      <c r="B893" s="6" t="inlineStr">
        <is>
          <t>MEDIUM</t>
        </is>
      </c>
      <c r="C893" s="2" t="inlineStr">
        <is>
          <t>Weak website</t>
        </is>
      </c>
      <c r="D893" s="2" t="inlineStr">
        <is>
          <t>Sushi Guru</t>
        </is>
      </c>
      <c r="E893" s="2" t="inlineStr">
        <is>
          <t>takeaway</t>
        </is>
      </c>
      <c r="F893" s="2" t="inlineStr">
        <is>
          <t>Ipswich</t>
        </is>
      </c>
      <c r="G893" s="2" t="inlineStr">
        <is>
          <t>Instagram</t>
        </is>
      </c>
      <c r="H893" s="4" t="inlineStr">
        <is>
          <t>https://www.instagram.com/riverlinkSC</t>
        </is>
      </c>
      <c r="I893" s="4" t="inlineStr">
        <is>
          <t>https://www.facebook.com/riverlinkipswich</t>
        </is>
      </c>
      <c r="J893" s="2" t="inlineStr"/>
      <c r="K893" s="4" t="inlineStr">
        <is>
          <t>https://www.riverlink.net.au/store/sushi-guru/?location=FC05</t>
        </is>
      </c>
      <c r="L893" s="2" t="inlineStr">
        <is>
          <t>looks outdated (copyright 2019); missing meta description</t>
        </is>
      </c>
      <c r="M893" s="2" t="inlineStr">
        <is>
          <t>Hi Sushi Guru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3" s="4" t="inlineStr">
        <is>
          <t>Open map</t>
        </is>
      </c>
      <c r="O893" s="2" t="inlineStr">
        <is>
          <t>Not contacted</t>
        </is>
      </c>
      <c r="P893" s="2" t="inlineStr"/>
      <c r="Q893" s="2" t="inlineStr"/>
      <c r="R893" s="2" t="inlineStr"/>
      <c r="S893" s="2" t="inlineStr"/>
    </row>
    <row r="894">
      <c r="A894" s="2" t="n">
        <v>893</v>
      </c>
      <c r="B894" s="6" t="inlineStr">
        <is>
          <t>MEDIUM</t>
        </is>
      </c>
      <c r="C894" s="2" t="inlineStr">
        <is>
          <t>Weak website</t>
        </is>
      </c>
      <c r="D894" s="2" t="inlineStr">
        <is>
          <t>Walker's Doughnuts</t>
        </is>
      </c>
      <c r="E894" s="2" t="inlineStr">
        <is>
          <t>takeaway</t>
        </is>
      </c>
      <c r="F894" s="2" t="inlineStr">
        <is>
          <t>Ipswich</t>
        </is>
      </c>
      <c r="G894" s="2" t="inlineStr">
        <is>
          <t>Instagram</t>
        </is>
      </c>
      <c r="H894" s="4" t="inlineStr">
        <is>
          <t>https://www.instagram.com/walkersdoughnuts</t>
        </is>
      </c>
      <c r="I894" s="4" t="inlineStr">
        <is>
          <t>https://www.facebook.com/walkersdoughnuts</t>
        </is>
      </c>
      <c r="J894" s="2" t="inlineStr">
        <is>
          <t>+61 7 3281 3104</t>
        </is>
      </c>
      <c r="K894" s="4" t="inlineStr">
        <is>
          <t>https://walkersdoughnuts.com.au/</t>
        </is>
      </c>
      <c r="L894" s="2" t="inlineStr">
        <is>
          <t>looks outdated (copyright 2020); slow to load (5.1s)</t>
        </is>
      </c>
      <c r="M894" s="2" t="inlineStr">
        <is>
          <t>Hi Walker's Doughnuts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94" s="4" t="inlineStr">
        <is>
          <t>Open map</t>
        </is>
      </c>
      <c r="O894" s="2" t="inlineStr">
        <is>
          <t>Not contacted</t>
        </is>
      </c>
      <c r="P894" s="2" t="inlineStr"/>
      <c r="Q894" s="2" t="inlineStr"/>
      <c r="R894" s="2" t="inlineStr"/>
      <c r="S894" s="2" t="inlineStr"/>
    </row>
    <row r="895">
      <c r="A895" s="2" t="n">
        <v>894</v>
      </c>
      <c r="B895" s="6" t="inlineStr">
        <is>
          <t>MEDIUM</t>
        </is>
      </c>
      <c r="C895" s="2" t="inlineStr">
        <is>
          <t>Weak website</t>
        </is>
      </c>
      <c r="D895" s="2" t="inlineStr">
        <is>
          <t>Mackay Oceanside Central Apartment Hotel</t>
        </is>
      </c>
      <c r="E895" s="2" t="inlineStr">
        <is>
          <t>accommodation</t>
        </is>
      </c>
      <c r="F895" s="2" t="inlineStr">
        <is>
          <t>Mackay</t>
        </is>
      </c>
      <c r="G895" s="2" t="inlineStr">
        <is>
          <t>Instagram</t>
        </is>
      </c>
      <c r="H895" s="4" t="inlineStr">
        <is>
          <t>https://www.instagram.com/cag_australia</t>
        </is>
      </c>
      <c r="I895" s="4" t="inlineStr">
        <is>
          <t>https://www.facebook.com/CentralApartmentGroup</t>
        </is>
      </c>
      <c r="J895" s="2" t="inlineStr">
        <is>
          <t>+61 7 5689 0388</t>
        </is>
      </c>
      <c r="K895" s="4" t="inlineStr">
        <is>
          <t>https://www.mackayoceansidecentral.com.au/</t>
        </is>
      </c>
      <c r="L895" s="2" t="inlineStr">
        <is>
          <t>missing meta description</t>
        </is>
      </c>
      <c r="M895" s="2" t="inlineStr">
        <is>
          <t>Hi Mackay Oceanside Central Apartment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5" s="4" t="inlineStr">
        <is>
          <t>Open map</t>
        </is>
      </c>
      <c r="O895" s="2" t="inlineStr">
        <is>
          <t>Not contacted</t>
        </is>
      </c>
      <c r="P895" s="2" t="inlineStr"/>
      <c r="Q895" s="2" t="inlineStr"/>
      <c r="R895" s="2" t="inlineStr"/>
      <c r="S895" s="2" t="inlineStr"/>
    </row>
    <row r="896">
      <c r="A896" s="2" t="n">
        <v>895</v>
      </c>
      <c r="B896" s="6" t="inlineStr">
        <is>
          <t>MEDIUM</t>
        </is>
      </c>
      <c r="C896" s="2" t="inlineStr">
        <is>
          <t>Weak website</t>
        </is>
      </c>
      <c r="D896" s="2" t="inlineStr">
        <is>
          <t>Zero Weakness</t>
        </is>
      </c>
      <c r="E896" s="2" t="inlineStr">
        <is>
          <t>gym or studio</t>
        </is>
      </c>
      <c r="F896" s="2" t="inlineStr">
        <is>
          <t>Mackay</t>
        </is>
      </c>
      <c r="G896" s="2" t="inlineStr">
        <is>
          <t>Instagram</t>
        </is>
      </c>
      <c r="H896" s="4" t="inlineStr">
        <is>
          <t>https://www.instagram.com/zero_weakness</t>
        </is>
      </c>
      <c r="I896" s="4" t="inlineStr">
        <is>
          <t>https://www.facebook.com/zeroweakness</t>
        </is>
      </c>
      <c r="J896" s="2" t="inlineStr"/>
      <c r="K896" s="4" t="inlineStr">
        <is>
          <t>https://www.zerow.com.au/mackay</t>
        </is>
      </c>
      <c r="L896" s="2" t="inlineStr">
        <is>
          <t>slow to load (4.0s)</t>
        </is>
      </c>
      <c r="M896" s="2" t="inlineStr">
        <is>
          <t>Hi Zero Weakness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96" s="4" t="inlineStr">
        <is>
          <t>Open map</t>
        </is>
      </c>
      <c r="O896" s="2" t="inlineStr">
        <is>
          <t>Not contacted</t>
        </is>
      </c>
      <c r="P896" s="2" t="inlineStr"/>
      <c r="Q896" s="2" t="inlineStr"/>
      <c r="R896" s="2" t="inlineStr"/>
      <c r="S896" s="2" t="inlineStr"/>
    </row>
    <row r="897">
      <c r="A897" s="2" t="n">
        <v>896</v>
      </c>
      <c r="B897" s="6" t="inlineStr">
        <is>
          <t>MEDIUM</t>
        </is>
      </c>
      <c r="C897" s="2" t="inlineStr">
        <is>
          <t>Weak website</t>
        </is>
      </c>
      <c r="D897" s="2" t="inlineStr">
        <is>
          <t>Slade Point Medical Centre</t>
        </is>
      </c>
      <c r="E897" s="2" t="inlineStr">
        <is>
          <t>medical clinic</t>
        </is>
      </c>
      <c r="F897" s="2" t="inlineStr">
        <is>
          <t>Mackay</t>
        </is>
      </c>
      <c r="G897" s="2" t="inlineStr">
        <is>
          <t>Facebook</t>
        </is>
      </c>
      <c r="H897" s="2" t="inlineStr"/>
      <c r="I897" s="4" t="inlineStr">
        <is>
          <t>https://www.facebook.com/SladePointSurgery</t>
        </is>
      </c>
      <c r="J897" s="2" t="inlineStr">
        <is>
          <t>+61 7 4955 2300</t>
        </is>
      </c>
      <c r="K897" s="4" t="inlineStr">
        <is>
          <t>https://www.sladepoint.com.au/</t>
        </is>
      </c>
      <c r="L897" s="2" t="inlineStr">
        <is>
          <t>looks outdated (copyright 2015); missing meta description; slow to load (3.0s)</t>
        </is>
      </c>
      <c r="M897" s="2" t="inlineStr">
        <is>
          <t>Hi Slade Point Medical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97" s="4" t="inlineStr">
        <is>
          <t>Open map</t>
        </is>
      </c>
      <c r="O897" s="2" t="inlineStr">
        <is>
          <t>Not contacted</t>
        </is>
      </c>
      <c r="P897" s="2" t="inlineStr"/>
      <c r="Q897" s="2" t="inlineStr"/>
      <c r="R897" s="2" t="inlineStr"/>
      <c r="S897" s="2" t="inlineStr"/>
    </row>
    <row r="898">
      <c r="A898" s="2" t="n">
        <v>897</v>
      </c>
      <c r="B898" s="6" t="inlineStr">
        <is>
          <t>MEDIUM</t>
        </is>
      </c>
      <c r="C898" s="2" t="inlineStr">
        <is>
          <t>Weak website</t>
        </is>
      </c>
      <c r="D898" s="2" t="inlineStr">
        <is>
          <t>Eyes-R-Us Optometrists</t>
        </is>
      </c>
      <c r="E898" s="2" t="inlineStr">
        <is>
          <t>optometrist</t>
        </is>
      </c>
      <c r="F898" s="2" t="inlineStr">
        <is>
          <t>Mackay</t>
        </is>
      </c>
      <c r="G898" s="2" t="inlineStr">
        <is>
          <t>Facebook</t>
        </is>
      </c>
      <c r="H898" s="2" t="inlineStr"/>
      <c r="I898" s="4" t="inlineStr">
        <is>
          <t>https://www.facebook.com/EyesrusMackay</t>
        </is>
      </c>
      <c r="J898" s="2" t="inlineStr">
        <is>
          <t>+61 7 4942 5266</t>
        </is>
      </c>
      <c r="K898" s="4" t="inlineStr">
        <is>
          <t>https://eyesrus.com.au/</t>
        </is>
      </c>
      <c r="L898" s="2" t="inlineStr">
        <is>
          <t>looks outdated (copyright 2015)</t>
        </is>
      </c>
      <c r="M898" s="2" t="inlineStr">
        <is>
          <t>Hi Eyes-R-Us Optometrists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8" s="4" t="inlineStr">
        <is>
          <t>Open map</t>
        </is>
      </c>
      <c r="O898" s="2" t="inlineStr">
        <is>
          <t>Not contacted</t>
        </is>
      </c>
      <c r="P898" s="2" t="inlineStr"/>
      <c r="Q898" s="2" t="inlineStr"/>
      <c r="R898" s="2" t="inlineStr"/>
      <c r="S898" s="2" t="inlineStr"/>
    </row>
    <row r="899">
      <c r="A899" s="2" t="n">
        <v>898</v>
      </c>
      <c r="B899" s="6" t="inlineStr">
        <is>
          <t>MEDIUM</t>
        </is>
      </c>
      <c r="C899" s="2" t="inlineStr">
        <is>
          <t>Weak website</t>
        </is>
      </c>
      <c r="D899" s="2" t="inlineStr">
        <is>
          <t>Cara Motel</t>
        </is>
      </c>
      <c r="E899" s="2" t="inlineStr">
        <is>
          <t>accommodation</t>
        </is>
      </c>
      <c r="F899" s="2" t="inlineStr">
        <is>
          <t>Maryborough</t>
        </is>
      </c>
      <c r="G899" s="2" t="inlineStr">
        <is>
          <t>Facebook</t>
        </is>
      </c>
      <c r="H899" s="2" t="inlineStr"/>
      <c r="I899" s="4" t="inlineStr">
        <is>
          <t>https://www.facebook.com/CaraMotel</t>
        </is>
      </c>
      <c r="J899" s="2" t="inlineStr"/>
      <c r="K899" s="4" t="inlineStr">
        <is>
          <t>https://www.caramotel.com.au/</t>
        </is>
      </c>
      <c r="L899" s="2" t="inlineStr">
        <is>
          <t>looks outdated (copyright 2019)</t>
        </is>
      </c>
      <c r="M899" s="2" t="inlineStr">
        <is>
          <t>Hi Cara Motel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9" s="4" t="inlineStr">
        <is>
          <t>Open map</t>
        </is>
      </c>
      <c r="O899" s="2" t="inlineStr">
        <is>
          <t>Not contacted</t>
        </is>
      </c>
      <c r="P899" s="2" t="inlineStr"/>
      <c r="Q899" s="2" t="inlineStr"/>
      <c r="R899" s="2" t="inlineStr"/>
      <c r="S899" s="2" t="inlineStr"/>
    </row>
    <row r="900">
      <c r="A900" s="2" t="n">
        <v>899</v>
      </c>
      <c r="B900" s="6" t="inlineStr">
        <is>
          <t>MEDIUM</t>
        </is>
      </c>
      <c r="C900" s="2" t="inlineStr">
        <is>
          <t>Weak website</t>
        </is>
      </c>
      <c r="D900" s="2" t="inlineStr">
        <is>
          <t>Beachmere Bakery</t>
        </is>
      </c>
      <c r="E900" s="2" t="inlineStr">
        <is>
          <t>bakery</t>
        </is>
      </c>
      <c r="F900" s="2" t="inlineStr">
        <is>
          <t>Moreton Bay</t>
        </is>
      </c>
      <c r="G900" s="2" t="inlineStr">
        <is>
          <t>Instagram</t>
        </is>
      </c>
      <c r="H900" s="4" t="inlineStr">
        <is>
          <t>https://www.instagram.com/centrallakesshoppingvillage</t>
        </is>
      </c>
      <c r="I900" s="4" t="inlineStr">
        <is>
          <t>https://www.facebook.com/BeachmereBakery</t>
        </is>
      </c>
      <c r="J900" s="2" t="inlineStr">
        <is>
          <t>+61 7 5432 3314</t>
        </is>
      </c>
      <c r="K900" s="4" t="inlineStr">
        <is>
          <t>http://centrallakesshoppingvillage.com.au/shop/beachmere-bakery/</t>
        </is>
      </c>
      <c r="L900" s="2" t="inlineStr">
        <is>
          <t>slow to load (4.1s)</t>
        </is>
      </c>
      <c r="M900" s="2" t="inlineStr">
        <is>
          <t>Hi Beachmere Bakery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00" s="4" t="inlineStr">
        <is>
          <t>Open map</t>
        </is>
      </c>
      <c r="O900" s="2" t="inlineStr">
        <is>
          <t>Not contacted</t>
        </is>
      </c>
      <c r="P900" s="2" t="inlineStr"/>
      <c r="Q900" s="2" t="inlineStr"/>
      <c r="R900" s="2" t="inlineStr"/>
      <c r="S900" s="2" t="inlineStr"/>
    </row>
    <row r="901">
      <c r="A901" s="2" t="n">
        <v>900</v>
      </c>
      <c r="B901" s="6" t="inlineStr">
        <is>
          <t>MEDIUM</t>
        </is>
      </c>
      <c r="C901" s="2" t="inlineStr">
        <is>
          <t>Weak website</t>
        </is>
      </c>
      <c r="D901" s="2" t="inlineStr">
        <is>
          <t>Big Fish Tavern</t>
        </is>
      </c>
      <c r="E901" s="2" t="inlineStr">
        <is>
          <t>bar or pub</t>
        </is>
      </c>
      <c r="F901" s="2" t="inlineStr">
        <is>
          <t>Moreton Bay</t>
        </is>
      </c>
      <c r="G901" s="2" t="inlineStr">
        <is>
          <t>Instagram</t>
        </is>
      </c>
      <c r="H901" s="4" t="inlineStr">
        <is>
          <t>https://www.instagram.com/thebigfishtavern</t>
        </is>
      </c>
      <c r="I901" s="4" t="inlineStr">
        <is>
          <t>https://www.facebook.com/people/The-Big-Fish-Tavern/100091986324845</t>
        </is>
      </c>
      <c r="J901" s="2" t="inlineStr">
        <is>
          <t>+61 7 5499 4040</t>
        </is>
      </c>
      <c r="K901" s="4" t="inlineStr">
        <is>
          <t>https://www.thebigfishtavern.com.au/</t>
        </is>
      </c>
      <c r="L901" s="2" t="inlineStr">
        <is>
          <t>missing meta description</t>
        </is>
      </c>
      <c r="M901" s="2" t="inlineStr">
        <is>
          <t>Hi Big Fish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1" s="4" t="inlineStr">
        <is>
          <t>Open map</t>
        </is>
      </c>
      <c r="O901" s="2" t="inlineStr">
        <is>
          <t>Not contacted</t>
        </is>
      </c>
      <c r="P901" s="2" t="inlineStr"/>
      <c r="Q901" s="2" t="inlineStr"/>
      <c r="R901" s="2" t="inlineStr"/>
      <c r="S901" s="2" t="inlineStr"/>
    </row>
    <row r="902">
      <c r="A902" s="2" t="n">
        <v>901</v>
      </c>
      <c r="B902" s="6" t="inlineStr">
        <is>
          <t>MEDIUM</t>
        </is>
      </c>
      <c r="C902" s="2" t="inlineStr">
        <is>
          <t>Weak website</t>
        </is>
      </c>
      <c r="D902" s="2" t="inlineStr">
        <is>
          <t>Burpengary Tavern</t>
        </is>
      </c>
      <c r="E902" s="2" t="inlineStr">
        <is>
          <t>bar or pub</t>
        </is>
      </c>
      <c r="F902" s="2" t="inlineStr">
        <is>
          <t>Moreton Bay</t>
        </is>
      </c>
      <c r="G902" s="2" t="inlineStr">
        <is>
          <t>Instagram</t>
        </is>
      </c>
      <c r="H902" s="4" t="inlineStr">
        <is>
          <t>https://www.instagram.com/theburpengary</t>
        </is>
      </c>
      <c r="I902" s="4" t="inlineStr">
        <is>
          <t>https://www.facebook.com/BurpengaryTavern01</t>
        </is>
      </c>
      <c r="J902" s="2" t="inlineStr">
        <is>
          <t>+61 7 3888 1044</t>
        </is>
      </c>
      <c r="K902" s="4" t="inlineStr">
        <is>
          <t>https://burpengarytavern.com.au/</t>
        </is>
      </c>
      <c r="L902" s="2" t="inlineStr">
        <is>
          <t>missing meta description</t>
        </is>
      </c>
      <c r="M902" s="2" t="inlineStr">
        <is>
          <t>Hi Burpengary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2" s="4" t="inlineStr">
        <is>
          <t>Open map</t>
        </is>
      </c>
      <c r="O902" s="2" t="inlineStr">
        <is>
          <t>Not contacted</t>
        </is>
      </c>
      <c r="P902" s="2" t="inlineStr"/>
      <c r="Q902" s="2" t="inlineStr"/>
      <c r="R902" s="2" t="inlineStr"/>
      <c r="S902" s="2" t="inlineStr"/>
    </row>
    <row r="903">
      <c r="A903" s="2" t="n">
        <v>902</v>
      </c>
      <c r="B903" s="6" t="inlineStr">
        <is>
          <t>MEDIUM</t>
        </is>
      </c>
      <c r="C903" s="2" t="inlineStr">
        <is>
          <t>Weak website</t>
        </is>
      </c>
      <c r="D903" s="2" t="inlineStr">
        <is>
          <t>Contemporary Hair Concepts</t>
        </is>
      </c>
      <c r="E903" s="2" t="inlineStr">
        <is>
          <t>barber or hairdresser</t>
        </is>
      </c>
      <c r="F903" s="2" t="inlineStr">
        <is>
          <t>Moreton Bay</t>
        </is>
      </c>
      <c r="G903" s="2" t="inlineStr">
        <is>
          <t>Instagram</t>
        </is>
      </c>
      <c r="H903" s="4" t="inlineStr">
        <is>
          <t>https://www.instagram.com/centrallakesshoppingvillage</t>
        </is>
      </c>
      <c r="I903" s="4" t="inlineStr">
        <is>
          <t>https://www.facebook.com/centrallakesshoppingvillage</t>
        </is>
      </c>
      <c r="J903" s="2" t="inlineStr">
        <is>
          <t>+61 7 5495 3008</t>
        </is>
      </c>
      <c r="K903" s="4" t="inlineStr">
        <is>
          <t>http://centrallakesshoppingvillage.com.au/shop/contemporary-hair-concepts/</t>
        </is>
      </c>
      <c r="L903" s="2" t="inlineStr">
        <is>
          <t>slow to load (4.0s)</t>
        </is>
      </c>
      <c r="M903" s="2" t="inlineStr">
        <is>
          <t>Hi Contemporary Hair Concepts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03" s="4" t="inlineStr">
        <is>
          <t>Open map</t>
        </is>
      </c>
      <c r="O903" s="2" t="inlineStr">
        <is>
          <t>Not contacted</t>
        </is>
      </c>
      <c r="P903" s="2" t="inlineStr"/>
      <c r="Q903" s="2" t="inlineStr"/>
      <c r="R903" s="2" t="inlineStr"/>
      <c r="S903" s="2" t="inlineStr"/>
    </row>
    <row r="904">
      <c r="A904" s="2" t="n">
        <v>903</v>
      </c>
      <c r="B904" s="6" t="inlineStr">
        <is>
          <t>MEDIUM</t>
        </is>
      </c>
      <c r="C904" s="2" t="inlineStr">
        <is>
          <t>Weak website</t>
        </is>
      </c>
      <c r="D904" s="2" t="inlineStr">
        <is>
          <t>Eco Village Hair</t>
        </is>
      </c>
      <c r="E904" s="2" t="inlineStr">
        <is>
          <t>barber or hairdresser</t>
        </is>
      </c>
      <c r="F904" s="2" t="inlineStr">
        <is>
          <t>Moreton Bay</t>
        </is>
      </c>
      <c r="G904" s="2" t="inlineStr">
        <is>
          <t>Instagram</t>
        </is>
      </c>
      <c r="H904" s="4" t="inlineStr">
        <is>
          <t>https://www.instagram.com/ecovillagehair/</t>
        </is>
      </c>
      <c r="I904" s="4" t="inlineStr">
        <is>
          <t>https://www.facebook.com/EcoVillageHair</t>
        </is>
      </c>
      <c r="J904" s="2" t="inlineStr">
        <is>
          <t>+61 7 3408 3269</t>
        </is>
      </c>
      <c r="K904" s="4" t="inlineStr">
        <is>
          <t>https://www.ecovillagehair.com.au/</t>
        </is>
      </c>
      <c r="L904" s="2" t="inlineStr">
        <is>
          <t>missing meta description</t>
        </is>
      </c>
      <c r="M904" s="2" t="inlineStr">
        <is>
          <t>Hi Eco Village Hair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4" s="4" t="inlineStr">
        <is>
          <t>Open map</t>
        </is>
      </c>
      <c r="O904" s="2" t="inlineStr">
        <is>
          <t>Not contacted</t>
        </is>
      </c>
      <c r="P904" s="2" t="inlineStr"/>
      <c r="Q904" s="2" t="inlineStr"/>
      <c r="R904" s="2" t="inlineStr"/>
      <c r="S904" s="2" t="inlineStr"/>
    </row>
    <row r="905">
      <c r="A905" s="2" t="n">
        <v>904</v>
      </c>
      <c r="B905" s="6" t="inlineStr">
        <is>
          <t>MEDIUM</t>
        </is>
      </c>
      <c r="C905" s="2" t="inlineStr">
        <is>
          <t>Weak website</t>
        </is>
      </c>
      <c r="D905" s="2" t="inlineStr">
        <is>
          <t>Wamuran Country Meats</t>
        </is>
      </c>
      <c r="E905" s="2" t="inlineStr">
        <is>
          <t>deli or specialty food</t>
        </is>
      </c>
      <c r="F905" s="2" t="inlineStr">
        <is>
          <t>Moreton Bay</t>
        </is>
      </c>
      <c r="G905" s="2" t="inlineStr">
        <is>
          <t>Instagram</t>
        </is>
      </c>
      <c r="H905" s="4" t="inlineStr">
        <is>
          <t>https://www.instagram.com/wamurancountrymeats</t>
        </is>
      </c>
      <c r="I905" s="4" t="inlineStr">
        <is>
          <t>https://www.facebook.com/wamurancountrymeats</t>
        </is>
      </c>
      <c r="J905" s="2" t="inlineStr">
        <is>
          <t>+61 7 5496 6733</t>
        </is>
      </c>
      <c r="K905" s="4" t="inlineStr">
        <is>
          <t>https://wamurancountrymeats.com.au/</t>
        </is>
      </c>
      <c r="L905" s="2" t="inlineStr">
        <is>
          <t>missing meta description</t>
        </is>
      </c>
      <c r="M905" s="2" t="inlineStr">
        <is>
          <t>Hi Wamuran Country Meats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5" s="4" t="inlineStr">
        <is>
          <t>Open map</t>
        </is>
      </c>
      <c r="O905" s="2" t="inlineStr">
        <is>
          <t>Not contacted</t>
        </is>
      </c>
      <c r="P905" s="2" t="inlineStr"/>
      <c r="Q905" s="2" t="inlineStr"/>
      <c r="R905" s="2" t="inlineStr"/>
      <c r="S905" s="2" t="inlineStr"/>
    </row>
    <row r="906">
      <c r="A906" s="2" t="n">
        <v>905</v>
      </c>
      <c r="B906" s="6" t="inlineStr">
        <is>
          <t>MEDIUM</t>
        </is>
      </c>
      <c r="C906" s="2" t="inlineStr">
        <is>
          <t>Weak website</t>
        </is>
      </c>
      <c r="D906" s="2" t="inlineStr">
        <is>
          <t>Proactive Dental</t>
        </is>
      </c>
      <c r="E906" s="2" t="inlineStr">
        <is>
          <t>dentist</t>
        </is>
      </c>
      <c r="F906" s="2" t="inlineStr">
        <is>
          <t>Moreton Bay</t>
        </is>
      </c>
      <c r="G906" s="2" t="inlineStr">
        <is>
          <t>Instagram</t>
        </is>
      </c>
      <c r="H906" s="4" t="inlineStr">
        <is>
          <t>https://www.instagram.com/proactive_dental</t>
        </is>
      </c>
      <c r="I906" s="2" t="inlineStr"/>
      <c r="J906" s="2" t="inlineStr">
        <is>
          <t>+61 7 5433 1569</t>
        </is>
      </c>
      <c r="K906" s="4" t="inlineStr">
        <is>
          <t>https://proactivedental.com.au/</t>
        </is>
      </c>
      <c r="L906" s="2" t="inlineStr">
        <is>
          <t>missing meta description; slow to load (5.2s)</t>
        </is>
      </c>
      <c r="M906" s="2" t="inlineStr">
        <is>
          <t>Hi Proactive Dental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06" s="4" t="inlineStr">
        <is>
          <t>Open map</t>
        </is>
      </c>
      <c r="O906" s="2" t="inlineStr">
        <is>
          <t>Not contacted</t>
        </is>
      </c>
      <c r="P906" s="2" t="inlineStr"/>
      <c r="Q906" s="2" t="inlineStr"/>
      <c r="R906" s="2" t="inlineStr"/>
      <c r="S906" s="2" t="inlineStr"/>
    </row>
    <row r="907">
      <c r="A907" s="2" t="n">
        <v>906</v>
      </c>
      <c r="B907" s="6" t="inlineStr">
        <is>
          <t>MEDIUM</t>
        </is>
      </c>
      <c r="C907" s="2" t="inlineStr">
        <is>
          <t>Weak website</t>
        </is>
      </c>
      <c r="D907" s="2" t="inlineStr">
        <is>
          <t>The Dental Club</t>
        </is>
      </c>
      <c r="E907" s="2" t="inlineStr">
        <is>
          <t>dentist</t>
        </is>
      </c>
      <c r="F907" s="2" t="inlineStr">
        <is>
          <t>Moreton Bay</t>
        </is>
      </c>
      <c r="G907" s="2" t="inlineStr">
        <is>
          <t>Instagram</t>
        </is>
      </c>
      <c r="H907" s="4" t="inlineStr">
        <is>
          <t>https://www.instagram.com/thedentalclub</t>
        </is>
      </c>
      <c r="I907" s="4" t="inlineStr">
        <is>
          <t>https://www.facebook.com/thedentalclub1</t>
        </is>
      </c>
      <c r="J907" s="2" t="inlineStr">
        <is>
          <t>+61 7 5428 1244</t>
        </is>
      </c>
      <c r="K907" s="4" t="inlineStr">
        <is>
          <t>https://www.thedentalclub.com.au/</t>
        </is>
      </c>
      <c r="L907" s="2" t="inlineStr">
        <is>
          <t>slow to load (3.5s)</t>
        </is>
      </c>
      <c r="M907" s="2" t="inlineStr">
        <is>
          <t>Hi The Dental Club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07" s="4" t="inlineStr">
        <is>
          <t>Open map</t>
        </is>
      </c>
      <c r="O907" s="2" t="inlineStr">
        <is>
          <t>Not contacted</t>
        </is>
      </c>
      <c r="P907" s="2" t="inlineStr"/>
      <c r="Q907" s="2" t="inlineStr"/>
      <c r="R907" s="2" t="inlineStr"/>
      <c r="S907" s="2" t="inlineStr"/>
    </row>
    <row r="908">
      <c r="A908" s="2" t="n">
        <v>907</v>
      </c>
      <c r="B908" s="6" t="inlineStr">
        <is>
          <t>MEDIUM</t>
        </is>
      </c>
      <c r="C908" s="2" t="inlineStr">
        <is>
          <t>Weak website</t>
        </is>
      </c>
      <c r="D908" s="2" t="inlineStr">
        <is>
          <t>Wamuran Dental Care</t>
        </is>
      </c>
      <c r="E908" s="2" t="inlineStr">
        <is>
          <t>dentist</t>
        </is>
      </c>
      <c r="F908" s="2" t="inlineStr">
        <is>
          <t>Moreton Bay</t>
        </is>
      </c>
      <c r="G908" s="2" t="inlineStr">
        <is>
          <t>Facebook</t>
        </is>
      </c>
      <c r="H908" s="2" t="inlineStr"/>
      <c r="I908" s="4" t="inlineStr">
        <is>
          <t>https://www.facebook.com/people/Wamuran-Dental-Centre/100057228828795</t>
        </is>
      </c>
      <c r="J908" s="2" t="inlineStr">
        <is>
          <t>+61 7 5496 6888</t>
        </is>
      </c>
      <c r="K908" s="4" t="inlineStr">
        <is>
          <t>https://wamurandc.com.au/</t>
        </is>
      </c>
      <c r="L908" s="2" t="inlineStr">
        <is>
          <t>slow to load (5.1s)</t>
        </is>
      </c>
      <c r="M908" s="2" t="inlineStr">
        <is>
          <t>Hi Wamuran Dental Care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08" s="4" t="inlineStr">
        <is>
          <t>Open map</t>
        </is>
      </c>
      <c r="O908" s="2" t="inlineStr">
        <is>
          <t>Not contacted</t>
        </is>
      </c>
      <c r="P908" s="2" t="inlineStr"/>
      <c r="Q908" s="2" t="inlineStr"/>
      <c r="R908" s="2" t="inlineStr"/>
      <c r="S908" s="2" t="inlineStr"/>
    </row>
    <row r="909">
      <c r="A909" s="2" t="n">
        <v>908</v>
      </c>
      <c r="B909" s="6" t="inlineStr">
        <is>
          <t>MEDIUM</t>
        </is>
      </c>
      <c r="C909" s="2" t="inlineStr">
        <is>
          <t>Weak website</t>
        </is>
      </c>
      <c r="D909" s="2" t="inlineStr">
        <is>
          <t>garden scapes Landscape Centre</t>
        </is>
      </c>
      <c r="E909" s="2" t="inlineStr">
        <is>
          <t>landscaper</t>
        </is>
      </c>
      <c r="F909" s="2" t="inlineStr">
        <is>
          <t>Moreton Bay</t>
        </is>
      </c>
      <c r="G909" s="2" t="inlineStr">
        <is>
          <t>Instagram</t>
        </is>
      </c>
      <c r="H909" s="4" t="inlineStr">
        <is>
          <t>https://www.instagram.com/gardenscapeslandscape_producec</t>
        </is>
      </c>
      <c r="I909" s="4" t="inlineStr">
        <is>
          <t>https://www.facebook.com/gardenscapes.com.au</t>
        </is>
      </c>
      <c r="J909" s="2" t="inlineStr">
        <is>
          <t>+61 7 5498 5200</t>
        </is>
      </c>
      <c r="K909" s="4" t="inlineStr">
        <is>
          <t>https://www.gardenscapes.com.au/</t>
        </is>
      </c>
      <c r="L909" s="2" t="inlineStr">
        <is>
          <t>looks outdated (copyright 2023)</t>
        </is>
      </c>
      <c r="M909" s="2" t="inlineStr">
        <is>
          <t>Hi garden scapes Landscape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9" s="4" t="inlineStr">
        <is>
          <t>Open map</t>
        </is>
      </c>
      <c r="O909" s="2" t="inlineStr">
        <is>
          <t>Not contacted</t>
        </is>
      </c>
      <c r="P909" s="2" t="inlineStr"/>
      <c r="Q909" s="2" t="inlineStr"/>
      <c r="R909" s="2" t="inlineStr"/>
      <c r="S909" s="2" t="inlineStr"/>
    </row>
    <row r="910">
      <c r="A910" s="2" t="n">
        <v>909</v>
      </c>
      <c r="B910" s="6" t="inlineStr">
        <is>
          <t>MEDIUM</t>
        </is>
      </c>
      <c r="C910" s="2" t="inlineStr">
        <is>
          <t>Weak website</t>
        </is>
      </c>
      <c r="D910" s="2" t="inlineStr">
        <is>
          <t>Tough Tyres on Morayfield</t>
        </is>
      </c>
      <c r="E910" s="2" t="inlineStr">
        <is>
          <t>mechanic</t>
        </is>
      </c>
      <c r="F910" s="2" t="inlineStr">
        <is>
          <t>Moreton Bay</t>
        </is>
      </c>
      <c r="G910" s="2" t="inlineStr">
        <is>
          <t>Facebook</t>
        </is>
      </c>
      <c r="H910" s="2" t="inlineStr"/>
      <c r="I910" s="4" t="inlineStr">
        <is>
          <t>https://www.facebook.com/TOUGH-TYRES-On-Morayfield-563137317516766</t>
        </is>
      </c>
      <c r="J910" s="2" t="inlineStr">
        <is>
          <t>+61 7 5330 1061</t>
        </is>
      </c>
      <c r="K910" s="4" t="inlineStr">
        <is>
          <t>https://toughtyresonmorayfield.com/</t>
        </is>
      </c>
      <c r="L910" s="2" t="inlineStr">
        <is>
          <t>looks outdated (copyright 2019)</t>
        </is>
      </c>
      <c r="M910" s="2" t="inlineStr">
        <is>
          <t>Hi Tough Tyres on Morayfield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0" s="4" t="inlineStr">
        <is>
          <t>Open map</t>
        </is>
      </c>
      <c r="O910" s="2" t="inlineStr">
        <is>
          <t>Not contacted</t>
        </is>
      </c>
      <c r="P910" s="2" t="inlineStr"/>
      <c r="Q910" s="2" t="inlineStr"/>
      <c r="R910" s="2" t="inlineStr"/>
      <c r="S910" s="2" t="inlineStr"/>
    </row>
    <row r="911">
      <c r="A911" s="2" t="n">
        <v>910</v>
      </c>
      <c r="B911" s="6" t="inlineStr">
        <is>
          <t>MEDIUM</t>
        </is>
      </c>
      <c r="C911" s="2" t="inlineStr">
        <is>
          <t>Weak website</t>
        </is>
      </c>
      <c r="D911" s="2" t="inlineStr">
        <is>
          <t>Lakes Family Medical Centre</t>
        </is>
      </c>
      <c r="E911" s="2" t="inlineStr">
        <is>
          <t>medical clinic</t>
        </is>
      </c>
      <c r="F911" s="2" t="inlineStr">
        <is>
          <t>Moreton Bay</t>
        </is>
      </c>
      <c r="G911" s="2" t="inlineStr">
        <is>
          <t>Instagram</t>
        </is>
      </c>
      <c r="H911" s="4" t="inlineStr">
        <is>
          <t>https://www.instagram.com/lakesfamilymedical</t>
        </is>
      </c>
      <c r="I911" s="4" t="inlineStr">
        <is>
          <t>https://www.facebook.com/TheLakesFamilyMedicalCentre</t>
        </is>
      </c>
      <c r="J911" s="2" t="inlineStr">
        <is>
          <t>+61 7 5499 3224</t>
        </is>
      </c>
      <c r="K911" s="4" t="inlineStr">
        <is>
          <t>https://www.lakesfamilymedical.com.au/</t>
        </is>
      </c>
      <c r="L911" s="2" t="inlineStr">
        <is>
          <t>slow to load (4.6s)</t>
        </is>
      </c>
      <c r="M911" s="2" t="inlineStr">
        <is>
          <t>Hi Lakes Family Medical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11" s="4" t="inlineStr">
        <is>
          <t>Open map</t>
        </is>
      </c>
      <c r="O911" s="2" t="inlineStr">
        <is>
          <t>Not contacted</t>
        </is>
      </c>
      <c r="P911" s="2" t="inlineStr"/>
      <c r="Q911" s="2" t="inlineStr"/>
      <c r="R911" s="2" t="inlineStr"/>
      <c r="S911" s="2" t="inlineStr"/>
    </row>
    <row r="912">
      <c r="A912" s="2" t="n">
        <v>911</v>
      </c>
      <c r="B912" s="6" t="inlineStr">
        <is>
          <t>MEDIUM</t>
        </is>
      </c>
      <c r="C912" s="2" t="inlineStr">
        <is>
          <t>Weak website</t>
        </is>
      </c>
      <c r="D912" s="2" t="inlineStr">
        <is>
          <t>Northside Gynaecology</t>
        </is>
      </c>
      <c r="E912" s="2" t="inlineStr">
        <is>
          <t>medical clinic</t>
        </is>
      </c>
      <c r="F912" s="2" t="inlineStr">
        <is>
          <t>Moreton Bay</t>
        </is>
      </c>
      <c r="G912" s="2" t="inlineStr">
        <is>
          <t>Instagram</t>
        </is>
      </c>
      <c r="H912" s="4" t="inlineStr">
        <is>
          <t>https://www.instagram.com/northsidegynaecology</t>
        </is>
      </c>
      <c r="I912" s="4" t="inlineStr">
        <is>
          <t>https://www.facebook.com/NorthsideGynaecology</t>
        </is>
      </c>
      <c r="J912" s="2" t="inlineStr"/>
      <c r="K912" s="4" t="inlineStr">
        <is>
          <t>https://www.northsidegynaecology.com.au/</t>
        </is>
      </c>
      <c r="L912" s="2" t="inlineStr">
        <is>
          <t>looks outdated (copyright 2019)</t>
        </is>
      </c>
      <c r="M912" s="2" t="inlineStr">
        <is>
          <t>Hi Northside Gynaecology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2" s="4" t="inlineStr">
        <is>
          <t>Open map</t>
        </is>
      </c>
      <c r="O912" s="2" t="inlineStr">
        <is>
          <t>Not contacted</t>
        </is>
      </c>
      <c r="P912" s="2" t="inlineStr"/>
      <c r="Q912" s="2" t="inlineStr"/>
      <c r="R912" s="2" t="inlineStr"/>
      <c r="S912" s="2" t="inlineStr"/>
    </row>
    <row r="913">
      <c r="A913" s="2" t="n">
        <v>912</v>
      </c>
      <c r="B913" s="6" t="inlineStr">
        <is>
          <t>MEDIUM</t>
        </is>
      </c>
      <c r="C913" s="2" t="inlineStr">
        <is>
          <t>Weak website</t>
        </is>
      </c>
      <c r="D913" s="2" t="inlineStr">
        <is>
          <t>RPG - Reynolds Plumbing and Gas</t>
        </is>
      </c>
      <c r="E913" s="2" t="inlineStr">
        <is>
          <t>plumber</t>
        </is>
      </c>
      <c r="F913" s="2" t="inlineStr">
        <is>
          <t>Moreton Bay</t>
        </is>
      </c>
      <c r="G913" s="2" t="inlineStr">
        <is>
          <t>Facebook</t>
        </is>
      </c>
      <c r="H913" s="2" t="inlineStr"/>
      <c r="I913" s="4" t="inlineStr">
        <is>
          <t>https://www.facebook.com/Reynolds-Plumbing-Gas-180768755323648</t>
        </is>
      </c>
      <c r="J913" s="2" t="inlineStr"/>
      <c r="K913" s="4" t="inlineStr">
        <is>
          <t>https://reynoldsplumbing.com.au/</t>
        </is>
      </c>
      <c r="L913" s="2" t="inlineStr">
        <is>
          <t>looks outdated (copyright 2015)</t>
        </is>
      </c>
      <c r="M913" s="2" t="inlineStr">
        <is>
          <t>Hi RPG - Reynolds Plumbing and Gas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3" s="4" t="inlineStr">
        <is>
          <t>Open map</t>
        </is>
      </c>
      <c r="O913" s="2" t="inlineStr">
        <is>
          <t>Not contacted</t>
        </is>
      </c>
      <c r="P913" s="2" t="inlineStr"/>
      <c r="Q913" s="2" t="inlineStr"/>
      <c r="R913" s="2" t="inlineStr"/>
      <c r="S913" s="2" t="inlineStr"/>
    </row>
    <row r="914">
      <c r="A914" s="2" t="n">
        <v>913</v>
      </c>
      <c r="B914" s="6" t="inlineStr">
        <is>
          <t>MEDIUM</t>
        </is>
      </c>
      <c r="C914" s="2" t="inlineStr">
        <is>
          <t>Weak website</t>
        </is>
      </c>
      <c r="D914" s="2" t="inlineStr">
        <is>
          <t>Pacific Harbour Golf Club</t>
        </is>
      </c>
      <c r="E914" s="2" t="inlineStr">
        <is>
          <t>restaurant</t>
        </is>
      </c>
      <c r="F914" s="2" t="inlineStr">
        <is>
          <t>Moreton Bay</t>
        </is>
      </c>
      <c r="G914" s="2" t="inlineStr">
        <is>
          <t>Instagram</t>
        </is>
      </c>
      <c r="H914" s="4" t="inlineStr">
        <is>
          <t>https://www.instagram.com/pacificharbourgolfclub</t>
        </is>
      </c>
      <c r="I914" s="4" t="inlineStr">
        <is>
          <t>https://www.facebook.com/PHGCC</t>
        </is>
      </c>
      <c r="J914" s="2" t="inlineStr"/>
      <c r="K914" s="4" t="inlineStr">
        <is>
          <t>https://www.pacificharbourgolf.com.au/restaurant-3/</t>
        </is>
      </c>
      <c r="L914" s="2" t="inlineStr">
        <is>
          <t>missing meta description</t>
        </is>
      </c>
      <c r="M914" s="2" t="inlineStr">
        <is>
          <t>Hi Pacific Harbour Golf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4" s="4" t="inlineStr">
        <is>
          <t>Open map</t>
        </is>
      </c>
      <c r="O914" s="2" t="inlineStr">
        <is>
          <t>Not contacted</t>
        </is>
      </c>
      <c r="P914" s="2" t="inlineStr"/>
      <c r="Q914" s="2" t="inlineStr"/>
      <c r="R914" s="2" t="inlineStr"/>
      <c r="S914" s="2" t="inlineStr"/>
    </row>
    <row r="915">
      <c r="A915" s="2" t="n">
        <v>914</v>
      </c>
      <c r="B915" s="6" t="inlineStr">
        <is>
          <t>MEDIUM</t>
        </is>
      </c>
      <c r="C915" s="2" t="inlineStr">
        <is>
          <t>Weak website</t>
        </is>
      </c>
      <c r="D915" s="2" t="inlineStr">
        <is>
          <t>Sports 'n' Spines</t>
        </is>
      </c>
      <c r="E915" s="2" t="inlineStr">
        <is>
          <t>allied health</t>
        </is>
      </c>
      <c r="F915" s="2" t="inlineStr">
        <is>
          <t>Redlands</t>
        </is>
      </c>
      <c r="G915" s="2" t="inlineStr">
        <is>
          <t>Facebook</t>
        </is>
      </c>
      <c r="H915" s="2" t="inlineStr"/>
      <c r="I915" s="4" t="inlineStr">
        <is>
          <t>https://www.facebook.com/Sports-n-Spines-Chiropractic-Redland-Bay-662346967261198</t>
        </is>
      </c>
      <c r="J915" s="2" t="inlineStr">
        <is>
          <t>+61 7 3206 7995</t>
        </is>
      </c>
      <c r="K915" s="4" t="inlineStr">
        <is>
          <t>https://sportsnspines.com.au/</t>
        </is>
      </c>
      <c r="L915" s="2" t="inlineStr">
        <is>
          <t>looks outdated (copyright 2019); missing meta description</t>
        </is>
      </c>
      <c r="M915" s="2" t="inlineStr">
        <is>
          <t>Hi Sports 'n' Spines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5" s="4" t="inlineStr">
        <is>
          <t>Open map</t>
        </is>
      </c>
      <c r="O915" s="2" t="inlineStr">
        <is>
          <t>Not contacted</t>
        </is>
      </c>
      <c r="P915" s="2" t="inlineStr"/>
      <c r="Q915" s="2" t="inlineStr"/>
      <c r="R915" s="2" t="inlineStr"/>
      <c r="S915" s="2" t="inlineStr"/>
    </row>
    <row r="916">
      <c r="A916" s="2" t="n">
        <v>915</v>
      </c>
      <c r="B916" s="6" t="inlineStr">
        <is>
          <t>MEDIUM</t>
        </is>
      </c>
      <c r="C916" s="2" t="inlineStr">
        <is>
          <t>Weak website</t>
        </is>
      </c>
      <c r="D916" s="2" t="inlineStr">
        <is>
          <t>Redland Bay Hotel</t>
        </is>
      </c>
      <c r="E916" s="2" t="inlineStr">
        <is>
          <t>bar or pub</t>
        </is>
      </c>
      <c r="F916" s="2" t="inlineStr">
        <is>
          <t>Redlands</t>
        </is>
      </c>
      <c r="G916" s="2" t="inlineStr">
        <is>
          <t>Instagram</t>
        </is>
      </c>
      <c r="H916" s="4" t="inlineStr">
        <is>
          <t>https://www.instagram.com/theredlandbayhotel</t>
        </is>
      </c>
      <c r="I916" s="4" t="inlineStr">
        <is>
          <t>https://www.facebook.com/RedlandBayHotel</t>
        </is>
      </c>
      <c r="J916" s="2" t="inlineStr"/>
      <c r="K916" s="4" t="inlineStr">
        <is>
          <t>https://www.redlandbayhotel.com.au/</t>
        </is>
      </c>
      <c r="L916" s="2" t="inlineStr">
        <is>
          <t>looks outdated (copyright 2021)</t>
        </is>
      </c>
      <c r="M916" s="2" t="inlineStr">
        <is>
          <t>Hi Redland Bay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6" s="4" t="inlineStr">
        <is>
          <t>Open map</t>
        </is>
      </c>
      <c r="O916" s="2" t="inlineStr">
        <is>
          <t>Not contacted</t>
        </is>
      </c>
      <c r="P916" s="2" t="inlineStr"/>
      <c r="Q916" s="2" t="inlineStr"/>
      <c r="R916" s="2" t="inlineStr"/>
      <c r="S916" s="2" t="inlineStr"/>
    </row>
    <row r="917">
      <c r="A917" s="2" t="n">
        <v>916</v>
      </c>
      <c r="B917" s="6" t="inlineStr">
        <is>
          <t>MEDIUM</t>
        </is>
      </c>
      <c r="C917" s="2" t="inlineStr">
        <is>
          <t>Weak website</t>
        </is>
      </c>
      <c r="D917" s="2" t="inlineStr">
        <is>
          <t>Victoria Point Tavern</t>
        </is>
      </c>
      <c r="E917" s="2" t="inlineStr">
        <is>
          <t>bar or pub</t>
        </is>
      </c>
      <c r="F917" s="2" t="inlineStr">
        <is>
          <t>Redlands</t>
        </is>
      </c>
      <c r="G917" s="2" t="inlineStr">
        <is>
          <t>Instagram</t>
        </is>
      </c>
      <c r="H917" s="4" t="inlineStr">
        <is>
          <t>http://instagram.com/victoriapointtavern</t>
        </is>
      </c>
      <c r="I917" s="4" t="inlineStr">
        <is>
          <t>https://www.facebook.com/VictoriaPointTavern</t>
        </is>
      </c>
      <c r="J917" s="2" t="inlineStr"/>
      <c r="K917" s="4" t="inlineStr">
        <is>
          <t>https://www.victoriapointtavern.com.au/</t>
        </is>
      </c>
      <c r="L917" s="2" t="inlineStr">
        <is>
          <t>looks outdated (copyright 2021)</t>
        </is>
      </c>
      <c r="M917" s="2" t="inlineStr">
        <is>
          <t>Hi Victoria Point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7" s="4" t="inlineStr">
        <is>
          <t>Open map</t>
        </is>
      </c>
      <c r="O917" s="2" t="inlineStr">
        <is>
          <t>Not contacted</t>
        </is>
      </c>
      <c r="P917" s="2" t="inlineStr"/>
      <c r="Q917" s="2" t="inlineStr"/>
      <c r="R917" s="2" t="inlineStr"/>
      <c r="S917" s="2" t="inlineStr"/>
    </row>
    <row r="918">
      <c r="A918" s="2" t="n">
        <v>917</v>
      </c>
      <c r="B918" s="6" t="inlineStr">
        <is>
          <t>MEDIUM</t>
        </is>
      </c>
      <c r="C918" s="2" t="inlineStr">
        <is>
          <t>Weak website</t>
        </is>
      </c>
      <c r="D918" s="2" t="inlineStr">
        <is>
          <t>Acai Brothers</t>
        </is>
      </c>
      <c r="E918" s="2" t="inlineStr">
        <is>
          <t>cafe</t>
        </is>
      </c>
      <c r="F918" s="2" t="inlineStr">
        <is>
          <t>Redlands</t>
        </is>
      </c>
      <c r="G918" s="2" t="inlineStr">
        <is>
          <t>Instagram</t>
        </is>
      </c>
      <c r="H918" s="4" t="inlineStr">
        <is>
          <t>https://www.instagram.com/acai__bros</t>
        </is>
      </c>
      <c r="I918" s="4" t="inlineStr">
        <is>
          <t>https://www.facebook.com/AcaiBrothersSuperfoodBar</t>
        </is>
      </c>
      <c r="J918" s="2" t="inlineStr"/>
      <c r="K918" s="4" t="inlineStr">
        <is>
          <t>https://acaibrothers.com/</t>
        </is>
      </c>
      <c r="L918" s="2" t="inlineStr">
        <is>
          <t>missing meta description</t>
        </is>
      </c>
      <c r="M918" s="2" t="inlineStr">
        <is>
          <t>Hi Acai Brothers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8" s="4" t="inlineStr">
        <is>
          <t>Open map</t>
        </is>
      </c>
      <c r="O918" s="2" t="inlineStr">
        <is>
          <t>Not contacted</t>
        </is>
      </c>
      <c r="P918" s="2" t="inlineStr"/>
      <c r="Q918" s="2" t="inlineStr"/>
      <c r="R918" s="2" t="inlineStr"/>
      <c r="S918" s="2" t="inlineStr"/>
    </row>
    <row r="919">
      <c r="A919" s="2" t="n">
        <v>918</v>
      </c>
      <c r="B919" s="6" t="inlineStr">
        <is>
          <t>MEDIUM</t>
        </is>
      </c>
      <c r="C919" s="2" t="inlineStr">
        <is>
          <t>Weak website</t>
        </is>
      </c>
      <c r="D919" s="2" t="inlineStr">
        <is>
          <t>Cove Cafe</t>
        </is>
      </c>
      <c r="E919" s="2" t="inlineStr">
        <is>
          <t>cafe</t>
        </is>
      </c>
      <c r="F919" s="2" t="inlineStr">
        <is>
          <t>Redlands</t>
        </is>
      </c>
      <c r="G919" s="2" t="inlineStr">
        <is>
          <t>Instagram</t>
        </is>
      </c>
      <c r="H919" s="4" t="inlineStr">
        <is>
          <t>https://www.instagram.com/redlands_rsl</t>
        </is>
      </c>
      <c r="I919" s="4" t="inlineStr">
        <is>
          <t>https://www.facebook.com/RedlandsRSLClub</t>
        </is>
      </c>
      <c r="J919" s="2" t="inlineStr">
        <is>
          <t>+61 7 3788 1199</t>
        </is>
      </c>
      <c r="K919" s="4" t="inlineStr">
        <is>
          <t>https://redlandsrsl.com/dining/cove-cafe/</t>
        </is>
      </c>
      <c r="L919" s="2" t="inlineStr">
        <is>
          <t>missing meta description</t>
        </is>
      </c>
      <c r="M919" s="2" t="inlineStr">
        <is>
          <t>Hi Cove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9" s="4" t="inlineStr">
        <is>
          <t>Open map</t>
        </is>
      </c>
      <c r="O919" s="2" t="inlineStr">
        <is>
          <t>Not contacted</t>
        </is>
      </c>
      <c r="P919" s="2" t="inlineStr"/>
      <c r="Q919" s="2" t="inlineStr"/>
      <c r="R919" s="2" t="inlineStr"/>
      <c r="S919" s="2" t="inlineStr"/>
    </row>
    <row r="920">
      <c r="A920" s="2" t="n">
        <v>919</v>
      </c>
      <c r="B920" s="6" t="inlineStr">
        <is>
          <t>MEDIUM</t>
        </is>
      </c>
      <c r="C920" s="2" t="inlineStr">
        <is>
          <t>Weak website</t>
        </is>
      </c>
      <c r="D920" s="2" t="inlineStr">
        <is>
          <t>Redlands Veterinary Clinic</t>
        </is>
      </c>
      <c r="E920" s="2" t="inlineStr">
        <is>
          <t>pet business</t>
        </is>
      </c>
      <c r="F920" s="2" t="inlineStr">
        <is>
          <t>Redlands</t>
        </is>
      </c>
      <c r="G920" s="2" t="inlineStr">
        <is>
          <t>Instagram</t>
        </is>
      </c>
      <c r="H920" s="4" t="inlineStr">
        <is>
          <t>https://www.instagram.com/redlandsvetclinic</t>
        </is>
      </c>
      <c r="I920" s="4" t="inlineStr">
        <is>
          <t>https://www.facebook.com/redlandsveterinaryclinic/</t>
        </is>
      </c>
      <c r="J920" s="2" t="inlineStr">
        <is>
          <t>+61 7 3207 7325</t>
        </is>
      </c>
      <c r="K920" s="4" t="inlineStr">
        <is>
          <t>https://redlandsvetclinic.com.au/</t>
        </is>
      </c>
      <c r="L920" s="2" t="inlineStr">
        <is>
          <t>looks outdated (copyright 2015)</t>
        </is>
      </c>
      <c r="M920" s="2" t="inlineStr">
        <is>
          <t>Hi Redlands Veterinary Clinic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0" s="4" t="inlineStr">
        <is>
          <t>Open map</t>
        </is>
      </c>
      <c r="O920" s="2" t="inlineStr">
        <is>
          <t>Not contacted</t>
        </is>
      </c>
      <c r="P920" s="2" t="inlineStr"/>
      <c r="Q920" s="2" t="inlineStr"/>
      <c r="R920" s="2" t="inlineStr"/>
      <c r="S920" s="2" t="inlineStr"/>
    </row>
    <row r="921">
      <c r="A921" s="2" t="n">
        <v>920</v>
      </c>
      <c r="B921" s="6" t="inlineStr">
        <is>
          <t>MEDIUM</t>
        </is>
      </c>
      <c r="C921" s="2" t="inlineStr">
        <is>
          <t>Weak website</t>
        </is>
      </c>
      <c r="D921" s="2" t="inlineStr">
        <is>
          <t>Victoria Point Veterinary Hospital</t>
        </is>
      </c>
      <c r="E921" s="2" t="inlineStr">
        <is>
          <t>pet business</t>
        </is>
      </c>
      <c r="F921" s="2" t="inlineStr">
        <is>
          <t>Redlands</t>
        </is>
      </c>
      <c r="G921" s="2" t="inlineStr">
        <is>
          <t>Facebook</t>
        </is>
      </c>
      <c r="H921" s="2" t="inlineStr"/>
      <c r="I921" s="4" t="inlineStr">
        <is>
          <t>https://www.facebook.com/victoriapointvet</t>
        </is>
      </c>
      <c r="J921" s="2" t="inlineStr">
        <is>
          <t>+61 7 3207 8023</t>
        </is>
      </c>
      <c r="K921" s="4" t="inlineStr">
        <is>
          <t>https://vpvh.com.au/</t>
        </is>
      </c>
      <c r="L921" s="2" t="inlineStr">
        <is>
          <t>looks outdated (copyright 2015)</t>
        </is>
      </c>
      <c r="M921" s="2" t="inlineStr">
        <is>
          <t>Hi Victoria Point Veterinary Hospital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1" s="4" t="inlineStr">
        <is>
          <t>Open map</t>
        </is>
      </c>
      <c r="O921" s="2" t="inlineStr">
        <is>
          <t>Not contacted</t>
        </is>
      </c>
      <c r="P921" s="2" t="inlineStr"/>
      <c r="Q921" s="2" t="inlineStr"/>
      <c r="R921" s="2" t="inlineStr"/>
      <c r="S921" s="2" t="inlineStr"/>
    </row>
    <row r="922">
      <c r="A922" s="2" t="n">
        <v>921</v>
      </c>
      <c r="B922" s="6" t="inlineStr">
        <is>
          <t>MEDIUM</t>
        </is>
      </c>
      <c r="C922" s="2" t="inlineStr">
        <is>
          <t>Weak website</t>
        </is>
      </c>
      <c r="D922" s="2" t="inlineStr">
        <is>
          <t>TPS Health</t>
        </is>
      </c>
      <c r="E922" s="2" t="inlineStr">
        <is>
          <t>physiotherapist</t>
        </is>
      </c>
      <c r="F922" s="2" t="inlineStr">
        <is>
          <t>Redlands</t>
        </is>
      </c>
      <c r="G922" s="2" t="inlineStr">
        <is>
          <t>Instagram</t>
        </is>
      </c>
      <c r="H922" s="4" t="inlineStr">
        <is>
          <t>https://instagram.com/tpshealth</t>
        </is>
      </c>
      <c r="I922" s="4" t="inlineStr">
        <is>
          <t>https://www.facebook.com/TPSHealth</t>
        </is>
      </c>
      <c r="J922" s="2" t="inlineStr"/>
      <c r="K922" s="4" t="inlineStr">
        <is>
          <t>https://tpshealth.com.au/</t>
        </is>
      </c>
      <c r="L922" s="2" t="inlineStr">
        <is>
          <t>missing meta description; slow to load (3.7s)</t>
        </is>
      </c>
      <c r="M922" s="2" t="inlineStr">
        <is>
          <t>Hi TPS Health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22" s="4" t="inlineStr">
        <is>
          <t>Open map</t>
        </is>
      </c>
      <c r="O922" s="2" t="inlineStr">
        <is>
          <t>Not contacted</t>
        </is>
      </c>
      <c r="P922" s="2" t="inlineStr"/>
      <c r="Q922" s="2" t="inlineStr"/>
      <c r="R922" s="2" t="inlineStr"/>
      <c r="S922" s="2" t="inlineStr"/>
    </row>
    <row r="923">
      <c r="A923" s="2" t="n">
        <v>922</v>
      </c>
      <c r="B923" s="6" t="inlineStr">
        <is>
          <t>MEDIUM</t>
        </is>
      </c>
      <c r="C923" s="2" t="inlineStr">
        <is>
          <t>Weak website</t>
        </is>
      </c>
      <c r="D923" s="2" t="inlineStr">
        <is>
          <t>Barcella</t>
        </is>
      </c>
      <c r="E923" s="2" t="inlineStr">
        <is>
          <t>restaurant</t>
        </is>
      </c>
      <c r="F923" s="2" t="inlineStr">
        <is>
          <t>Redlands</t>
        </is>
      </c>
      <c r="G923" s="2" t="inlineStr">
        <is>
          <t>Instagram</t>
        </is>
      </c>
      <c r="H923" s="4" t="inlineStr">
        <is>
          <t>https://www.instagram.com/barcelladining</t>
        </is>
      </c>
      <c r="I923" s="4" t="inlineStr">
        <is>
          <t>https://www.facebook.com/BarcellaRestaurantVictoriaPoint</t>
        </is>
      </c>
      <c r="J923" s="2" t="inlineStr">
        <is>
          <t>+61 7 3207 6668</t>
        </is>
      </c>
      <c r="K923" s="4" t="inlineStr">
        <is>
          <t>https://barcella.com.au/</t>
        </is>
      </c>
      <c r="L923" s="2" t="inlineStr">
        <is>
          <t>looks outdated (copyright 2022); missing meta description</t>
        </is>
      </c>
      <c r="M923" s="2" t="inlineStr">
        <is>
          <t>Hi Barcella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3" s="4" t="inlineStr">
        <is>
          <t>Open map</t>
        </is>
      </c>
      <c r="O923" s="2" t="inlineStr">
        <is>
          <t>Not contacted</t>
        </is>
      </c>
      <c r="P923" s="2" t="inlineStr"/>
      <c r="Q923" s="2" t="inlineStr"/>
      <c r="R923" s="2" t="inlineStr"/>
      <c r="S923" s="2" t="inlineStr"/>
    </row>
    <row r="924">
      <c r="A924" s="2" t="n">
        <v>923</v>
      </c>
      <c r="B924" s="6" t="inlineStr">
        <is>
          <t>MEDIUM</t>
        </is>
      </c>
      <c r="C924" s="2" t="inlineStr">
        <is>
          <t>Weak website</t>
        </is>
      </c>
      <c r="D924" s="2" t="inlineStr">
        <is>
          <t>Mamma Mia Trattoria Pizzeria</t>
        </is>
      </c>
      <c r="E924" s="2" t="inlineStr">
        <is>
          <t>restaurant</t>
        </is>
      </c>
      <c r="F924" s="2" t="inlineStr">
        <is>
          <t>Redlands</t>
        </is>
      </c>
      <c r="G924" s="2" t="inlineStr">
        <is>
          <t>Instagram</t>
        </is>
      </c>
      <c r="H924" s="4" t="inlineStr">
        <is>
          <t>https://www.instagram.com/mammamiatrattoriapizzeria</t>
        </is>
      </c>
      <c r="I924" s="4" t="inlineStr">
        <is>
          <t>https://www.facebook.com/profile.php</t>
        </is>
      </c>
      <c r="J924" s="2" t="inlineStr"/>
      <c r="K924" s="4" t="inlineStr">
        <is>
          <t>https://www.mammamiarabybay.com.au/</t>
        </is>
      </c>
      <c r="L924" s="2" t="inlineStr">
        <is>
          <t>missing meta description</t>
        </is>
      </c>
      <c r="M924" s="2" t="inlineStr">
        <is>
          <t>Hi Mamma Mia Trattoria Pizzeria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4" s="4" t="inlineStr">
        <is>
          <t>Open map</t>
        </is>
      </c>
      <c r="O924" s="2" t="inlineStr">
        <is>
          <t>Not contacted</t>
        </is>
      </c>
      <c r="P924" s="2" t="inlineStr"/>
      <c r="Q924" s="2" t="inlineStr"/>
      <c r="R924" s="2" t="inlineStr"/>
      <c r="S924" s="2" t="inlineStr"/>
    </row>
    <row r="925">
      <c r="A925" s="2" t="n">
        <v>924</v>
      </c>
      <c r="B925" s="6" t="inlineStr">
        <is>
          <t>MEDIUM</t>
        </is>
      </c>
      <c r="C925" s="2" t="inlineStr">
        <is>
          <t>Weak website</t>
        </is>
      </c>
      <c r="D925" s="2" t="inlineStr">
        <is>
          <t>Sails on Shore</t>
        </is>
      </c>
      <c r="E925" s="2" t="inlineStr">
        <is>
          <t>restaurant</t>
        </is>
      </c>
      <c r="F925" s="2" t="inlineStr">
        <is>
          <t>Redlands</t>
        </is>
      </c>
      <c r="G925" s="2" t="inlineStr">
        <is>
          <t>Instagram</t>
        </is>
      </c>
      <c r="H925" s="4" t="inlineStr">
        <is>
          <t>https://www.instagram.com/redlands_rsl</t>
        </is>
      </c>
      <c r="I925" s="4" t="inlineStr">
        <is>
          <t>https://www.facebook.com/RedlandsRSLClub</t>
        </is>
      </c>
      <c r="J925" s="2" t="inlineStr">
        <is>
          <t>+61 7 3488 1199</t>
        </is>
      </c>
      <c r="K925" s="4" t="inlineStr">
        <is>
          <t>https://redlandsrsl.com/dining/sails-on-shore-restaurant/</t>
        </is>
      </c>
      <c r="L925" s="2" t="inlineStr">
        <is>
          <t>missing meta description</t>
        </is>
      </c>
      <c r="M925" s="2" t="inlineStr">
        <is>
          <t>Hi Sails on Shore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5" s="4" t="inlineStr">
        <is>
          <t>Open map</t>
        </is>
      </c>
      <c r="O925" s="2" t="inlineStr">
        <is>
          <t>Not contacted</t>
        </is>
      </c>
      <c r="P925" s="2" t="inlineStr"/>
      <c r="Q925" s="2" t="inlineStr"/>
      <c r="R925" s="2" t="inlineStr"/>
      <c r="S925" s="2" t="inlineStr"/>
    </row>
    <row r="926">
      <c r="A926" s="2" t="n">
        <v>925</v>
      </c>
      <c r="B926" s="6" t="inlineStr">
        <is>
          <t>MEDIUM</t>
        </is>
      </c>
      <c r="C926" s="2" t="inlineStr">
        <is>
          <t>Weak website</t>
        </is>
      </c>
      <c r="D926" s="2" t="inlineStr">
        <is>
          <t>Smoked &amp; Loaded</t>
        </is>
      </c>
      <c r="E926" s="2" t="inlineStr">
        <is>
          <t>takeaway</t>
        </is>
      </c>
      <c r="F926" s="2" t="inlineStr">
        <is>
          <t>Redlands</t>
        </is>
      </c>
      <c r="G926" s="2" t="inlineStr">
        <is>
          <t>Instagram</t>
        </is>
      </c>
      <c r="H926" s="4" t="inlineStr">
        <is>
          <t>https://www.instagram.com/smoked_and_loaded</t>
        </is>
      </c>
      <c r="I926" s="4" t="inlineStr">
        <is>
          <t>https://www.facebook.com/smokedandloaded</t>
        </is>
      </c>
      <c r="J926" s="2" t="inlineStr"/>
      <c r="K926" s="4" t="inlineStr">
        <is>
          <t>https://smokedandloaded.com.au/</t>
        </is>
      </c>
      <c r="L926" s="2" t="inlineStr">
        <is>
          <t>missing meta description; slow to load (3.6s)</t>
        </is>
      </c>
      <c r="M926" s="2" t="inlineStr">
        <is>
          <t>Hi Smoked &amp; Loaded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26" s="4" t="inlineStr">
        <is>
          <t>Open map</t>
        </is>
      </c>
      <c r="O926" s="2" t="inlineStr">
        <is>
          <t>Not contacted</t>
        </is>
      </c>
      <c r="P926" s="2" t="inlineStr"/>
      <c r="Q926" s="2" t="inlineStr"/>
      <c r="R926" s="2" t="inlineStr"/>
      <c r="S926" s="2" t="inlineStr"/>
    </row>
    <row r="927">
      <c r="A927" s="2" t="n">
        <v>926</v>
      </c>
      <c r="B927" s="6" t="inlineStr">
        <is>
          <t>MEDIUM</t>
        </is>
      </c>
      <c r="C927" s="2" t="inlineStr">
        <is>
          <t>Weak website</t>
        </is>
      </c>
      <c r="D927" s="2" t="inlineStr">
        <is>
          <t>Central Park Motel</t>
        </is>
      </c>
      <c r="E927" s="2" t="inlineStr">
        <is>
          <t>accommodation</t>
        </is>
      </c>
      <c r="F927" s="2" t="inlineStr">
        <is>
          <t>Rockhampton</t>
        </is>
      </c>
      <c r="G927" s="2" t="inlineStr">
        <is>
          <t>Facebook</t>
        </is>
      </c>
      <c r="H927" s="2" t="inlineStr"/>
      <c r="I927" s="4" t="inlineStr">
        <is>
          <t>https://www.facebook.com/centralparkmotelrockhampton</t>
        </is>
      </c>
      <c r="J927" s="2" t="inlineStr">
        <is>
          <t>+61 7 4927 2333</t>
        </is>
      </c>
      <c r="K927" s="4" t="inlineStr">
        <is>
          <t>https://www.centralparkmotel.com.au/</t>
        </is>
      </c>
      <c r="L927" s="2" t="inlineStr">
        <is>
          <t>slow to load (3.8s)</t>
        </is>
      </c>
      <c r="M927" s="2" t="inlineStr">
        <is>
          <t>Hi Central Park Motel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27" s="4" t="inlineStr">
        <is>
          <t>Open map</t>
        </is>
      </c>
      <c r="O927" s="2" t="inlineStr">
        <is>
          <t>Not contacted</t>
        </is>
      </c>
      <c r="P927" s="2" t="inlineStr"/>
      <c r="Q927" s="2" t="inlineStr"/>
      <c r="R927" s="2" t="inlineStr"/>
      <c r="S927" s="2" t="inlineStr"/>
    </row>
    <row r="928">
      <c r="A928" s="2" t="n">
        <v>927</v>
      </c>
      <c r="B928" s="6" t="inlineStr">
        <is>
          <t>MEDIUM</t>
        </is>
      </c>
      <c r="C928" s="2" t="inlineStr">
        <is>
          <t>Weak website</t>
        </is>
      </c>
      <c r="D928" s="2" t="inlineStr">
        <is>
          <t>Glenmore Palms Motor Inn</t>
        </is>
      </c>
      <c r="E928" s="2" t="inlineStr">
        <is>
          <t>accommodation</t>
        </is>
      </c>
      <c r="F928" s="2" t="inlineStr">
        <is>
          <t>Rockhampton</t>
        </is>
      </c>
      <c r="G928" s="2" t="inlineStr">
        <is>
          <t>Facebook</t>
        </is>
      </c>
      <c r="H928" s="2" t="inlineStr"/>
      <c r="I928" s="4" t="inlineStr">
        <is>
          <t>https://www.facebook.com/Glenmore-Palms-Motel-Rockhampton-210668355612408</t>
        </is>
      </c>
      <c r="J928" s="2" t="inlineStr">
        <is>
          <t>+61 7 4926 1144</t>
        </is>
      </c>
      <c r="K928" s="4" t="inlineStr">
        <is>
          <t>https://www.glenmorepalms.com.au/</t>
        </is>
      </c>
      <c r="L928" s="2" t="inlineStr">
        <is>
          <t>looks outdated (copyright 2016)</t>
        </is>
      </c>
      <c r="M928" s="2" t="inlineStr">
        <is>
          <t>Hi Glenmore Palms Motor Inn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8" s="4" t="inlineStr">
        <is>
          <t>Open map</t>
        </is>
      </c>
      <c r="O928" s="2" t="inlineStr">
        <is>
          <t>Not contacted</t>
        </is>
      </c>
      <c r="P928" s="2" t="inlineStr"/>
      <c r="Q928" s="2" t="inlineStr"/>
      <c r="R928" s="2" t="inlineStr"/>
      <c r="S928" s="2" t="inlineStr"/>
    </row>
    <row r="929">
      <c r="A929" s="2" t="n">
        <v>928</v>
      </c>
      <c r="B929" s="6" t="inlineStr">
        <is>
          <t>MEDIUM</t>
        </is>
      </c>
      <c r="C929" s="2" t="inlineStr">
        <is>
          <t>Weak website</t>
        </is>
      </c>
      <c r="D929" s="2" t="inlineStr">
        <is>
          <t>Rockhampton Riverside Central Hotel</t>
        </is>
      </c>
      <c r="E929" s="2" t="inlineStr">
        <is>
          <t>accommodation</t>
        </is>
      </c>
      <c r="F929" s="2" t="inlineStr">
        <is>
          <t>Rockhampton</t>
        </is>
      </c>
      <c r="G929" s="2" t="inlineStr">
        <is>
          <t>Instagram</t>
        </is>
      </c>
      <c r="H929" s="4" t="inlineStr">
        <is>
          <t>https://www.instagram.com/cag_australia</t>
        </is>
      </c>
      <c r="I929" s="4" t="inlineStr">
        <is>
          <t>https://www.facebook.com/RockhamptonRiversideCentralHotel</t>
        </is>
      </c>
      <c r="J929" s="2" t="inlineStr">
        <is>
          <t>+61 427 996 613</t>
        </is>
      </c>
      <c r="K929" s="4" t="inlineStr">
        <is>
          <t>https://www.rockhamptonriversidecentral.com.au/</t>
        </is>
      </c>
      <c r="L929" s="2" t="inlineStr">
        <is>
          <t>missing meta description</t>
        </is>
      </c>
      <c r="M929" s="2" t="inlineStr">
        <is>
          <t>Hi Rockhampton Riverside Central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29" s="4" t="inlineStr">
        <is>
          <t>Open map</t>
        </is>
      </c>
      <c r="O929" s="2" t="inlineStr">
        <is>
          <t>Not contacted</t>
        </is>
      </c>
      <c r="P929" s="2" t="inlineStr"/>
      <c r="Q929" s="2" t="inlineStr"/>
      <c r="R929" s="2" t="inlineStr"/>
      <c r="S929" s="2" t="inlineStr"/>
    </row>
    <row r="930">
      <c r="A930" s="2" t="n">
        <v>929</v>
      </c>
      <c r="B930" s="6" t="inlineStr">
        <is>
          <t>MEDIUM</t>
        </is>
      </c>
      <c r="C930" s="2" t="inlineStr">
        <is>
          <t>Weak website</t>
        </is>
      </c>
      <c r="D930" s="2" t="inlineStr">
        <is>
          <t>The Criterion Hotel</t>
        </is>
      </c>
      <c r="E930" s="2" t="inlineStr">
        <is>
          <t>accommodation</t>
        </is>
      </c>
      <c r="F930" s="2" t="inlineStr">
        <is>
          <t>Rockhampton</t>
        </is>
      </c>
      <c r="G930" s="2" t="inlineStr">
        <is>
          <t>Instagram</t>
        </is>
      </c>
      <c r="H930" s="4" t="inlineStr">
        <is>
          <t>https://www.instagram.com/thecrirocky</t>
        </is>
      </c>
      <c r="I930" s="4" t="inlineStr">
        <is>
          <t>https://www.facebook.com/TheCriRocky</t>
        </is>
      </c>
      <c r="J930" s="2" t="inlineStr">
        <is>
          <t>+61 7 4922 1225</t>
        </is>
      </c>
      <c r="K930" s="4" t="inlineStr">
        <is>
          <t>https://thecriterion.com.au/</t>
        </is>
      </c>
      <c r="L930" s="2" t="inlineStr">
        <is>
          <t>looks outdated (copyright 2022)</t>
        </is>
      </c>
      <c r="M930" s="2" t="inlineStr">
        <is>
          <t>Hi The Criterion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0" s="4" t="inlineStr">
        <is>
          <t>Open map</t>
        </is>
      </c>
      <c r="O930" s="2" t="inlineStr">
        <is>
          <t>Not contacted</t>
        </is>
      </c>
      <c r="P930" s="2" t="inlineStr"/>
      <c r="Q930" s="2" t="inlineStr"/>
      <c r="R930" s="2" t="inlineStr"/>
      <c r="S930" s="2" t="inlineStr"/>
    </row>
    <row r="931">
      <c r="A931" s="2" t="n">
        <v>930</v>
      </c>
      <c r="B931" s="6" t="inlineStr">
        <is>
          <t>MEDIUM</t>
        </is>
      </c>
      <c r="C931" s="2" t="inlineStr">
        <is>
          <t>Weak website</t>
        </is>
      </c>
      <c r="D931" s="2" t="inlineStr">
        <is>
          <t>The Edge Apartment Hotel</t>
        </is>
      </c>
      <c r="E931" s="2" t="inlineStr">
        <is>
          <t>accommodation</t>
        </is>
      </c>
      <c r="F931" s="2" t="inlineStr">
        <is>
          <t>Rockhampton</t>
        </is>
      </c>
      <c r="G931" s="2" t="inlineStr">
        <is>
          <t>Instagram</t>
        </is>
      </c>
      <c r="H931" s="4" t="inlineStr">
        <is>
          <t>https://www.instagram.com/edgerockhampton</t>
        </is>
      </c>
      <c r="I931" s="4" t="inlineStr">
        <is>
          <t>https://www.facebook.com/EdgeRockhampton</t>
        </is>
      </c>
      <c r="J931" s="2" t="inlineStr">
        <is>
          <t>+61 7 4930 1000</t>
        </is>
      </c>
      <c r="K931" s="4" t="inlineStr">
        <is>
          <t>https://www.theedgeapartments.com.au/</t>
        </is>
      </c>
      <c r="L931" s="2" t="inlineStr">
        <is>
          <t>looks outdated (copyright 2016)</t>
        </is>
      </c>
      <c r="M931" s="2" t="inlineStr">
        <is>
          <t>Hi The Edge Apartment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1" s="4" t="inlineStr">
        <is>
          <t>Open map</t>
        </is>
      </c>
      <c r="O931" s="2" t="inlineStr">
        <is>
          <t>Not contacted</t>
        </is>
      </c>
      <c r="P931" s="2" t="inlineStr"/>
      <c r="Q931" s="2" t="inlineStr"/>
      <c r="R931" s="2" t="inlineStr"/>
      <c r="S931" s="2" t="inlineStr"/>
    </row>
    <row r="932">
      <c r="A932" s="2" t="n">
        <v>931</v>
      </c>
      <c r="B932" s="6" t="inlineStr">
        <is>
          <t>MEDIUM</t>
        </is>
      </c>
      <c r="C932" s="2" t="inlineStr">
        <is>
          <t>Weak website</t>
        </is>
      </c>
      <c r="D932" s="2" t="inlineStr">
        <is>
          <t>Tropical Gateway Motor Inn</t>
        </is>
      </c>
      <c r="E932" s="2" t="inlineStr">
        <is>
          <t>accommodation</t>
        </is>
      </c>
      <c r="F932" s="2" t="inlineStr">
        <is>
          <t>Rockhampton</t>
        </is>
      </c>
      <c r="G932" s="2" t="inlineStr">
        <is>
          <t>Facebook</t>
        </is>
      </c>
      <c r="H932" s="2" t="inlineStr"/>
      <c r="I932" s="4" t="inlineStr">
        <is>
          <t>http://www.facebook.com/zedmoteltropicalgateway</t>
        </is>
      </c>
      <c r="J932" s="2" t="inlineStr">
        <is>
          <t>+61 7 4900 0592</t>
        </is>
      </c>
      <c r="K932" s="4" t="inlineStr">
        <is>
          <t>https://www.tropicalgateway.com/</t>
        </is>
      </c>
      <c r="L932" s="2" t="inlineStr">
        <is>
          <t>missing meta description</t>
        </is>
      </c>
      <c r="M932" s="2" t="inlineStr">
        <is>
          <t>Hi Tropical Gateway Motor Inn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2" s="4" t="inlineStr">
        <is>
          <t>Open map</t>
        </is>
      </c>
      <c r="O932" s="2" t="inlineStr">
        <is>
          <t>Not contacted</t>
        </is>
      </c>
      <c r="P932" s="2" t="inlineStr"/>
      <c r="Q932" s="2" t="inlineStr"/>
      <c r="R932" s="2" t="inlineStr"/>
      <c r="S932" s="2" t="inlineStr"/>
    </row>
    <row r="933">
      <c r="A933" s="2" t="n">
        <v>932</v>
      </c>
      <c r="B933" s="6" t="inlineStr">
        <is>
          <t>MEDIUM</t>
        </is>
      </c>
      <c r="C933" s="2" t="inlineStr">
        <is>
          <t>Weak website</t>
        </is>
      </c>
      <c r="D933" s="2" t="inlineStr">
        <is>
          <t>Winter Sun Motel</t>
        </is>
      </c>
      <c r="E933" s="2" t="inlineStr">
        <is>
          <t>accommodation</t>
        </is>
      </c>
      <c r="F933" s="2" t="inlineStr">
        <is>
          <t>Rockhampton</t>
        </is>
      </c>
      <c r="G933" s="2" t="inlineStr">
        <is>
          <t>Facebook</t>
        </is>
      </c>
      <c r="H933" s="2" t="inlineStr"/>
      <c r="I933" s="4" t="inlineStr">
        <is>
          <t>https://www.facebook.com/wintersunrockhampton</t>
        </is>
      </c>
      <c r="J933" s="2" t="inlineStr">
        <is>
          <t>+61 7 4928 8722</t>
        </is>
      </c>
      <c r="K933" s="4" t="inlineStr">
        <is>
          <t>https://wintersunrockhampton.com.au/</t>
        </is>
      </c>
      <c r="L933" s="2" t="inlineStr">
        <is>
          <t>missing meta description</t>
        </is>
      </c>
      <c r="M933" s="2" t="inlineStr">
        <is>
          <t>Hi Winter Sun Motel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3" s="4" t="inlineStr">
        <is>
          <t>Open map</t>
        </is>
      </c>
      <c r="O933" s="2" t="inlineStr">
        <is>
          <t>Not contacted</t>
        </is>
      </c>
      <c r="P933" s="2" t="inlineStr"/>
      <c r="Q933" s="2" t="inlineStr"/>
      <c r="R933" s="2" t="inlineStr"/>
      <c r="S933" s="2" t="inlineStr"/>
    </row>
    <row r="934">
      <c r="A934" s="2" t="n">
        <v>933</v>
      </c>
      <c r="B934" s="6" t="inlineStr">
        <is>
          <t>MEDIUM</t>
        </is>
      </c>
      <c r="C934" s="2" t="inlineStr">
        <is>
          <t>Weak website</t>
        </is>
      </c>
      <c r="D934" s="2" t="inlineStr">
        <is>
          <t>Brush&amp;Comb Hair and Beauty Salon</t>
        </is>
      </c>
      <c r="E934" s="2" t="inlineStr">
        <is>
          <t>barber or hairdresser</t>
        </is>
      </c>
      <c r="F934" s="2" t="inlineStr">
        <is>
          <t>Rockhampton</t>
        </is>
      </c>
      <c r="G934" s="2" t="inlineStr">
        <is>
          <t>Instagram</t>
        </is>
      </c>
      <c r="H934" s="4" t="inlineStr">
        <is>
          <t>https://www.instagram.com/brush_and_comb_hair</t>
        </is>
      </c>
      <c r="I934" s="4" t="inlineStr">
        <is>
          <t>https://www.facebook.com/brushandcombhairsalon</t>
        </is>
      </c>
      <c r="J934" s="2" t="inlineStr">
        <is>
          <t>+61 7 4922 5668</t>
        </is>
      </c>
      <c r="K934" s="4" t="inlineStr">
        <is>
          <t>https://www.brushandcombhairandbeautysalon.com.au</t>
        </is>
      </c>
      <c r="L934" s="2" t="inlineStr">
        <is>
          <t>missing meta description</t>
        </is>
      </c>
      <c r="M934" s="2" t="inlineStr">
        <is>
          <t>Hi Brush&amp;Comb Hair and Beauty Salon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4" s="4" t="inlineStr">
        <is>
          <t>Open map</t>
        </is>
      </c>
      <c r="O934" s="2" t="inlineStr">
        <is>
          <t>Not contacted</t>
        </is>
      </c>
      <c r="P934" s="2" t="inlineStr"/>
      <c r="Q934" s="2" t="inlineStr"/>
      <c r="R934" s="2" t="inlineStr"/>
      <c r="S934" s="2" t="inlineStr"/>
    </row>
    <row r="935">
      <c r="A935" s="2" t="n">
        <v>934</v>
      </c>
      <c r="B935" s="6" t="inlineStr">
        <is>
          <t>MEDIUM</t>
        </is>
      </c>
      <c r="C935" s="2" t="inlineStr">
        <is>
          <t>Weak website</t>
        </is>
      </c>
      <c r="D935" s="2" t="inlineStr">
        <is>
          <t>Goodlife Health Clubs</t>
        </is>
      </c>
      <c r="E935" s="2" t="inlineStr">
        <is>
          <t>gym or studio</t>
        </is>
      </c>
      <c r="F935" s="2" t="inlineStr">
        <is>
          <t>Rockhampton</t>
        </is>
      </c>
      <c r="G935" s="2" t="inlineStr">
        <is>
          <t>Instagram</t>
        </is>
      </c>
      <c r="H935" s="4" t="inlineStr">
        <is>
          <t>https://www.instagram.com/goodlifehc</t>
        </is>
      </c>
      <c r="I935" s="4" t="inlineStr">
        <is>
          <t>https://www.facebook.com/goodlifehealthclubs</t>
        </is>
      </c>
      <c r="J935" s="2" t="inlineStr"/>
      <c r="K935" s="4" t="inlineStr">
        <is>
          <t>https://goodlife.com.au</t>
        </is>
      </c>
      <c r="L935" s="2" t="inlineStr">
        <is>
          <t>looks outdated (copyright 2022)</t>
        </is>
      </c>
      <c r="M935" s="2" t="inlineStr">
        <is>
          <t>Hi Goodlife Health Clubs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5" s="4" t="inlineStr">
        <is>
          <t>Open map</t>
        </is>
      </c>
      <c r="O935" s="2" t="inlineStr">
        <is>
          <t>Not contacted</t>
        </is>
      </c>
      <c r="P935" s="2" t="inlineStr"/>
      <c r="Q935" s="2" t="inlineStr"/>
      <c r="R935" s="2" t="inlineStr"/>
      <c r="S935" s="2" t="inlineStr"/>
    </row>
    <row r="936">
      <c r="A936" s="2" t="n">
        <v>935</v>
      </c>
      <c r="B936" s="6" t="inlineStr">
        <is>
          <t>MEDIUM</t>
        </is>
      </c>
      <c r="C936" s="2" t="inlineStr">
        <is>
          <t>Weak website</t>
        </is>
      </c>
      <c r="D936" s="2" t="inlineStr">
        <is>
          <t>Robo's Tyreworks</t>
        </is>
      </c>
      <c r="E936" s="2" t="inlineStr">
        <is>
          <t>mechanic</t>
        </is>
      </c>
      <c r="F936" s="2" t="inlineStr">
        <is>
          <t>Rockhampton</t>
        </is>
      </c>
      <c r="G936" s="2" t="inlineStr">
        <is>
          <t>Facebook</t>
        </is>
      </c>
      <c r="H936" s="2" t="inlineStr"/>
      <c r="I936" s="4" t="inlineStr">
        <is>
          <t>https://www.facebook.com/robostyreworks</t>
        </is>
      </c>
      <c r="J936" s="2" t="inlineStr">
        <is>
          <t>+61 7 4927 3360</t>
        </is>
      </c>
      <c r="K936" s="4" t="inlineStr">
        <is>
          <t>https://robostyres.com.au/</t>
        </is>
      </c>
      <c r="L936" s="2" t="inlineStr">
        <is>
          <t>slow to load (7.0s)</t>
        </is>
      </c>
      <c r="M936" s="2" t="inlineStr">
        <is>
          <t>Hi Robo's Tyreworks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36" s="4" t="inlineStr">
        <is>
          <t>Open map</t>
        </is>
      </c>
      <c r="O936" s="2" t="inlineStr">
        <is>
          <t>Not contacted</t>
        </is>
      </c>
      <c r="P936" s="2" t="inlineStr"/>
      <c r="Q936" s="2" t="inlineStr"/>
      <c r="R936" s="2" t="inlineStr"/>
      <c r="S936" s="2" t="inlineStr"/>
    </row>
    <row r="937">
      <c r="A937" s="2" t="n">
        <v>936</v>
      </c>
      <c r="B937" s="6" t="inlineStr">
        <is>
          <t>MEDIUM</t>
        </is>
      </c>
      <c r="C937" s="2" t="inlineStr">
        <is>
          <t>Weak website</t>
        </is>
      </c>
      <c r="D937" s="2" t="inlineStr">
        <is>
          <t>Burger Urge South Rockhampton</t>
        </is>
      </c>
      <c r="E937" s="2" t="inlineStr">
        <is>
          <t>restaurant</t>
        </is>
      </c>
      <c r="F937" s="2" t="inlineStr">
        <is>
          <t>Rockhampton</t>
        </is>
      </c>
      <c r="G937" s="2" t="inlineStr">
        <is>
          <t>Instagram</t>
        </is>
      </c>
      <c r="H937" s="4" t="inlineStr">
        <is>
          <t>https://www.instagram.com/burgerurge</t>
        </is>
      </c>
      <c r="I937" s="4" t="inlineStr">
        <is>
          <t>https://www.facebook.com/BurgerUrge</t>
        </is>
      </c>
      <c r="J937" s="2" t="inlineStr">
        <is>
          <t>+61 7 4882 0762</t>
        </is>
      </c>
      <c r="K937" s="4" t="inlineStr">
        <is>
          <t>https://burgerurge.com.au</t>
        </is>
      </c>
      <c r="L937" s="2" t="inlineStr">
        <is>
          <t>looks outdated (copyright 2021)</t>
        </is>
      </c>
      <c r="M937" s="2" t="inlineStr">
        <is>
          <t>Hi Burger Urge South Rockhampton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7" s="4" t="inlineStr">
        <is>
          <t>Open map</t>
        </is>
      </c>
      <c r="O937" s="2" t="inlineStr">
        <is>
          <t>Not contacted</t>
        </is>
      </c>
      <c r="P937" s="2" t="inlineStr"/>
      <c r="Q937" s="2" t="inlineStr"/>
      <c r="R937" s="2" t="inlineStr"/>
      <c r="S937" s="2" t="inlineStr"/>
    </row>
    <row r="938">
      <c r="A938" s="2" t="n">
        <v>937</v>
      </c>
      <c r="B938" s="6" t="inlineStr">
        <is>
          <t>MEDIUM</t>
        </is>
      </c>
      <c r="C938" s="2" t="inlineStr">
        <is>
          <t>Weak website</t>
        </is>
      </c>
      <c r="D938" s="2" t="inlineStr">
        <is>
          <t>The Spice Route Gourmet</t>
        </is>
      </c>
      <c r="E938" s="2" t="inlineStr">
        <is>
          <t>restaurant</t>
        </is>
      </c>
      <c r="F938" s="2" t="inlineStr">
        <is>
          <t>Rockhampton</t>
        </is>
      </c>
      <c r="G938" s="2" t="inlineStr">
        <is>
          <t>Facebook</t>
        </is>
      </c>
      <c r="H938" s="2" t="inlineStr"/>
      <c r="I938" s="4" t="inlineStr">
        <is>
          <t>https://www.facebook.com/spicerouteqld</t>
        </is>
      </c>
      <c r="J938" s="2" t="inlineStr">
        <is>
          <t>+61 413 277 743</t>
        </is>
      </c>
      <c r="K938" s="4" t="inlineStr">
        <is>
          <t>https://spiceroutegourmet.com.au/</t>
        </is>
      </c>
      <c r="L938" s="2" t="inlineStr">
        <is>
          <t>missing meta description</t>
        </is>
      </c>
      <c r="M938" s="2" t="inlineStr">
        <is>
          <t>Hi The Spice Route Gourmet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8" s="4" t="inlineStr">
        <is>
          <t>Open map</t>
        </is>
      </c>
      <c r="O938" s="2" t="inlineStr">
        <is>
          <t>Not contacted</t>
        </is>
      </c>
      <c r="P938" s="2" t="inlineStr"/>
      <c r="Q938" s="2" t="inlineStr"/>
      <c r="R938" s="2" t="inlineStr"/>
      <c r="S938" s="2" t="inlineStr"/>
    </row>
    <row r="939">
      <c r="A939" s="2" t="n">
        <v>938</v>
      </c>
      <c r="B939" s="6" t="inlineStr">
        <is>
          <t>MEDIUM</t>
        </is>
      </c>
      <c r="C939" s="2" t="inlineStr">
        <is>
          <t>Weak website</t>
        </is>
      </c>
      <c r="D939" s="2" t="inlineStr">
        <is>
          <t>Antonio's Xpress</t>
        </is>
      </c>
      <c r="E939" s="2" t="inlineStr">
        <is>
          <t>takeaway</t>
        </is>
      </c>
      <c r="F939" s="2" t="inlineStr">
        <is>
          <t>Rockhampton</t>
        </is>
      </c>
      <c r="G939" s="2" t="inlineStr">
        <is>
          <t>Facebook</t>
        </is>
      </c>
      <c r="H939" s="2" t="inlineStr"/>
      <c r="I939" s="4" t="inlineStr">
        <is>
          <t>https://www.facebook.com/antoniosxpresspizzas</t>
        </is>
      </c>
      <c r="J939" s="2" t="inlineStr">
        <is>
          <t>+61 7 4927 5777</t>
        </is>
      </c>
      <c r="K939" s="4" t="inlineStr">
        <is>
          <t>https://antoniosxpresspizzapastaribs.com/</t>
        </is>
      </c>
      <c r="L939" s="2" t="inlineStr">
        <is>
          <t>missing meta description</t>
        </is>
      </c>
      <c r="M939" s="2" t="inlineStr">
        <is>
          <t>Hi Antonio's Xpress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9" s="4" t="inlineStr">
        <is>
          <t>Open map</t>
        </is>
      </c>
      <c r="O939" s="2" t="inlineStr">
        <is>
          <t>Not contacted</t>
        </is>
      </c>
      <c r="P939" s="2" t="inlineStr"/>
      <c r="Q939" s="2" t="inlineStr"/>
      <c r="R939" s="2" t="inlineStr"/>
      <c r="S939" s="2" t="inlineStr"/>
    </row>
    <row r="940">
      <c r="A940" s="2" t="n">
        <v>939</v>
      </c>
      <c r="B940" s="6" t="inlineStr">
        <is>
          <t>MEDIUM</t>
        </is>
      </c>
      <c r="C940" s="2" t="inlineStr">
        <is>
          <t>Weak website</t>
        </is>
      </c>
      <c r="D940" s="2" t="inlineStr">
        <is>
          <t>Burrito Bar Rockhampton</t>
        </is>
      </c>
      <c r="E940" s="2" t="inlineStr">
        <is>
          <t>takeaway</t>
        </is>
      </c>
      <c r="F940" s="2" t="inlineStr">
        <is>
          <t>Rockhampton</t>
        </is>
      </c>
      <c r="G940" s="2" t="inlineStr">
        <is>
          <t>Instagram</t>
        </is>
      </c>
      <c r="H940" s="4" t="inlineStr">
        <is>
          <t>https://www.instagram.com/burritobar_</t>
        </is>
      </c>
      <c r="I940" s="4" t="inlineStr">
        <is>
          <t>https://www.facebook.com/TheBurritoBar</t>
        </is>
      </c>
      <c r="J940" s="2" t="inlineStr">
        <is>
          <t>+61 7 4882 0767</t>
        </is>
      </c>
      <c r="K940" s="4" t="inlineStr">
        <is>
          <t>https://burritobar.com.au/store/rockhampton</t>
        </is>
      </c>
      <c r="L940" s="2" t="inlineStr">
        <is>
          <t>missing meta description</t>
        </is>
      </c>
      <c r="M940" s="2" t="inlineStr">
        <is>
          <t>Hi Burrito Bar Rockhampton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0" s="4" t="inlineStr">
        <is>
          <t>Open map</t>
        </is>
      </c>
      <c r="O940" s="2" t="inlineStr">
        <is>
          <t>Not contacted</t>
        </is>
      </c>
      <c r="P940" s="2" t="inlineStr"/>
      <c r="Q940" s="2" t="inlineStr"/>
      <c r="R940" s="2" t="inlineStr"/>
      <c r="S940" s="2" t="inlineStr"/>
    </row>
    <row r="941">
      <c r="A941" s="2" t="n">
        <v>940</v>
      </c>
      <c r="B941" s="6" t="inlineStr">
        <is>
          <t>MEDIUM</t>
        </is>
      </c>
      <c r="C941" s="2" t="inlineStr">
        <is>
          <t>Weak website</t>
        </is>
      </c>
      <c r="D941" s="2" t="inlineStr">
        <is>
          <t>Cranston's Pies</t>
        </is>
      </c>
      <c r="E941" s="2" t="inlineStr">
        <is>
          <t>takeaway</t>
        </is>
      </c>
      <c r="F941" s="2" t="inlineStr">
        <is>
          <t>Rockhampton</t>
        </is>
      </c>
      <c r="G941" s="2" t="inlineStr">
        <is>
          <t>Facebook</t>
        </is>
      </c>
      <c r="H941" s="2" t="inlineStr"/>
      <c r="I941" s="4" t="inlineStr">
        <is>
          <t>https://www.facebook.com/cranstonspiesnorth</t>
        </is>
      </c>
      <c r="J941" s="2" t="inlineStr">
        <is>
          <t>+61 7 4922 4629</t>
        </is>
      </c>
      <c r="K941" s="4" t="inlineStr">
        <is>
          <t>https://www.cranstonspies.com.au/</t>
        </is>
      </c>
      <c r="L941" s="2" t="inlineStr">
        <is>
          <t>missing meta description</t>
        </is>
      </c>
      <c r="M941" s="2" t="inlineStr">
        <is>
          <t>Hi Cranston's Pies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1" s="4" t="inlineStr">
        <is>
          <t>Open map</t>
        </is>
      </c>
      <c r="O941" s="2" t="inlineStr">
        <is>
          <t>Not contacted</t>
        </is>
      </c>
      <c r="P941" s="2" t="inlineStr"/>
      <c r="Q941" s="2" t="inlineStr"/>
      <c r="R941" s="2" t="inlineStr"/>
      <c r="S941" s="2" t="inlineStr"/>
    </row>
    <row r="942">
      <c r="A942" s="2" t="n">
        <v>941</v>
      </c>
      <c r="B942" s="6" t="inlineStr">
        <is>
          <t>MEDIUM</t>
        </is>
      </c>
      <c r="C942" s="2" t="inlineStr">
        <is>
          <t>Weak website</t>
        </is>
      </c>
      <c r="D942" s="2" t="inlineStr">
        <is>
          <t>Caloundra Central Apartment Hotel</t>
        </is>
      </c>
      <c r="E942" s="2" t="inlineStr">
        <is>
          <t>accommodation</t>
        </is>
      </c>
      <c r="F942" s="2" t="inlineStr">
        <is>
          <t>Sunshine Coast</t>
        </is>
      </c>
      <c r="G942" s="2" t="inlineStr">
        <is>
          <t>Instagram</t>
        </is>
      </c>
      <c r="H942" s="4" t="inlineStr">
        <is>
          <t>https://www.instagram.com/cag_australia</t>
        </is>
      </c>
      <c r="I942" s="4" t="inlineStr">
        <is>
          <t>https://www.facebook.com/CaloundraCentralApartments</t>
        </is>
      </c>
      <c r="J942" s="2" t="inlineStr">
        <is>
          <t>+61 7 5490 2400</t>
        </is>
      </c>
      <c r="K942" s="4" t="inlineStr">
        <is>
          <t>https://www.caloundracentral.com.au/</t>
        </is>
      </c>
      <c r="L942" s="2" t="inlineStr">
        <is>
          <t>missing meta description</t>
        </is>
      </c>
      <c r="M942" s="2" t="inlineStr">
        <is>
          <t>Hi Caloundra Central Apartment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2" s="4" t="inlineStr">
        <is>
          <t>Open map</t>
        </is>
      </c>
      <c r="O942" s="2" t="inlineStr">
        <is>
          <t>Not contacted</t>
        </is>
      </c>
      <c r="P942" s="2" t="inlineStr"/>
      <c r="Q942" s="2" t="inlineStr"/>
      <c r="R942" s="2" t="inlineStr"/>
      <c r="S942" s="2" t="inlineStr"/>
    </row>
    <row r="943">
      <c r="A943" s="2" t="n">
        <v>942</v>
      </c>
      <c r="B943" s="6" t="inlineStr">
        <is>
          <t>MEDIUM</t>
        </is>
      </c>
      <c r="C943" s="2" t="inlineStr">
        <is>
          <t>Weak website</t>
        </is>
      </c>
      <c r="D943" s="2" t="inlineStr">
        <is>
          <t>Sunshine Coast Motor Lodge</t>
        </is>
      </c>
      <c r="E943" s="2" t="inlineStr">
        <is>
          <t>accommodation</t>
        </is>
      </c>
      <c r="F943" s="2" t="inlineStr">
        <is>
          <t>Sunshine Coast</t>
        </is>
      </c>
      <c r="G943" s="2" t="inlineStr">
        <is>
          <t>Instagram</t>
        </is>
      </c>
      <c r="H943" s="4" t="inlineStr">
        <is>
          <t>https://www.instagram.com/sunshinecoastmotorlodge</t>
        </is>
      </c>
      <c r="I943" s="4" t="inlineStr">
        <is>
          <t>https://www.facebook.com/Sunshine-Coast-Motor-Lodge-1670312586590863</t>
        </is>
      </c>
      <c r="J943" s="2" t="inlineStr">
        <is>
          <t>+61 7 5442 1666</t>
        </is>
      </c>
      <c r="K943" s="4" t="inlineStr">
        <is>
          <t>https://www.sunshinecoastmotorlodge.com.au/</t>
        </is>
      </c>
      <c r="L943" s="2" t="inlineStr">
        <is>
          <t>looks outdated (copyright 2021)</t>
        </is>
      </c>
      <c r="M943" s="2" t="inlineStr">
        <is>
          <t>Hi Sunshine Coast Motor Lodge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3" s="4" t="inlineStr">
        <is>
          <t>Open map</t>
        </is>
      </c>
      <c r="O943" s="2" t="inlineStr">
        <is>
          <t>Not contacted</t>
        </is>
      </c>
      <c r="P943" s="2" t="inlineStr"/>
      <c r="Q943" s="2" t="inlineStr"/>
      <c r="R943" s="2" t="inlineStr"/>
      <c r="S943" s="2" t="inlineStr"/>
    </row>
    <row r="944">
      <c r="A944" s="2" t="n">
        <v>943</v>
      </c>
      <c r="B944" s="6" t="inlineStr">
        <is>
          <t>MEDIUM</t>
        </is>
      </c>
      <c r="C944" s="2" t="inlineStr">
        <is>
          <t>Weak website</t>
        </is>
      </c>
      <c r="D944" s="2" t="inlineStr">
        <is>
          <t>Sweet &amp; Flour Bakery</t>
        </is>
      </c>
      <c r="E944" s="2" t="inlineStr">
        <is>
          <t>bakery</t>
        </is>
      </c>
      <c r="F944" s="2" t="inlineStr">
        <is>
          <t>Sunshine Coast</t>
        </is>
      </c>
      <c r="G944" s="2" t="inlineStr">
        <is>
          <t>Facebook</t>
        </is>
      </c>
      <c r="H944" s="2" t="inlineStr"/>
      <c r="I944" s="4" t="inlineStr">
        <is>
          <t>https://www.facebook.com/sweetandflourbakerycafe</t>
        </is>
      </c>
      <c r="J944" s="2" t="inlineStr"/>
      <c r="K944" s="4" t="inlineStr">
        <is>
          <t>https://sweetandflour.com.au/</t>
        </is>
      </c>
      <c r="L944" s="2" t="inlineStr">
        <is>
          <t>missing meta description</t>
        </is>
      </c>
      <c r="M944" s="2" t="inlineStr">
        <is>
          <t>Hi Sweet &amp; Flour Bakery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4" s="4" t="inlineStr">
        <is>
          <t>Open map</t>
        </is>
      </c>
      <c r="O944" s="2" t="inlineStr">
        <is>
          <t>Not contacted</t>
        </is>
      </c>
      <c r="P944" s="2" t="inlineStr"/>
      <c r="Q944" s="2" t="inlineStr"/>
      <c r="R944" s="2" t="inlineStr"/>
      <c r="S944" s="2" t="inlineStr"/>
    </row>
    <row r="945">
      <c r="A945" s="2" t="n">
        <v>944</v>
      </c>
      <c r="B945" s="6" t="inlineStr">
        <is>
          <t>MEDIUM</t>
        </is>
      </c>
      <c r="C945" s="2" t="inlineStr">
        <is>
          <t>Weak website</t>
        </is>
      </c>
      <c r="D945" s="2" t="inlineStr">
        <is>
          <t>Cooroy Hotel</t>
        </is>
      </c>
      <c r="E945" s="2" t="inlineStr">
        <is>
          <t>bar or pub</t>
        </is>
      </c>
      <c r="F945" s="2" t="inlineStr">
        <is>
          <t>Sunshine Coast</t>
        </is>
      </c>
      <c r="G945" s="2" t="inlineStr">
        <is>
          <t>Instagram</t>
        </is>
      </c>
      <c r="H945" s="4" t="inlineStr">
        <is>
          <t>https://www.instagram.com/cooroyhotel</t>
        </is>
      </c>
      <c r="I945" s="4" t="inlineStr">
        <is>
          <t>https://www.facebook.com/Cooroy-Hotel-150234788363888</t>
        </is>
      </c>
      <c r="J945" s="2" t="inlineStr">
        <is>
          <t>+61 7 5472 1900</t>
        </is>
      </c>
      <c r="K945" s="4" t="inlineStr">
        <is>
          <t>https://www.cooroyhotel.com.au/</t>
        </is>
      </c>
      <c r="L945" s="2" t="inlineStr">
        <is>
          <t>could not check (site refused automated visit, HTTP 403)</t>
        </is>
      </c>
      <c r="M945" s="2" t="inlineStr">
        <is>
          <t>Hi Cooroy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5" s="4" t="inlineStr">
        <is>
          <t>Open map</t>
        </is>
      </c>
      <c r="O945" s="2" t="inlineStr">
        <is>
          <t>Not contacted</t>
        </is>
      </c>
      <c r="P945" s="2" t="inlineStr"/>
      <c r="Q945" s="2" t="inlineStr"/>
      <c r="R945" s="2" t="inlineStr"/>
      <c r="S945" s="2" t="inlineStr"/>
    </row>
    <row r="946">
      <c r="A946" s="2" t="n">
        <v>945</v>
      </c>
      <c r="B946" s="6" t="inlineStr">
        <is>
          <t>MEDIUM</t>
        </is>
      </c>
      <c r="C946" s="2" t="inlineStr">
        <is>
          <t>Weak website</t>
        </is>
      </c>
      <c r="D946" s="2" t="inlineStr">
        <is>
          <t>Duporth Tavern</t>
        </is>
      </c>
      <c r="E946" s="2" t="inlineStr">
        <is>
          <t>bar or pub</t>
        </is>
      </c>
      <c r="F946" s="2" t="inlineStr">
        <is>
          <t>Sunshine Coast</t>
        </is>
      </c>
      <c r="G946" s="2" t="inlineStr">
        <is>
          <t>Instagram</t>
        </is>
      </c>
      <c r="H946" s="4" t="inlineStr">
        <is>
          <t>https://www.instagram.com/duporth_tavern</t>
        </is>
      </c>
      <c r="I946" s="4" t="inlineStr">
        <is>
          <t>https://www.facebook.com/duporthtavern</t>
        </is>
      </c>
      <c r="J946" s="2" t="inlineStr">
        <is>
          <t>+61 7 5443 1999</t>
        </is>
      </c>
      <c r="K946" s="4" t="inlineStr">
        <is>
          <t>https://duporthtavern.com/</t>
        </is>
      </c>
      <c r="L946" s="2" t="inlineStr">
        <is>
          <t>missing meta description</t>
        </is>
      </c>
      <c r="M946" s="2" t="inlineStr">
        <is>
          <t>Hi Duporth Tavern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6" s="4" t="inlineStr">
        <is>
          <t>Open map</t>
        </is>
      </c>
      <c r="O946" s="2" t="inlineStr">
        <is>
          <t>Not contacted</t>
        </is>
      </c>
      <c r="P946" s="2" t="inlineStr"/>
      <c r="Q946" s="2" t="inlineStr"/>
      <c r="R946" s="2" t="inlineStr"/>
      <c r="S946" s="2" t="inlineStr"/>
    </row>
    <row r="947">
      <c r="A947" s="2" t="n">
        <v>946</v>
      </c>
      <c r="B947" s="6" t="inlineStr">
        <is>
          <t>MEDIUM</t>
        </is>
      </c>
      <c r="C947" s="2" t="inlineStr">
        <is>
          <t>Weak website</t>
        </is>
      </c>
      <c r="D947" s="2" t="inlineStr">
        <is>
          <t>Palmwoods Bowls Club</t>
        </is>
      </c>
      <c r="E947" s="2" t="inlineStr">
        <is>
          <t>bar or pub</t>
        </is>
      </c>
      <c r="F947" s="2" t="inlineStr">
        <is>
          <t>Sunshine Coast</t>
        </is>
      </c>
      <c r="G947" s="2" t="inlineStr">
        <is>
          <t>Facebook</t>
        </is>
      </c>
      <c r="H947" s="2" t="inlineStr"/>
      <c r="I947" s="4" t="inlineStr">
        <is>
          <t>https://www.facebook.com/PalmwoodsBowlsClub</t>
        </is>
      </c>
      <c r="J947" s="2" t="inlineStr">
        <is>
          <t>+61 7 5445 9190</t>
        </is>
      </c>
      <c r="K947" s="4" t="inlineStr">
        <is>
          <t>https://www.palmwoodsbowlsclub.com.au/</t>
        </is>
      </c>
      <c r="L947" s="2" t="inlineStr">
        <is>
          <t>missing meta description; slow to load (4.0s)</t>
        </is>
      </c>
      <c r="M947" s="2" t="inlineStr">
        <is>
          <t>Hi Palmwoods Bowls Club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47" s="4" t="inlineStr">
        <is>
          <t>Open map</t>
        </is>
      </c>
      <c r="O947" s="2" t="inlineStr">
        <is>
          <t>Not contacted</t>
        </is>
      </c>
      <c r="P947" s="2" t="inlineStr"/>
      <c r="Q947" s="2" t="inlineStr"/>
      <c r="R947" s="2" t="inlineStr"/>
      <c r="S947" s="2" t="inlineStr"/>
    </row>
    <row r="948">
      <c r="A948" s="2" t="n">
        <v>947</v>
      </c>
      <c r="B948" s="6" t="inlineStr">
        <is>
          <t>MEDIUM</t>
        </is>
      </c>
      <c r="C948" s="2" t="inlineStr">
        <is>
          <t>Weak website</t>
        </is>
      </c>
      <c r="D948" s="2" t="inlineStr">
        <is>
          <t>Brides First Forever</t>
        </is>
      </c>
      <c r="E948" s="2" t="inlineStr">
        <is>
          <t>boutique</t>
        </is>
      </c>
      <c r="F948" s="2" t="inlineStr">
        <is>
          <t>Sunshine Coast</t>
        </is>
      </c>
      <c r="G948" s="2" t="inlineStr">
        <is>
          <t>Instagram</t>
        </is>
      </c>
      <c r="H948" s="4" t="inlineStr">
        <is>
          <t>https://www.instagram.com/bridesfirst</t>
        </is>
      </c>
      <c r="I948" s="4" t="inlineStr">
        <is>
          <t>https://www.facebook.com/bridesfirst</t>
        </is>
      </c>
      <c r="J948" s="2" t="inlineStr"/>
      <c r="K948" s="4" t="inlineStr">
        <is>
          <t>https://www.bridesfirst.com.au/</t>
        </is>
      </c>
      <c r="L948" s="2" t="inlineStr">
        <is>
          <t>slow to load (5.1s)</t>
        </is>
      </c>
      <c r="M948" s="2" t="inlineStr">
        <is>
          <t>Hi Brides First Forever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48" s="4" t="inlineStr">
        <is>
          <t>Open map</t>
        </is>
      </c>
      <c r="O948" s="2" t="inlineStr">
        <is>
          <t>Not contacted</t>
        </is>
      </c>
      <c r="P948" s="2" t="inlineStr"/>
      <c r="Q948" s="2" t="inlineStr"/>
      <c r="R948" s="2" t="inlineStr"/>
      <c r="S948" s="2" t="inlineStr"/>
    </row>
    <row r="949">
      <c r="A949" s="2" t="n">
        <v>948</v>
      </c>
      <c r="B949" s="6" t="inlineStr">
        <is>
          <t>MEDIUM</t>
        </is>
      </c>
      <c r="C949" s="2" t="inlineStr">
        <is>
          <t>Weak website</t>
        </is>
      </c>
      <c r="D949" s="2" t="inlineStr">
        <is>
          <t>Sketch</t>
        </is>
      </c>
      <c r="E949" s="2" t="inlineStr">
        <is>
          <t>boutique</t>
        </is>
      </c>
      <c r="F949" s="2" t="inlineStr">
        <is>
          <t>Sunshine Coast</t>
        </is>
      </c>
      <c r="G949" s="2" t="inlineStr">
        <is>
          <t>Instagram</t>
        </is>
      </c>
      <c r="H949" s="4" t="inlineStr">
        <is>
          <t>https://www.instagram.com/sketchnoosa</t>
        </is>
      </c>
      <c r="I949" s="4" t="inlineStr">
        <is>
          <t>https://www.facebook.com/Sketch-Noosa-408878525843252</t>
        </is>
      </c>
      <c r="J949" s="2" t="inlineStr"/>
      <c r="K949" s="4" t="inlineStr">
        <is>
          <t>https://www.sketchnoosa.com.au/</t>
        </is>
      </c>
      <c r="L949" s="2" t="inlineStr">
        <is>
          <t>missing meta description</t>
        </is>
      </c>
      <c r="M949" s="2" t="inlineStr">
        <is>
          <t>Hi Sketch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9" s="4" t="inlineStr">
        <is>
          <t>Open map</t>
        </is>
      </c>
      <c r="O949" s="2" t="inlineStr">
        <is>
          <t>Not contacted</t>
        </is>
      </c>
      <c r="P949" s="2" t="inlineStr"/>
      <c r="Q949" s="2" t="inlineStr"/>
      <c r="R949" s="2" t="inlineStr"/>
      <c r="S949" s="2" t="inlineStr"/>
    </row>
    <row r="950">
      <c r="A950" s="2" t="n">
        <v>949</v>
      </c>
      <c r="B950" s="6" t="inlineStr">
        <is>
          <t>MEDIUM</t>
        </is>
      </c>
      <c r="C950" s="2" t="inlineStr">
        <is>
          <t>Weak website</t>
        </is>
      </c>
      <c r="D950" s="2" t="inlineStr">
        <is>
          <t>BFresh</t>
        </is>
      </c>
      <c r="E950" s="2" t="inlineStr">
        <is>
          <t>cafe</t>
        </is>
      </c>
      <c r="F950" s="2" t="inlineStr">
        <is>
          <t>Sunshine Coast</t>
        </is>
      </c>
      <c r="G950" s="2" t="inlineStr">
        <is>
          <t>Instagram</t>
        </is>
      </c>
      <c r="H950" s="4" t="inlineStr">
        <is>
          <t>https://www.instagram.com/bfresh_93</t>
        </is>
      </c>
      <c r="I950" s="4" t="inlineStr">
        <is>
          <t>https://www.facebook.com/Bfresh-Market-Cafe-Deli-127270257363381</t>
        </is>
      </c>
      <c r="J950" s="2" t="inlineStr"/>
      <c r="K950" s="4" t="inlineStr">
        <is>
          <t>https://bfresh.com.au</t>
        </is>
      </c>
      <c r="L950" s="2" t="inlineStr">
        <is>
          <t>looks outdated (copyright 2015); slow to load (3.6s)</t>
        </is>
      </c>
      <c r="M950" s="2" t="inlineStr">
        <is>
          <t>Hi BFresh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50" s="4" t="inlineStr">
        <is>
          <t>Open map</t>
        </is>
      </c>
      <c r="O950" s="2" t="inlineStr">
        <is>
          <t>Not contacted</t>
        </is>
      </c>
      <c r="P950" s="2" t="inlineStr"/>
      <c r="Q950" s="2" t="inlineStr"/>
      <c r="R950" s="2" t="inlineStr"/>
      <c r="S950" s="2" t="inlineStr"/>
    </row>
    <row r="951">
      <c r="A951" s="2" t="n">
        <v>950</v>
      </c>
      <c r="B951" s="6" t="inlineStr">
        <is>
          <t>MEDIUM</t>
        </is>
      </c>
      <c r="C951" s="2" t="inlineStr">
        <is>
          <t>Weak website</t>
        </is>
      </c>
      <c r="D951" s="2" t="inlineStr">
        <is>
          <t>John Kyle Espresso</t>
        </is>
      </c>
      <c r="E951" s="2" t="inlineStr">
        <is>
          <t>cafe</t>
        </is>
      </c>
      <c r="F951" s="2" t="inlineStr">
        <is>
          <t>Sunshine Coast</t>
        </is>
      </c>
      <c r="G951" s="2" t="inlineStr">
        <is>
          <t>Facebook</t>
        </is>
      </c>
      <c r="H951" s="2" t="inlineStr"/>
      <c r="I951" s="4" t="inlineStr">
        <is>
          <t>https://www.facebook.com/johnkyleespresso</t>
        </is>
      </c>
      <c r="J951" s="2" t="inlineStr">
        <is>
          <t>+61 413 119 945</t>
        </is>
      </c>
      <c r="K951" s="4" t="inlineStr">
        <is>
          <t>https://johnkyleespresso.com.au/maroochydore/</t>
        </is>
      </c>
      <c r="L951" s="2" t="inlineStr">
        <is>
          <t>missing meta description</t>
        </is>
      </c>
      <c r="M951" s="2" t="inlineStr">
        <is>
          <t>Hi John Kyle Espresso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1" s="4" t="inlineStr">
        <is>
          <t>Open map</t>
        </is>
      </c>
      <c r="O951" s="2" t="inlineStr">
        <is>
          <t>Not contacted</t>
        </is>
      </c>
      <c r="P951" s="2" t="inlineStr"/>
      <c r="Q951" s="2" t="inlineStr"/>
      <c r="R951" s="2" t="inlineStr"/>
      <c r="S951" s="2" t="inlineStr"/>
    </row>
    <row r="952">
      <c r="A952" s="2" t="n">
        <v>951</v>
      </c>
      <c r="B952" s="6" t="inlineStr">
        <is>
          <t>MEDIUM</t>
        </is>
      </c>
      <c r="C952" s="2" t="inlineStr">
        <is>
          <t>Weak website</t>
        </is>
      </c>
      <c r="D952" s="2" t="inlineStr">
        <is>
          <t>Little Cove Coffee</t>
        </is>
      </c>
      <c r="E952" s="2" t="inlineStr">
        <is>
          <t>cafe</t>
        </is>
      </c>
      <c r="F952" s="2" t="inlineStr">
        <is>
          <t>Sunshine Coast</t>
        </is>
      </c>
      <c r="G952" s="2" t="inlineStr">
        <is>
          <t>Instagram</t>
        </is>
      </c>
      <c r="H952" s="4" t="inlineStr">
        <is>
          <t>https://www.instagram.com/littlecovecoffee</t>
        </is>
      </c>
      <c r="I952" s="4" t="inlineStr">
        <is>
          <t>https://www.facebook.com/littlecovecoffee</t>
        </is>
      </c>
      <c r="J952" s="2" t="inlineStr">
        <is>
          <t>+61 7 5440 5422</t>
        </is>
      </c>
      <c r="K952" s="4" t="inlineStr">
        <is>
          <t>https://littlecovecoffee.com.au/</t>
        </is>
      </c>
      <c r="L952" s="2" t="inlineStr">
        <is>
          <t>missing meta description</t>
        </is>
      </c>
      <c r="M952" s="2" t="inlineStr">
        <is>
          <t>Hi Little Cove Coffee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2" s="4" t="inlineStr">
        <is>
          <t>Open map</t>
        </is>
      </c>
      <c r="O952" s="2" t="inlineStr">
        <is>
          <t>Not contacted</t>
        </is>
      </c>
      <c r="P952" s="2" t="inlineStr"/>
      <c r="Q952" s="2" t="inlineStr"/>
      <c r="R952" s="2" t="inlineStr"/>
      <c r="S952" s="2" t="inlineStr"/>
    </row>
    <row r="953">
      <c r="A953" s="2" t="n">
        <v>952</v>
      </c>
      <c r="B953" s="6" t="inlineStr">
        <is>
          <t>MEDIUM</t>
        </is>
      </c>
      <c r="C953" s="2" t="inlineStr">
        <is>
          <t>Weak website</t>
        </is>
      </c>
      <c r="D953" s="2" t="inlineStr">
        <is>
          <t>Murray's Cafe Licenced Espresso Bar</t>
        </is>
      </c>
      <c r="E953" s="2" t="inlineStr">
        <is>
          <t>cafe</t>
        </is>
      </c>
      <c r="F953" s="2" t="inlineStr">
        <is>
          <t>Sunshine Coast</t>
        </is>
      </c>
      <c r="G953" s="2" t="inlineStr">
        <is>
          <t>Instagram</t>
        </is>
      </c>
      <c r="H953" s="4" t="inlineStr">
        <is>
          <t>https://instagram.com/murrayscafe</t>
        </is>
      </c>
      <c r="I953" s="4" t="inlineStr">
        <is>
          <t>http://www.facebook.com/murrayscafe</t>
        </is>
      </c>
      <c r="J953" s="2" t="inlineStr"/>
      <c r="K953" s="4" t="inlineStr">
        <is>
          <t>https://www.murrayscafe.com.au</t>
        </is>
      </c>
      <c r="L953" s="2" t="inlineStr">
        <is>
          <t>looks outdated (copyright 2018)</t>
        </is>
      </c>
      <c r="M953" s="2" t="inlineStr">
        <is>
          <t>Hi Murray's Cafe Licenced Espresso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3" s="4" t="inlineStr">
        <is>
          <t>Open map</t>
        </is>
      </c>
      <c r="O953" s="2" t="inlineStr">
        <is>
          <t>Not contacted</t>
        </is>
      </c>
      <c r="P953" s="2" t="inlineStr"/>
      <c r="Q953" s="2" t="inlineStr"/>
      <c r="R953" s="2" t="inlineStr"/>
      <c r="S953" s="2" t="inlineStr"/>
    </row>
    <row r="954">
      <c r="A954" s="2" t="n">
        <v>953</v>
      </c>
      <c r="B954" s="6" t="inlineStr">
        <is>
          <t>MEDIUM</t>
        </is>
      </c>
      <c r="C954" s="2" t="inlineStr">
        <is>
          <t>Weak website</t>
        </is>
      </c>
      <c r="D954" s="2" t="inlineStr">
        <is>
          <t>Stonebridge Gardens</t>
        </is>
      </c>
      <c r="E954" s="2" t="inlineStr">
        <is>
          <t>cafe</t>
        </is>
      </c>
      <c r="F954" s="2" t="inlineStr">
        <is>
          <t>Sunshine Coast</t>
        </is>
      </c>
      <c r="G954" s="2" t="inlineStr">
        <is>
          <t>Instagram</t>
        </is>
      </c>
      <c r="H954" s="4" t="inlineStr">
        <is>
          <t>https://www.instagram.com/alsahwaestate</t>
        </is>
      </c>
      <c r="I954" s="4" t="inlineStr">
        <is>
          <t>https://www.facebook.com/alsahwafarm</t>
        </is>
      </c>
      <c r="J954" s="2" t="inlineStr">
        <is>
          <t>+61 473 161 413</t>
        </is>
      </c>
      <c r="K954" s="4" t="inlineStr">
        <is>
          <t>https://stonebridgegardens.com.au/</t>
        </is>
      </c>
      <c r="L954" s="2" t="inlineStr">
        <is>
          <t>slow to load (3.6s)</t>
        </is>
      </c>
      <c r="M954" s="2" t="inlineStr">
        <is>
          <t>Hi Stonebridge Gardens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54" s="4" t="inlineStr">
        <is>
          <t>Open map</t>
        </is>
      </c>
      <c r="O954" s="2" t="inlineStr">
        <is>
          <t>Not contacted</t>
        </is>
      </c>
      <c r="P954" s="2" t="inlineStr"/>
      <c r="Q954" s="2" t="inlineStr"/>
      <c r="R954" s="2" t="inlineStr"/>
      <c r="S954" s="2" t="inlineStr"/>
    </row>
    <row r="955">
      <c r="A955" s="2" t="n">
        <v>954</v>
      </c>
      <c r="B955" s="6" t="inlineStr">
        <is>
          <t>MEDIUM</t>
        </is>
      </c>
      <c r="C955" s="2" t="inlineStr">
        <is>
          <t>Weak website</t>
        </is>
      </c>
      <c r="D955" s="2" t="inlineStr">
        <is>
          <t>The Pool Cafe</t>
        </is>
      </c>
      <c r="E955" s="2" t="inlineStr">
        <is>
          <t>cafe</t>
        </is>
      </c>
      <c r="F955" s="2" t="inlineStr">
        <is>
          <t>Sunshine Coast</t>
        </is>
      </c>
      <c r="G955" s="2" t="inlineStr">
        <is>
          <t>Instagram</t>
        </is>
      </c>
      <c r="H955" s="4" t="inlineStr">
        <is>
          <t>https://www.instagram.com/poolcafeperegian</t>
        </is>
      </c>
      <c r="I955" s="4" t="inlineStr">
        <is>
          <t>https://www.facebook.com/PoolCafePeregian</t>
        </is>
      </c>
      <c r="J955" s="2" t="inlineStr">
        <is>
          <t>+61 452 040 484</t>
        </is>
      </c>
      <c r="K955" s="4" t="inlineStr">
        <is>
          <t>https://www.poolcafeperegian.com.au/</t>
        </is>
      </c>
      <c r="L955" s="2" t="inlineStr">
        <is>
          <t>looks outdated (copyright 2020)</t>
        </is>
      </c>
      <c r="M955" s="2" t="inlineStr">
        <is>
          <t>Hi The Pool Cafe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5" s="4" t="inlineStr">
        <is>
          <t>Open map</t>
        </is>
      </c>
      <c r="O955" s="2" t="inlineStr">
        <is>
          <t>Not contacted</t>
        </is>
      </c>
      <c r="P955" s="2" t="inlineStr"/>
      <c r="Q955" s="2" t="inlineStr"/>
      <c r="R955" s="2" t="inlineStr"/>
      <c r="S955" s="2" t="inlineStr"/>
    </row>
    <row r="956">
      <c r="A956" s="2" t="n">
        <v>955</v>
      </c>
      <c r="B956" s="6" t="inlineStr">
        <is>
          <t>MEDIUM</t>
        </is>
      </c>
      <c r="C956" s="2" t="inlineStr">
        <is>
          <t>Weak website</t>
        </is>
      </c>
      <c r="D956" s="2" t="inlineStr">
        <is>
          <t>Bike On HQ</t>
        </is>
      </c>
      <c r="E956" s="2" t="inlineStr">
        <is>
          <t>car or bike shop</t>
        </is>
      </c>
      <c r="F956" s="2" t="inlineStr">
        <is>
          <t>Sunshine Coast</t>
        </is>
      </c>
      <c r="G956" s="2" t="inlineStr">
        <is>
          <t>Instagram</t>
        </is>
      </c>
      <c r="H956" s="4" t="inlineStr">
        <is>
          <t>https://www.instagram.com/bikeon_noosa_hiretours</t>
        </is>
      </c>
      <c r="I956" s="4" t="inlineStr">
        <is>
          <t>https://www.facebook.com/bikeonaustralia</t>
        </is>
      </c>
      <c r="J956" s="2" t="inlineStr"/>
      <c r="K956" s="4" t="inlineStr">
        <is>
          <t>https://www.bikeon.com.au</t>
        </is>
      </c>
      <c r="L956" s="2" t="inlineStr">
        <is>
          <t>slow to load (4.8s)</t>
        </is>
      </c>
      <c r="M956" s="2" t="inlineStr">
        <is>
          <t>Hi Bike On HQ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56" s="4" t="inlineStr">
        <is>
          <t>Open map</t>
        </is>
      </c>
      <c r="O956" s="2" t="inlineStr">
        <is>
          <t>Not contacted</t>
        </is>
      </c>
      <c r="P956" s="2" t="inlineStr"/>
      <c r="Q956" s="2" t="inlineStr"/>
      <c r="R956" s="2" t="inlineStr"/>
      <c r="S956" s="2" t="inlineStr"/>
    </row>
    <row r="957">
      <c r="A957" s="2" t="n">
        <v>956</v>
      </c>
      <c r="B957" s="6" t="inlineStr">
        <is>
          <t>MEDIUM</t>
        </is>
      </c>
      <c r="C957" s="2" t="inlineStr">
        <is>
          <t>Weak website</t>
        </is>
      </c>
      <c r="D957" s="2" t="inlineStr">
        <is>
          <t>Kids Capers Childcare Nambour</t>
        </is>
      </c>
      <c r="E957" s="2" t="inlineStr">
        <is>
          <t>childcare</t>
        </is>
      </c>
      <c r="F957" s="2" t="inlineStr">
        <is>
          <t>Sunshine Coast</t>
        </is>
      </c>
      <c r="G957" s="2" t="inlineStr">
        <is>
          <t>Instagram</t>
        </is>
      </c>
      <c r="H957" s="4" t="inlineStr">
        <is>
          <t>https://www.instagram.com/capersearlylearning</t>
        </is>
      </c>
      <c r="I957" s="4" t="inlineStr">
        <is>
          <t>https://www.facebook.com/CapersEarlyLearning</t>
        </is>
      </c>
      <c r="J957" s="2" t="inlineStr"/>
      <c r="K957" s="4" t="inlineStr">
        <is>
          <t>https://www.caperschildcare.com.au/nambour</t>
        </is>
      </c>
      <c r="L957" s="2" t="inlineStr">
        <is>
          <t>missing meta description</t>
        </is>
      </c>
      <c r="M957" s="2" t="inlineStr">
        <is>
          <t>Hi Kids Capers Childcare Nambour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7" s="4" t="inlineStr">
        <is>
          <t>Open map</t>
        </is>
      </c>
      <c r="O957" s="2" t="inlineStr">
        <is>
          <t>Not contacted</t>
        </is>
      </c>
      <c r="P957" s="2" t="inlineStr"/>
      <c r="Q957" s="2" t="inlineStr"/>
      <c r="R957" s="2" t="inlineStr"/>
      <c r="S957" s="2" t="inlineStr"/>
    </row>
    <row r="958">
      <c r="A958" s="2" t="n">
        <v>957</v>
      </c>
      <c r="B958" s="6" t="inlineStr">
        <is>
          <t>MEDIUM</t>
        </is>
      </c>
      <c r="C958" s="2" t="inlineStr">
        <is>
          <t>Weak website</t>
        </is>
      </c>
      <c r="D958" s="2" t="inlineStr">
        <is>
          <t>Palmwoods Early Learning Centre</t>
        </is>
      </c>
      <c r="E958" s="2" t="inlineStr">
        <is>
          <t>childcare</t>
        </is>
      </c>
      <c r="F958" s="2" t="inlineStr">
        <is>
          <t>Sunshine Coast</t>
        </is>
      </c>
      <c r="G958" s="2" t="inlineStr">
        <is>
          <t>Facebook</t>
        </is>
      </c>
      <c r="H958" s="2" t="inlineStr"/>
      <c r="I958" s="4" t="inlineStr">
        <is>
          <t>https://www.facebook.com/palmwoodselc</t>
        </is>
      </c>
      <c r="J958" s="2" t="inlineStr">
        <is>
          <t>+61 7 5391 4742</t>
        </is>
      </c>
      <c r="K958" s="4" t="inlineStr">
        <is>
          <t>https://www.palmwoodselc.com.au/</t>
        </is>
      </c>
      <c r="L958" s="2" t="inlineStr">
        <is>
          <t>missing meta description</t>
        </is>
      </c>
      <c r="M958" s="2" t="inlineStr">
        <is>
          <t>Hi Palmwoods Early Learning Centre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8" s="4" t="inlineStr">
        <is>
          <t>Open map</t>
        </is>
      </c>
      <c r="O958" s="2" t="inlineStr">
        <is>
          <t>Not contacted</t>
        </is>
      </c>
      <c r="P958" s="2" t="inlineStr"/>
      <c r="Q958" s="2" t="inlineStr"/>
      <c r="R958" s="2" t="inlineStr"/>
      <c r="S958" s="2" t="inlineStr"/>
    </row>
    <row r="959">
      <c r="A959" s="2" t="n">
        <v>958</v>
      </c>
      <c r="B959" s="6" t="inlineStr">
        <is>
          <t>MEDIUM</t>
        </is>
      </c>
      <c r="C959" s="2" t="inlineStr">
        <is>
          <t>Weak website</t>
        </is>
      </c>
      <c r="D959" s="2" t="inlineStr">
        <is>
          <t>Advance Oral Dentures</t>
        </is>
      </c>
      <c r="E959" s="2" t="inlineStr">
        <is>
          <t>dentist</t>
        </is>
      </c>
      <c r="F959" s="2" t="inlineStr">
        <is>
          <t>Sunshine Coast</t>
        </is>
      </c>
      <c r="G959" s="2" t="inlineStr">
        <is>
          <t>Facebook</t>
        </is>
      </c>
      <c r="H959" s="2" t="inlineStr"/>
      <c r="I959" s="4" t="inlineStr">
        <is>
          <t>https://www.facebook.com/AdvanceOraldentureclinic/</t>
        </is>
      </c>
      <c r="J959" s="2" t="inlineStr"/>
      <c r="K959" s="4" t="inlineStr">
        <is>
          <t>https://advanceoraldentures.com.au/</t>
        </is>
      </c>
      <c r="L959" s="2" t="inlineStr">
        <is>
          <t>missing meta description</t>
        </is>
      </c>
      <c r="M959" s="2" t="inlineStr">
        <is>
          <t>Hi Advance Oral Dentures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9" s="4" t="inlineStr">
        <is>
          <t>Open map</t>
        </is>
      </c>
      <c r="O959" s="2" t="inlineStr">
        <is>
          <t>Not contacted</t>
        </is>
      </c>
      <c r="P959" s="2" t="inlineStr"/>
      <c r="Q959" s="2" t="inlineStr"/>
      <c r="R959" s="2" t="inlineStr"/>
      <c r="S959" s="2" t="inlineStr"/>
    </row>
    <row r="960">
      <c r="A960" s="2" t="n">
        <v>959</v>
      </c>
      <c r="B960" s="6" t="inlineStr">
        <is>
          <t>MEDIUM</t>
        </is>
      </c>
      <c r="C960" s="2" t="inlineStr">
        <is>
          <t>Weak website</t>
        </is>
      </c>
      <c r="D960" s="2" t="inlineStr">
        <is>
          <t>Cooroy Dental Surgery</t>
        </is>
      </c>
      <c r="E960" s="2" t="inlineStr">
        <is>
          <t>dentist</t>
        </is>
      </c>
      <c r="F960" s="2" t="inlineStr">
        <is>
          <t>Sunshine Coast</t>
        </is>
      </c>
      <c r="G960" s="2" t="inlineStr">
        <is>
          <t>Facebook</t>
        </is>
      </c>
      <c r="H960" s="2" t="inlineStr"/>
      <c r="I960" s="4" t="inlineStr">
        <is>
          <t>https://www.facebook.com/cdsurgery</t>
        </is>
      </c>
      <c r="J960" s="2" t="inlineStr">
        <is>
          <t>+61 7 5447 6339</t>
        </is>
      </c>
      <c r="K960" s="4" t="inlineStr">
        <is>
          <t>https://www.cooroydental.com.au</t>
        </is>
      </c>
      <c r="L960" s="2" t="inlineStr">
        <is>
          <t>missing meta description</t>
        </is>
      </c>
      <c r="M960" s="2" t="inlineStr">
        <is>
          <t>Hi Cooroy Dental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0" s="4" t="inlineStr">
        <is>
          <t>Open map</t>
        </is>
      </c>
      <c r="O960" s="2" t="inlineStr">
        <is>
          <t>Not contacted</t>
        </is>
      </c>
      <c r="P960" s="2" t="inlineStr"/>
      <c r="Q960" s="2" t="inlineStr"/>
      <c r="R960" s="2" t="inlineStr"/>
      <c r="S960" s="2" t="inlineStr"/>
    </row>
    <row r="961">
      <c r="A961" s="2" t="n">
        <v>960</v>
      </c>
      <c r="B961" s="6" t="inlineStr">
        <is>
          <t>MEDIUM</t>
        </is>
      </c>
      <c r="C961" s="2" t="inlineStr">
        <is>
          <t>Weak website</t>
        </is>
      </c>
      <c r="D961" s="2" t="inlineStr">
        <is>
          <t>RJH Electrical</t>
        </is>
      </c>
      <c r="E961" s="2" t="inlineStr">
        <is>
          <t>electrician</t>
        </is>
      </c>
      <c r="F961" s="2" t="inlineStr">
        <is>
          <t>Sunshine Coast</t>
        </is>
      </c>
      <c r="G961" s="2" t="inlineStr">
        <is>
          <t>Facebook</t>
        </is>
      </c>
      <c r="H961" s="2" t="inlineStr"/>
      <c r="I961" s="4" t="inlineStr">
        <is>
          <t>https://www.facebook.com/SunshineCoastElectrician1</t>
        </is>
      </c>
      <c r="J961" s="2" t="inlineStr">
        <is>
          <t>+61 448 960 299</t>
        </is>
      </c>
      <c r="K961" s="4" t="inlineStr">
        <is>
          <t>http://www.rjhelectrical.com.au/</t>
        </is>
      </c>
      <c r="L961" s="2" t="inlineStr">
        <is>
          <t>no HTTPS (browser shows 'Not secure'); looks outdated (copyright 2015)</t>
        </is>
      </c>
      <c r="M961" s="2" t="inlineStr">
        <is>
          <t>Hi RJH Electrical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1" s="4" t="inlineStr">
        <is>
          <t>Open map</t>
        </is>
      </c>
      <c r="O961" s="2" t="inlineStr">
        <is>
          <t>Not contacted</t>
        </is>
      </c>
      <c r="P961" s="2" t="inlineStr"/>
      <c r="Q961" s="2" t="inlineStr"/>
      <c r="R961" s="2" t="inlineStr"/>
      <c r="S961" s="2" t="inlineStr"/>
    </row>
    <row r="962">
      <c r="A962" s="2" t="n">
        <v>961</v>
      </c>
      <c r="B962" s="6" t="inlineStr">
        <is>
          <t>MEDIUM</t>
        </is>
      </c>
      <c r="C962" s="2" t="inlineStr">
        <is>
          <t>Weak website</t>
        </is>
      </c>
      <c r="D962" s="2" t="inlineStr">
        <is>
          <t>Ezyfit Kawana</t>
        </is>
      </c>
      <c r="E962" s="2" t="inlineStr">
        <is>
          <t>gym or studio</t>
        </is>
      </c>
      <c r="F962" s="2" t="inlineStr">
        <is>
          <t>Sunshine Coast</t>
        </is>
      </c>
      <c r="G962" s="2" t="inlineStr">
        <is>
          <t>Instagram</t>
        </is>
      </c>
      <c r="H962" s="4" t="inlineStr">
        <is>
          <t>https://www.instagram.com/ezyfit_health_club</t>
        </is>
      </c>
      <c r="I962" s="4" t="inlineStr">
        <is>
          <t>https://www.facebook.com/ezyFITclub</t>
        </is>
      </c>
      <c r="J962" s="2" t="inlineStr">
        <is>
          <t>+61 7 5493 5099</t>
        </is>
      </c>
      <c r="K962" s="4" t="inlineStr">
        <is>
          <t>https://ezyfithealthclub.com/</t>
        </is>
      </c>
      <c r="L962" s="2" t="inlineStr">
        <is>
          <t>missing meta description; slow to load (5.8s)</t>
        </is>
      </c>
      <c r="M962" s="2" t="inlineStr">
        <is>
          <t>Hi Ezyfit Kawana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62" s="4" t="inlineStr">
        <is>
          <t>Open map</t>
        </is>
      </c>
      <c r="O962" s="2" t="inlineStr">
        <is>
          <t>Not contacted</t>
        </is>
      </c>
      <c r="P962" s="2" t="inlineStr"/>
      <c r="Q962" s="2" t="inlineStr"/>
      <c r="R962" s="2" t="inlineStr"/>
      <c r="S962" s="2" t="inlineStr"/>
    </row>
    <row r="963">
      <c r="A963" s="2" t="n">
        <v>962</v>
      </c>
      <c r="B963" s="6" t="inlineStr">
        <is>
          <t>MEDIUM</t>
        </is>
      </c>
      <c r="C963" s="2" t="inlineStr">
        <is>
          <t>Weak website</t>
        </is>
      </c>
      <c r="D963" s="2" t="inlineStr">
        <is>
          <t>Burnside Motors</t>
        </is>
      </c>
      <c r="E963" s="2" t="inlineStr">
        <is>
          <t>mechanic</t>
        </is>
      </c>
      <c r="F963" s="2" t="inlineStr">
        <is>
          <t>Sunshine Coast</t>
        </is>
      </c>
      <c r="G963" s="2" t="inlineStr">
        <is>
          <t>Instagram</t>
        </is>
      </c>
      <c r="H963" s="4" t="inlineStr">
        <is>
          <t>https://instagram.com/burnside_motors</t>
        </is>
      </c>
      <c r="I963" s="4" t="inlineStr">
        <is>
          <t>https://www.facebook.com/BurnsideMotors1</t>
        </is>
      </c>
      <c r="J963" s="2" t="inlineStr"/>
      <c r="K963" s="4" t="inlineStr">
        <is>
          <t>https://burnsidemotors.com.au/</t>
        </is>
      </c>
      <c r="L963" s="2" t="inlineStr">
        <is>
          <t>slow to load (4.2s)</t>
        </is>
      </c>
      <c r="M963" s="2" t="inlineStr">
        <is>
          <t>Hi Burnside Motors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63" s="4" t="inlineStr">
        <is>
          <t>Open map</t>
        </is>
      </c>
      <c r="O963" s="2" t="inlineStr">
        <is>
          <t>Not contacted</t>
        </is>
      </c>
      <c r="P963" s="2" t="inlineStr"/>
      <c r="Q963" s="2" t="inlineStr"/>
      <c r="R963" s="2" t="inlineStr"/>
      <c r="S963" s="2" t="inlineStr"/>
    </row>
    <row r="964">
      <c r="A964" s="2" t="n">
        <v>963</v>
      </c>
      <c r="B964" s="6" t="inlineStr">
        <is>
          <t>MEDIUM</t>
        </is>
      </c>
      <c r="C964" s="2" t="inlineStr">
        <is>
          <t>Weak website</t>
        </is>
      </c>
      <c r="D964" s="2" t="inlineStr">
        <is>
          <t>Just Autos Mechanical</t>
        </is>
      </c>
      <c r="E964" s="2" t="inlineStr">
        <is>
          <t>mechanic</t>
        </is>
      </c>
      <c r="F964" s="2" t="inlineStr">
        <is>
          <t>Sunshine Coast</t>
        </is>
      </c>
      <c r="G964" s="2" t="inlineStr">
        <is>
          <t>Instagram</t>
        </is>
      </c>
      <c r="H964" s="4" t="inlineStr">
        <is>
          <t>https://www.instagram.com/justautosmechanical</t>
        </is>
      </c>
      <c r="I964" s="4" t="inlineStr">
        <is>
          <t>https://www.facebook.com/justautosmechanical</t>
        </is>
      </c>
      <c r="J964" s="2" t="inlineStr">
        <is>
          <t>+61 7 5476 0066</t>
        </is>
      </c>
      <c r="K964" s="4" t="inlineStr">
        <is>
          <t>https://www.justautosmechanical.com.au/</t>
        </is>
      </c>
      <c r="L964" s="2" t="inlineStr">
        <is>
          <t>slow to load (3.1s)</t>
        </is>
      </c>
      <c r="M964" s="2" t="inlineStr">
        <is>
          <t>Hi Just Autos Mechanical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64" s="4" t="inlineStr">
        <is>
          <t>Open map</t>
        </is>
      </c>
      <c r="O964" s="2" t="inlineStr">
        <is>
          <t>Not contacted</t>
        </is>
      </c>
      <c r="P964" s="2" t="inlineStr"/>
      <c r="Q964" s="2" t="inlineStr"/>
      <c r="R964" s="2" t="inlineStr"/>
      <c r="S964" s="2" t="inlineStr"/>
    </row>
    <row r="965">
      <c r="A965" s="2" t="n">
        <v>964</v>
      </c>
      <c r="B965" s="6" t="inlineStr">
        <is>
          <t>MEDIUM</t>
        </is>
      </c>
      <c r="C965" s="2" t="inlineStr">
        <is>
          <t>Weak website</t>
        </is>
      </c>
      <c r="D965" s="2" t="inlineStr">
        <is>
          <t>Paint Protection Pro</t>
        </is>
      </c>
      <c r="E965" s="2" t="inlineStr">
        <is>
          <t>mechanic</t>
        </is>
      </c>
      <c r="F965" s="2" t="inlineStr">
        <is>
          <t>Sunshine Coast</t>
        </is>
      </c>
      <c r="G965" s="2" t="inlineStr">
        <is>
          <t>Facebook</t>
        </is>
      </c>
      <c r="H965" s="2" t="inlineStr"/>
      <c r="I965" s="4" t="inlineStr">
        <is>
          <t>https://www.facebook.com/paintprotectionpro</t>
        </is>
      </c>
      <c r="J965" s="2" t="inlineStr">
        <is>
          <t>+61 400 944 005</t>
        </is>
      </c>
      <c r="K965" s="4" t="inlineStr">
        <is>
          <t>https://paintprotectionpro.com.au/</t>
        </is>
      </c>
      <c r="L965" s="2" t="inlineStr">
        <is>
          <t>website address not working (check the business is still open)</t>
        </is>
      </c>
      <c r="M965" s="2" t="inlineStr">
        <is>
          <t>Hi Paint Protection Pro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5" s="4" t="inlineStr">
        <is>
          <t>Open map</t>
        </is>
      </c>
      <c r="O965" s="2" t="inlineStr">
        <is>
          <t>Not contacted</t>
        </is>
      </c>
      <c r="P965" s="2" t="inlineStr"/>
      <c r="Q965" s="2" t="inlineStr"/>
      <c r="R965" s="2" t="inlineStr"/>
      <c r="S965" s="2" t="inlineStr"/>
    </row>
    <row r="966">
      <c r="A966" s="2" t="n">
        <v>965</v>
      </c>
      <c r="B966" s="6" t="inlineStr">
        <is>
          <t>MEDIUM</t>
        </is>
      </c>
      <c r="C966" s="2" t="inlineStr">
        <is>
          <t>Weak website</t>
        </is>
      </c>
      <c r="D966" s="2" t="inlineStr">
        <is>
          <t>Noosa Foot &amp; Ankle Clinic and Regenerative Medicine</t>
        </is>
      </c>
      <c r="E966" s="2" t="inlineStr">
        <is>
          <t>medical clinic</t>
        </is>
      </c>
      <c r="F966" s="2" t="inlineStr">
        <is>
          <t>Sunshine Coast</t>
        </is>
      </c>
      <c r="G966" s="2" t="inlineStr">
        <is>
          <t>Instagram</t>
        </is>
      </c>
      <c r="H966" s="4" t="inlineStr">
        <is>
          <t>https://www.instagram.com/noosafootankleclinic</t>
        </is>
      </c>
      <c r="I966" s="4" t="inlineStr">
        <is>
          <t>https://www.facebook.com/noosapod</t>
        </is>
      </c>
      <c r="J966" s="2" t="inlineStr">
        <is>
          <t>+61 493 814 194</t>
        </is>
      </c>
      <c r="K966" s="4" t="inlineStr">
        <is>
          <t>https://www.nfac.com.au/</t>
        </is>
      </c>
      <c r="L966" s="2" t="inlineStr">
        <is>
          <t>missing meta description; slow to load (3.1s)</t>
        </is>
      </c>
      <c r="M966" s="2" t="inlineStr">
        <is>
          <t>Hi Noosa Foot &amp; Ankle Clinic and Regenerative Medicine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66" s="4" t="inlineStr">
        <is>
          <t>Open map</t>
        </is>
      </c>
      <c r="O966" s="2" t="inlineStr">
        <is>
          <t>Not contacted</t>
        </is>
      </c>
      <c r="P966" s="2" t="inlineStr"/>
      <c r="Q966" s="2" t="inlineStr"/>
      <c r="R966" s="2" t="inlineStr"/>
      <c r="S966" s="2" t="inlineStr"/>
    </row>
    <row r="967">
      <c r="A967" s="2" t="n">
        <v>966</v>
      </c>
      <c r="B967" s="6" t="inlineStr">
        <is>
          <t>MEDIUM</t>
        </is>
      </c>
      <c r="C967" s="2" t="inlineStr">
        <is>
          <t>Weak website</t>
        </is>
      </c>
      <c r="D967" s="2" t="inlineStr">
        <is>
          <t>Pelican Waters Veterinary Surgery</t>
        </is>
      </c>
      <c r="E967" s="2" t="inlineStr">
        <is>
          <t>pet business</t>
        </is>
      </c>
      <c r="F967" s="2" t="inlineStr">
        <is>
          <t>Sunshine Coast</t>
        </is>
      </c>
      <c r="G967" s="2" t="inlineStr">
        <is>
          <t>Facebook</t>
        </is>
      </c>
      <c r="H967" s="2" t="inlineStr"/>
      <c r="I967" s="4" t="inlineStr">
        <is>
          <t>https://www.facebook.com/pelicanwatersvet</t>
        </is>
      </c>
      <c r="J967" s="2" t="inlineStr"/>
      <c r="K967" s="4" t="inlineStr">
        <is>
          <t>https://www.pelicanvet.com/</t>
        </is>
      </c>
      <c r="L967" s="2" t="inlineStr">
        <is>
          <t>looks outdated (copyright 2018)</t>
        </is>
      </c>
      <c r="M967" s="2" t="inlineStr">
        <is>
          <t>Hi Pelican Waters Veterinary Surgery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7" s="4" t="inlineStr">
        <is>
          <t>Open map</t>
        </is>
      </c>
      <c r="O967" s="2" t="inlineStr">
        <is>
          <t>Not contacted</t>
        </is>
      </c>
      <c r="P967" s="2" t="inlineStr"/>
      <c r="Q967" s="2" t="inlineStr"/>
      <c r="R967" s="2" t="inlineStr"/>
      <c r="S967" s="2" t="inlineStr"/>
    </row>
    <row r="968">
      <c r="A968" s="2" t="n">
        <v>967</v>
      </c>
      <c r="B968" s="6" t="inlineStr">
        <is>
          <t>MEDIUM</t>
        </is>
      </c>
      <c r="C968" s="2" t="inlineStr">
        <is>
          <t>Weak website</t>
        </is>
      </c>
      <c r="D968" s="2" t="inlineStr">
        <is>
          <t>Advance Debt Collection</t>
        </is>
      </c>
      <c r="E968" s="2" t="inlineStr">
        <is>
          <t>professional services</t>
        </is>
      </c>
      <c r="F968" s="2" t="inlineStr">
        <is>
          <t>Sunshine Coast</t>
        </is>
      </c>
      <c r="G968" s="2" t="inlineStr">
        <is>
          <t>Instagram</t>
        </is>
      </c>
      <c r="H968" s="4" t="inlineStr">
        <is>
          <t>https://www.instagram.com/advancedebtcollection</t>
        </is>
      </c>
      <c r="I968" s="4" t="inlineStr">
        <is>
          <t>https://www.facebook.com/advancedebtcollection</t>
        </is>
      </c>
      <c r="J968" s="2" t="inlineStr">
        <is>
          <t>+61 7 5346 0365</t>
        </is>
      </c>
      <c r="K968" s="4" t="inlineStr">
        <is>
          <t>https://www.advancedebtcollection.com.au/</t>
        </is>
      </c>
      <c r="L968" s="2" t="inlineStr">
        <is>
          <t>website address not working (check the business is still open)</t>
        </is>
      </c>
      <c r="M968" s="2" t="inlineStr">
        <is>
          <t>Hi Advance Debt Collection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8" s="4" t="inlineStr">
        <is>
          <t>Open map</t>
        </is>
      </c>
      <c r="O968" s="2" t="inlineStr">
        <is>
          <t>Not contacted</t>
        </is>
      </c>
      <c r="P968" s="2" t="inlineStr"/>
      <c r="Q968" s="2" t="inlineStr"/>
      <c r="R968" s="2" t="inlineStr"/>
      <c r="S968" s="2" t="inlineStr"/>
    </row>
    <row r="969">
      <c r="A969" s="2" t="n">
        <v>968</v>
      </c>
      <c r="B969" s="6" t="inlineStr">
        <is>
          <t>MEDIUM</t>
        </is>
      </c>
      <c r="C969" s="2" t="inlineStr">
        <is>
          <t>Weak website</t>
        </is>
      </c>
      <c r="D969" s="2" t="inlineStr">
        <is>
          <t>Think Investment Realty</t>
        </is>
      </c>
      <c r="E969" s="2" t="inlineStr">
        <is>
          <t>real estate agent</t>
        </is>
      </c>
      <c r="F969" s="2" t="inlineStr">
        <is>
          <t>Sunshine Coast</t>
        </is>
      </c>
      <c r="G969" s="2" t="inlineStr">
        <is>
          <t>Instagram</t>
        </is>
      </c>
      <c r="H969" s="4" t="inlineStr">
        <is>
          <t>https://www.instagram.com/thinkinvestmentrealty</t>
        </is>
      </c>
      <c r="I969" s="4" t="inlineStr">
        <is>
          <t>https://www.facebook.com/thinkinvestmentrealty</t>
        </is>
      </c>
      <c r="J969" s="2" t="inlineStr"/>
      <c r="K969" s="4" t="inlineStr">
        <is>
          <t>https://thinkinvestmentrealty.com.au</t>
        </is>
      </c>
      <c r="L969" s="2" t="inlineStr">
        <is>
          <t>looks outdated (copyright 2022)</t>
        </is>
      </c>
      <c r="M969" s="2" t="inlineStr">
        <is>
          <t>Hi Think Investment Realty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9" s="4" t="inlineStr">
        <is>
          <t>Open map</t>
        </is>
      </c>
      <c r="O969" s="2" t="inlineStr">
        <is>
          <t>Not contacted</t>
        </is>
      </c>
      <c r="P969" s="2" t="inlineStr"/>
      <c r="Q969" s="2" t="inlineStr"/>
      <c r="R969" s="2" t="inlineStr"/>
      <c r="S969" s="2" t="inlineStr"/>
    </row>
    <row r="970">
      <c r="A970" s="2" t="n">
        <v>969</v>
      </c>
      <c r="B970" s="6" t="inlineStr">
        <is>
          <t>MEDIUM</t>
        </is>
      </c>
      <c r="C970" s="2" t="inlineStr">
        <is>
          <t>Weak website</t>
        </is>
      </c>
      <c r="D970" s="2" t="inlineStr">
        <is>
          <t>Acqua Restaurant and Bar</t>
        </is>
      </c>
      <c r="E970" s="2" t="inlineStr">
        <is>
          <t>restaurant</t>
        </is>
      </c>
      <c r="F970" s="2" t="inlineStr">
        <is>
          <t>Sunshine Coast</t>
        </is>
      </c>
      <c r="G970" s="2" t="inlineStr">
        <is>
          <t>Instagram</t>
        </is>
      </c>
      <c r="H970" s="4" t="inlineStr">
        <is>
          <t>https://www.instagram.com/acquarestaurantcaloundra</t>
        </is>
      </c>
      <c r="I970" s="4" t="inlineStr">
        <is>
          <t>https://www.facebook.com/AcquaRestaurantBar</t>
        </is>
      </c>
      <c r="J970" s="2" t="inlineStr">
        <is>
          <t>+61 7 5492 8155</t>
        </is>
      </c>
      <c r="K970" s="4" t="inlineStr">
        <is>
          <t>https://www.acquarestaurant.com.au</t>
        </is>
      </c>
      <c r="L970" s="2" t="inlineStr">
        <is>
          <t>looks outdated (copyright 2020)</t>
        </is>
      </c>
      <c r="M970" s="2" t="inlineStr">
        <is>
          <t>Hi Acqua Restaurant and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0" s="4" t="inlineStr">
        <is>
          <t>Open map</t>
        </is>
      </c>
      <c r="O970" s="2" t="inlineStr">
        <is>
          <t>Not contacted</t>
        </is>
      </c>
      <c r="P970" s="2" t="inlineStr"/>
      <c r="Q970" s="2" t="inlineStr"/>
      <c r="R970" s="2" t="inlineStr"/>
      <c r="S970" s="2" t="inlineStr"/>
    </row>
    <row r="971">
      <c r="A971" s="2" t="n">
        <v>970</v>
      </c>
      <c r="B971" s="6" t="inlineStr">
        <is>
          <t>MEDIUM</t>
        </is>
      </c>
      <c r="C971" s="2" t="inlineStr">
        <is>
          <t>Weak website</t>
        </is>
      </c>
      <c r="D971" s="2" t="inlineStr">
        <is>
          <t>Coffee Cat On Kings Beach</t>
        </is>
      </c>
      <c r="E971" s="2" t="inlineStr">
        <is>
          <t>restaurant</t>
        </is>
      </c>
      <c r="F971" s="2" t="inlineStr">
        <is>
          <t>Sunshine Coast</t>
        </is>
      </c>
      <c r="G971" s="2" t="inlineStr">
        <is>
          <t>Instagram</t>
        </is>
      </c>
      <c r="H971" s="4" t="inlineStr">
        <is>
          <t>https://www.instagram.com/coffeecatonkingsbeach</t>
        </is>
      </c>
      <c r="I971" s="4" t="inlineStr">
        <is>
          <t>https://www.facebook.com/CoffeeCatOnKingsBeach</t>
        </is>
      </c>
      <c r="J971" s="2" t="inlineStr"/>
      <c r="K971" s="4" t="inlineStr">
        <is>
          <t>https://www.coffeecatonkingsbeach.com.au/</t>
        </is>
      </c>
      <c r="L971" s="2" t="inlineStr">
        <is>
          <t>slow to load (3.1s)</t>
        </is>
      </c>
      <c r="M971" s="2" t="inlineStr">
        <is>
          <t>Hi Coffee Cat On Kings Beach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71" s="4" t="inlineStr">
        <is>
          <t>Open map</t>
        </is>
      </c>
      <c r="O971" s="2" t="inlineStr">
        <is>
          <t>Not contacted</t>
        </is>
      </c>
      <c r="P971" s="2" t="inlineStr"/>
      <c r="Q971" s="2" t="inlineStr"/>
      <c r="R971" s="2" t="inlineStr"/>
      <c r="S971" s="2" t="inlineStr"/>
    </row>
    <row r="972">
      <c r="A972" s="2" t="n">
        <v>971</v>
      </c>
      <c r="B972" s="6" t="inlineStr">
        <is>
          <t>MEDIUM</t>
        </is>
      </c>
      <c r="C972" s="2" t="inlineStr">
        <is>
          <t>Weak website</t>
        </is>
      </c>
      <c r="D972" s="2" t="inlineStr">
        <is>
          <t>Giddy Geisha</t>
        </is>
      </c>
      <c r="E972" s="2" t="inlineStr">
        <is>
          <t>restaurant</t>
        </is>
      </c>
      <c r="F972" s="2" t="inlineStr">
        <is>
          <t>Sunshine Coast</t>
        </is>
      </c>
      <c r="G972" s="2" t="inlineStr">
        <is>
          <t>Instagram</t>
        </is>
      </c>
      <c r="H972" s="4" t="inlineStr">
        <is>
          <t>https://www.instagram.com/giddy_geisha</t>
        </is>
      </c>
      <c r="I972" s="4" t="inlineStr">
        <is>
          <t>https://www.facebook.com/giddygeishamaroochydore</t>
        </is>
      </c>
      <c r="J972" s="2" t="inlineStr"/>
      <c r="K972" s="4" t="inlineStr">
        <is>
          <t>https://giddygeisha.com.au/</t>
        </is>
      </c>
      <c r="L972" s="2" t="inlineStr">
        <is>
          <t>missing meta description</t>
        </is>
      </c>
      <c r="M972" s="2" t="inlineStr">
        <is>
          <t>Hi Giddy Geisha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2" s="4" t="inlineStr">
        <is>
          <t>Open map</t>
        </is>
      </c>
      <c r="O972" s="2" t="inlineStr">
        <is>
          <t>Not contacted</t>
        </is>
      </c>
      <c r="P972" s="2" t="inlineStr"/>
      <c r="Q972" s="2" t="inlineStr"/>
      <c r="R972" s="2" t="inlineStr"/>
      <c r="S972" s="2" t="inlineStr"/>
    </row>
    <row r="973">
      <c r="A973" s="2" t="n">
        <v>972</v>
      </c>
      <c r="B973" s="6" t="inlineStr">
        <is>
          <t>MEDIUM</t>
        </is>
      </c>
      <c r="C973" s="2" t="inlineStr">
        <is>
          <t>Weak website</t>
        </is>
      </c>
      <c r="D973" s="2" t="inlineStr">
        <is>
          <t>Piggyback</t>
        </is>
      </c>
      <c r="E973" s="2" t="inlineStr">
        <is>
          <t>restaurant</t>
        </is>
      </c>
      <c r="F973" s="2" t="inlineStr">
        <is>
          <t>Sunshine Coast</t>
        </is>
      </c>
      <c r="G973" s="2" t="inlineStr">
        <is>
          <t>Instagram</t>
        </is>
      </c>
      <c r="H973" s="4" t="inlineStr">
        <is>
          <t>http://instagram.com/piggyback_sc</t>
        </is>
      </c>
      <c r="I973" s="4" t="inlineStr">
        <is>
          <t>http://www.facebook.com/piggybacksc</t>
        </is>
      </c>
      <c r="J973" s="2" t="inlineStr">
        <is>
          <t>+61 7 5412 1553</t>
        </is>
      </c>
      <c r="K973" s="4" t="inlineStr">
        <is>
          <t>https://piggyb.com.au/</t>
        </is>
      </c>
      <c r="L973" s="2" t="inlineStr">
        <is>
          <t>missing meta description</t>
        </is>
      </c>
      <c r="M973" s="2" t="inlineStr">
        <is>
          <t>Hi Piggyback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3" s="4" t="inlineStr">
        <is>
          <t>Open map</t>
        </is>
      </c>
      <c r="O973" s="2" t="inlineStr">
        <is>
          <t>Not contacted</t>
        </is>
      </c>
      <c r="P973" s="2" t="inlineStr"/>
      <c r="Q973" s="2" t="inlineStr"/>
      <c r="R973" s="2" t="inlineStr"/>
      <c r="S973" s="2" t="inlineStr"/>
    </row>
    <row r="974">
      <c r="A974" s="2" t="n">
        <v>973</v>
      </c>
      <c r="B974" s="6" t="inlineStr">
        <is>
          <t>MEDIUM</t>
        </is>
      </c>
      <c r="C974" s="2" t="inlineStr">
        <is>
          <t>Weak website</t>
        </is>
      </c>
      <c r="D974" s="2" t="inlineStr">
        <is>
          <t>Rice Boi</t>
        </is>
      </c>
      <c r="E974" s="2" t="inlineStr">
        <is>
          <t>restaurant</t>
        </is>
      </c>
      <c r="F974" s="2" t="inlineStr">
        <is>
          <t>Sunshine Coast</t>
        </is>
      </c>
      <c r="G974" s="2" t="inlineStr">
        <is>
          <t>Instagram</t>
        </is>
      </c>
      <c r="H974" s="4" t="inlineStr">
        <is>
          <t>http://instagram.com/riceboi_mba</t>
        </is>
      </c>
      <c r="I974" s="2" t="inlineStr"/>
      <c r="J974" s="2" t="inlineStr">
        <is>
          <t>+61 7 5444 1297</t>
        </is>
      </c>
      <c r="K974" s="4" t="inlineStr">
        <is>
          <t>https://riceboi.com.au/</t>
        </is>
      </c>
      <c r="L974" s="2" t="inlineStr">
        <is>
          <t>missing meta description; slow to load (3.1s)</t>
        </is>
      </c>
      <c r="M974" s="2" t="inlineStr">
        <is>
          <t>Hi Rice Boi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74" s="4" t="inlineStr">
        <is>
          <t>Open map</t>
        </is>
      </c>
      <c r="O974" s="2" t="inlineStr">
        <is>
          <t>Not contacted</t>
        </is>
      </c>
      <c r="P974" s="2" t="inlineStr"/>
      <c r="Q974" s="2" t="inlineStr"/>
      <c r="R974" s="2" t="inlineStr"/>
      <c r="S974" s="2" t="inlineStr"/>
    </row>
    <row r="975">
      <c r="A975" s="2" t="n">
        <v>974</v>
      </c>
      <c r="B975" s="6" t="inlineStr">
        <is>
          <t>MEDIUM</t>
        </is>
      </c>
      <c r="C975" s="2" t="inlineStr">
        <is>
          <t>Weak website</t>
        </is>
      </c>
      <c r="D975" s="2" t="inlineStr">
        <is>
          <t>Taco Boy</t>
        </is>
      </c>
      <c r="E975" s="2" t="inlineStr">
        <is>
          <t>restaurant</t>
        </is>
      </c>
      <c r="F975" s="2" t="inlineStr">
        <is>
          <t>Sunshine Coast</t>
        </is>
      </c>
      <c r="G975" s="2" t="inlineStr">
        <is>
          <t>Instagram</t>
        </is>
      </c>
      <c r="H975" s="4" t="inlineStr">
        <is>
          <t>https://www.instagram.com/tacoboynoosa</t>
        </is>
      </c>
      <c r="I975" s="4" t="inlineStr">
        <is>
          <t>https://www.facebook.com/tacoboyaustralia</t>
        </is>
      </c>
      <c r="J975" s="2" t="inlineStr">
        <is>
          <t>+61 7 5455 3530</t>
        </is>
      </c>
      <c r="K975" s="4" t="inlineStr">
        <is>
          <t>https://tacoboy.com.au/</t>
        </is>
      </c>
      <c r="L975" s="2" t="inlineStr">
        <is>
          <t>looks outdated (copyright 2022)</t>
        </is>
      </c>
      <c r="M975" s="2" t="inlineStr">
        <is>
          <t>Hi Taco Boy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5" s="4" t="inlineStr">
        <is>
          <t>Open map</t>
        </is>
      </c>
      <c r="O975" s="2" t="inlineStr">
        <is>
          <t>Not contacted</t>
        </is>
      </c>
      <c r="P975" s="2" t="inlineStr"/>
      <c r="Q975" s="2" t="inlineStr"/>
      <c r="R975" s="2" t="inlineStr"/>
      <c r="S975" s="2" t="inlineStr"/>
    </row>
    <row r="976">
      <c r="A976" s="2" t="n">
        <v>975</v>
      </c>
      <c r="B976" s="6" t="inlineStr">
        <is>
          <t>MEDIUM</t>
        </is>
      </c>
      <c r="C976" s="2" t="inlineStr">
        <is>
          <t>Weak website</t>
        </is>
      </c>
      <c r="D976" s="2" t="inlineStr">
        <is>
          <t>The Beachfront Restaurant</t>
        </is>
      </c>
      <c r="E976" s="2" t="inlineStr">
        <is>
          <t>restaurant</t>
        </is>
      </c>
      <c r="F976" s="2" t="inlineStr">
        <is>
          <t>Sunshine Coast</t>
        </is>
      </c>
      <c r="G976" s="2" t="inlineStr">
        <is>
          <t>Instagram</t>
        </is>
      </c>
      <c r="H976" s="4" t="inlineStr">
        <is>
          <t>https://www.instagram.com/coolumsurfclub</t>
        </is>
      </c>
      <c r="I976" s="4" t="inlineStr">
        <is>
          <t>https://www.facebook.com/CoolumSurfClub</t>
        </is>
      </c>
      <c r="J976" s="2" t="inlineStr"/>
      <c r="K976" s="4" t="inlineStr">
        <is>
          <t>https://www.coolumsurfclub.com/beachfront-restaurant/</t>
        </is>
      </c>
      <c r="L976" s="2" t="inlineStr">
        <is>
          <t>slow to load (3.6s)</t>
        </is>
      </c>
      <c r="M976" s="2" t="inlineStr">
        <is>
          <t>Hi The Beachfront Restaurant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76" s="4" t="inlineStr">
        <is>
          <t>Open map</t>
        </is>
      </c>
      <c r="O976" s="2" t="inlineStr">
        <is>
          <t>Not contacted</t>
        </is>
      </c>
      <c r="P976" s="2" t="inlineStr"/>
      <c r="Q976" s="2" t="inlineStr"/>
      <c r="R976" s="2" t="inlineStr"/>
      <c r="S976" s="2" t="inlineStr"/>
    </row>
    <row r="977">
      <c r="A977" s="2" t="n">
        <v>976</v>
      </c>
      <c r="B977" s="6" t="inlineStr">
        <is>
          <t>MEDIUM</t>
        </is>
      </c>
      <c r="C977" s="2" t="inlineStr">
        <is>
          <t>Weak website</t>
        </is>
      </c>
      <c r="D977" s="2" t="inlineStr">
        <is>
          <t>Yeti Restaurant &amp; Bar</t>
        </is>
      </c>
      <c r="E977" s="2" t="inlineStr">
        <is>
          <t>restaurant</t>
        </is>
      </c>
      <c r="F977" s="2" t="inlineStr">
        <is>
          <t>Sunshine Coast</t>
        </is>
      </c>
      <c r="G977" s="2" t="inlineStr">
        <is>
          <t>Facebook</t>
        </is>
      </c>
      <c r="H977" s="2" t="inlineStr"/>
      <c r="I977" s="4" t="inlineStr">
        <is>
          <t>https://www.facebook.com/YetiRestaurantAndBar</t>
        </is>
      </c>
      <c r="J977" s="2" t="inlineStr"/>
      <c r="K977" s="4" t="inlineStr">
        <is>
          <t>https://www.yetirestaurantandbar.com.au/</t>
        </is>
      </c>
      <c r="L977" s="2" t="inlineStr">
        <is>
          <t>missing meta description; slow to load (6.7s)</t>
        </is>
      </c>
      <c r="M977" s="2" t="inlineStr">
        <is>
          <t>Hi Yeti Restaurant &amp; Bar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77" s="4" t="inlineStr">
        <is>
          <t>Open map</t>
        </is>
      </c>
      <c r="O977" s="2" t="inlineStr">
        <is>
          <t>Not contacted</t>
        </is>
      </c>
      <c r="P977" s="2" t="inlineStr"/>
      <c r="Q977" s="2" t="inlineStr"/>
      <c r="R977" s="2" t="inlineStr"/>
      <c r="S977" s="2" t="inlineStr"/>
    </row>
    <row r="978">
      <c r="A978" s="2" t="n">
        <v>977</v>
      </c>
      <c r="B978" s="6" t="inlineStr">
        <is>
          <t>MEDIUM</t>
        </is>
      </c>
      <c r="C978" s="2" t="inlineStr">
        <is>
          <t>Weak website</t>
        </is>
      </c>
      <c r="D978" s="2" t="inlineStr">
        <is>
          <t>De Lish Fish @ Kings</t>
        </is>
      </c>
      <c r="E978" s="2" t="inlineStr">
        <is>
          <t>takeaway</t>
        </is>
      </c>
      <c r="F978" s="2" t="inlineStr">
        <is>
          <t>Sunshine Coast</t>
        </is>
      </c>
      <c r="G978" s="2" t="inlineStr">
        <is>
          <t>Facebook</t>
        </is>
      </c>
      <c r="H978" s="2" t="inlineStr"/>
      <c r="I978" s="4" t="inlineStr">
        <is>
          <t>https://www.facebook.com/pages/De-Lish-Fish-at-Kings/547467392024234</t>
        </is>
      </c>
      <c r="J978" s="2" t="inlineStr"/>
      <c r="K978" s="4" t="inlineStr">
        <is>
          <t>http://delishfish.com.au/</t>
        </is>
      </c>
      <c r="L978" s="2" t="inlineStr">
        <is>
          <t>no HTTPS (browser shows 'Not secure'); looks outdated (copyright 2014)</t>
        </is>
      </c>
      <c r="M978" s="2" t="inlineStr">
        <is>
          <t>Hi De Lish Fish @ Kings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8" s="4" t="inlineStr">
        <is>
          <t>Open map</t>
        </is>
      </c>
      <c r="O978" s="2" t="inlineStr">
        <is>
          <t>Not contacted</t>
        </is>
      </c>
      <c r="P978" s="2" t="inlineStr"/>
      <c r="Q978" s="2" t="inlineStr"/>
      <c r="R978" s="2" t="inlineStr"/>
      <c r="S978" s="2" t="inlineStr"/>
    </row>
    <row r="979">
      <c r="A979" s="2" t="n">
        <v>978</v>
      </c>
      <c r="B979" s="6" t="inlineStr">
        <is>
          <t>MEDIUM</t>
        </is>
      </c>
      <c r="C979" s="2" t="inlineStr">
        <is>
          <t>Weak website</t>
        </is>
      </c>
      <c r="D979" s="2" t="inlineStr">
        <is>
          <t>Ink Attack Tattoo</t>
        </is>
      </c>
      <c r="E979" s="2" t="inlineStr">
        <is>
          <t>tattoo studio</t>
        </is>
      </c>
      <c r="F979" s="2" t="inlineStr">
        <is>
          <t>Sunshine Coast</t>
        </is>
      </c>
      <c r="G979" s="2" t="inlineStr">
        <is>
          <t>Instagram</t>
        </is>
      </c>
      <c r="H979" s="4" t="inlineStr">
        <is>
          <t>http://instagram.com/ink_attack</t>
        </is>
      </c>
      <c r="I979" s="4" t="inlineStr">
        <is>
          <t>https://www.facebook.com/InkAttackTattooStudio</t>
        </is>
      </c>
      <c r="J979" s="2" t="inlineStr"/>
      <c r="K979" s="4" t="inlineStr">
        <is>
          <t>http://www.inkattack.com.au</t>
        </is>
      </c>
      <c r="L979" s="2" t="inlineStr">
        <is>
          <t>no HTTPS (browser shows 'Not secure'); looks outdated (copyright 2019)</t>
        </is>
      </c>
      <c r="M979" s="2" t="inlineStr">
        <is>
          <t>Hi Ink Attack Tattoo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79" s="4" t="inlineStr">
        <is>
          <t>Open map</t>
        </is>
      </c>
      <c r="O979" s="2" t="inlineStr">
        <is>
          <t>Not contacted</t>
        </is>
      </c>
      <c r="P979" s="2" t="inlineStr"/>
      <c r="Q979" s="2" t="inlineStr"/>
      <c r="R979" s="2" t="inlineStr"/>
      <c r="S979" s="2" t="inlineStr"/>
    </row>
    <row r="980">
      <c r="A980" s="2" t="n">
        <v>979</v>
      </c>
      <c r="B980" s="6" t="inlineStr">
        <is>
          <t>MEDIUM</t>
        </is>
      </c>
      <c r="C980" s="2" t="inlineStr">
        <is>
          <t>Weak website</t>
        </is>
      </c>
      <c r="D980" s="2" t="inlineStr">
        <is>
          <t>City Golf Club Motel</t>
        </is>
      </c>
      <c r="E980" s="2" t="inlineStr">
        <is>
          <t>accommodation</t>
        </is>
      </c>
      <c r="F980" s="2" t="inlineStr">
        <is>
          <t>Toowoomba</t>
        </is>
      </c>
      <c r="G980" s="2" t="inlineStr">
        <is>
          <t>Facebook</t>
        </is>
      </c>
      <c r="H980" s="2" t="inlineStr"/>
      <c r="I980" s="4" t="inlineStr">
        <is>
          <t>https://www.facebook.com/CityGolfMotel</t>
        </is>
      </c>
      <c r="J980" s="2" t="inlineStr">
        <is>
          <t>+61 7 4636 9999</t>
        </is>
      </c>
      <c r="K980" s="4" t="inlineStr">
        <is>
          <t>https://citygolfmotel.com.au/</t>
        </is>
      </c>
      <c r="L980" s="2" t="inlineStr">
        <is>
          <t>looks outdated (copyright 2015); slow to load (3.2s)</t>
        </is>
      </c>
      <c r="M980" s="2" t="inlineStr">
        <is>
          <t>Hi City Golf Club Motel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80" s="4" t="inlineStr">
        <is>
          <t>Open map</t>
        </is>
      </c>
      <c r="O980" s="2" t="inlineStr">
        <is>
          <t>Not contacted</t>
        </is>
      </c>
      <c r="P980" s="2" t="inlineStr"/>
      <c r="Q980" s="2" t="inlineStr"/>
      <c r="R980" s="2" t="inlineStr"/>
      <c r="S980" s="2" t="inlineStr"/>
    </row>
    <row r="981">
      <c r="A981" s="2" t="n">
        <v>980</v>
      </c>
      <c r="B981" s="6" t="inlineStr">
        <is>
          <t>MEDIUM</t>
        </is>
      </c>
      <c r="C981" s="2" t="inlineStr">
        <is>
          <t>Weak website</t>
        </is>
      </c>
      <c r="D981" s="2" t="inlineStr">
        <is>
          <t>The Cube Hotel</t>
        </is>
      </c>
      <c r="E981" s="2" t="inlineStr">
        <is>
          <t>bar or pub</t>
        </is>
      </c>
      <c r="F981" s="2" t="inlineStr">
        <is>
          <t>Toowoomba</t>
        </is>
      </c>
      <c r="G981" s="2" t="inlineStr">
        <is>
          <t>Instagram</t>
        </is>
      </c>
      <c r="H981" s="4" t="inlineStr">
        <is>
          <t>https://www.instagram.com/thecubehotel</t>
        </is>
      </c>
      <c r="I981" s="2" t="inlineStr"/>
      <c r="J981" s="2" t="inlineStr">
        <is>
          <t>+61 7 4632 4747</t>
        </is>
      </c>
      <c r="K981" s="4" t="inlineStr">
        <is>
          <t>http://www.cubehotel.com.au/</t>
        </is>
      </c>
      <c r="L981" s="2" t="inlineStr">
        <is>
          <t>no HTTPS (browser shows 'Not secure')</t>
        </is>
      </c>
      <c r="M981" s="2" t="inlineStr">
        <is>
          <t>Hi The Cube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1" s="4" t="inlineStr">
        <is>
          <t>Open map</t>
        </is>
      </c>
      <c r="O981" s="2" t="inlineStr">
        <is>
          <t>Not contacted</t>
        </is>
      </c>
      <c r="P981" s="2" t="inlineStr"/>
      <c r="Q981" s="2" t="inlineStr"/>
      <c r="R981" s="2" t="inlineStr"/>
      <c r="S981" s="2" t="inlineStr"/>
    </row>
    <row r="982">
      <c r="A982" s="2" t="n">
        <v>981</v>
      </c>
      <c r="B982" s="6" t="inlineStr">
        <is>
          <t>MEDIUM</t>
        </is>
      </c>
      <c r="C982" s="2" t="inlineStr">
        <is>
          <t>Weak website</t>
        </is>
      </c>
      <c r="D982" s="2" t="inlineStr">
        <is>
          <t>Bou's For Men Barber Shop</t>
        </is>
      </c>
      <c r="E982" s="2" t="inlineStr">
        <is>
          <t>barber or hairdresser</t>
        </is>
      </c>
      <c r="F982" s="2" t="inlineStr">
        <is>
          <t>Toowoomba</t>
        </is>
      </c>
      <c r="G982" s="2" t="inlineStr">
        <is>
          <t>Facebook</t>
        </is>
      </c>
      <c r="H982" s="2" t="inlineStr"/>
      <c r="I982" s="4" t="inlineStr">
        <is>
          <t>https://www.facebook.com/BousForMen</t>
        </is>
      </c>
      <c r="J982" s="2" t="inlineStr">
        <is>
          <t>+61 7 4615 4881</t>
        </is>
      </c>
      <c r="K982" s="4" t="inlineStr">
        <is>
          <t>https://www.bousformen.com.au/</t>
        </is>
      </c>
      <c r="L982" s="2" t="inlineStr">
        <is>
          <t>not mobile-friendly (no viewport tag); missing meta description</t>
        </is>
      </c>
      <c r="M982" s="2" t="inlineStr">
        <is>
          <t>Hi Bou's For Men Barber Shop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982" s="4" t="inlineStr">
        <is>
          <t>Open map</t>
        </is>
      </c>
      <c r="O982" s="2" t="inlineStr">
        <is>
          <t>Not contacted</t>
        </is>
      </c>
      <c r="P982" s="2" t="inlineStr"/>
      <c r="Q982" s="2" t="inlineStr"/>
      <c r="R982" s="2" t="inlineStr"/>
      <c r="S982" s="2" t="inlineStr"/>
    </row>
    <row r="983">
      <c r="A983" s="2" t="n">
        <v>982</v>
      </c>
      <c r="B983" s="6" t="inlineStr">
        <is>
          <t>MEDIUM</t>
        </is>
      </c>
      <c r="C983" s="2" t="inlineStr">
        <is>
          <t>Weak website</t>
        </is>
      </c>
      <c r="D983" s="2" t="inlineStr">
        <is>
          <t>Grow Early Education Darling Heights</t>
        </is>
      </c>
      <c r="E983" s="2" t="inlineStr">
        <is>
          <t>childcare</t>
        </is>
      </c>
      <c r="F983" s="2" t="inlineStr">
        <is>
          <t>Toowoomba</t>
        </is>
      </c>
      <c r="G983" s="2" t="inlineStr">
        <is>
          <t>Instagram</t>
        </is>
      </c>
      <c r="H983" s="4" t="inlineStr">
        <is>
          <t>https://www.instagram.com/grow_early_education</t>
        </is>
      </c>
      <c r="I983" s="4" t="inlineStr">
        <is>
          <t>https://www.facebook.com/growearlyeducation</t>
        </is>
      </c>
      <c r="J983" s="2" t="inlineStr"/>
      <c r="K983" s="4" t="inlineStr">
        <is>
          <t>https://growearlyeducation.com.au/darlingheights/</t>
        </is>
      </c>
      <c r="L983" s="2" t="inlineStr">
        <is>
          <t>missing meta description</t>
        </is>
      </c>
      <c r="M983" s="2" t="inlineStr">
        <is>
          <t>Hi Grow Early Education Darling Heights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3" s="4" t="inlineStr">
        <is>
          <t>Open map</t>
        </is>
      </c>
      <c r="O983" s="2" t="inlineStr">
        <is>
          <t>Not contacted</t>
        </is>
      </c>
      <c r="P983" s="2" t="inlineStr"/>
      <c r="Q983" s="2" t="inlineStr"/>
      <c r="R983" s="2" t="inlineStr"/>
      <c r="S983" s="2" t="inlineStr"/>
    </row>
    <row r="984">
      <c r="A984" s="2" t="n">
        <v>983</v>
      </c>
      <c r="B984" s="6" t="inlineStr">
        <is>
          <t>MEDIUM</t>
        </is>
      </c>
      <c r="C984" s="2" t="inlineStr">
        <is>
          <t>Weak website</t>
        </is>
      </c>
      <c r="D984" s="2" t="inlineStr">
        <is>
          <t>Elevation Studios</t>
        </is>
      </c>
      <c r="E984" s="2" t="inlineStr">
        <is>
          <t>gym or studio</t>
        </is>
      </c>
      <c r="F984" s="2" t="inlineStr">
        <is>
          <t>Toowoomba</t>
        </is>
      </c>
      <c r="G984" s="2" t="inlineStr">
        <is>
          <t>Facebook</t>
        </is>
      </c>
      <c r="H984" s="2" t="inlineStr"/>
      <c r="I984" s="4" t="inlineStr">
        <is>
          <t>https://www.facebook.com/elevationstudioshighfields</t>
        </is>
      </c>
      <c r="J984" s="2" t="inlineStr">
        <is>
          <t>+61 7 4599 3165</t>
        </is>
      </c>
      <c r="K984" s="4" t="inlineStr">
        <is>
          <t>https://www.elevationstudios.com.au</t>
        </is>
      </c>
      <c r="L984" s="2" t="inlineStr">
        <is>
          <t>missing meta description; slow to load (5.5s)</t>
        </is>
      </c>
      <c r="M984" s="2" t="inlineStr">
        <is>
          <t>Hi Elevation Studios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84" s="4" t="inlineStr">
        <is>
          <t>Open map</t>
        </is>
      </c>
      <c r="O984" s="2" t="inlineStr">
        <is>
          <t>Not contacted</t>
        </is>
      </c>
      <c r="P984" s="2" t="inlineStr"/>
      <c r="Q984" s="2" t="inlineStr"/>
      <c r="R984" s="2" t="inlineStr"/>
      <c r="S984" s="2" t="inlineStr"/>
    </row>
    <row r="985">
      <c r="A985" s="2" t="n">
        <v>984</v>
      </c>
      <c r="B985" s="6" t="inlineStr">
        <is>
          <t>MEDIUM</t>
        </is>
      </c>
      <c r="C985" s="2" t="inlineStr">
        <is>
          <t>Weak website</t>
        </is>
      </c>
      <c r="D985" s="2" t="inlineStr">
        <is>
          <t>Ben Watts Mini and Moke</t>
        </is>
      </c>
      <c r="E985" s="2" t="inlineStr">
        <is>
          <t>mechanic</t>
        </is>
      </c>
      <c r="F985" s="2" t="inlineStr">
        <is>
          <t>Toowoomba</t>
        </is>
      </c>
      <c r="G985" s="2" t="inlineStr">
        <is>
          <t>Facebook</t>
        </is>
      </c>
      <c r="H985" s="2" t="inlineStr"/>
      <c r="I985" s="4" t="inlineStr">
        <is>
          <t>https://www.facebook.com/BenWattsMiniandMoke/</t>
        </is>
      </c>
      <c r="J985" s="2" t="inlineStr">
        <is>
          <t>+61 416 870 709</t>
        </is>
      </c>
      <c r="K985" s="4" t="inlineStr">
        <is>
          <t>http://www.benwattsminiandmoke.com.au/</t>
        </is>
      </c>
      <c r="L985" s="2" t="inlineStr">
        <is>
          <t>no HTTPS (browser shows 'Not secure'); missing meta description; slow to load (6.6s)</t>
        </is>
      </c>
      <c r="M985" s="2" t="inlineStr">
        <is>
          <t>Hi Ben Watts Mini and Moke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85" s="4" t="inlineStr">
        <is>
          <t>Open map</t>
        </is>
      </c>
      <c r="O985" s="2" t="inlineStr">
        <is>
          <t>Not contacted</t>
        </is>
      </c>
      <c r="P985" s="2" t="inlineStr"/>
      <c r="Q985" s="2" t="inlineStr"/>
      <c r="R985" s="2" t="inlineStr"/>
      <c r="S985" s="2" t="inlineStr"/>
    </row>
    <row r="986">
      <c r="A986" s="2" t="n">
        <v>985</v>
      </c>
      <c r="B986" s="6" t="inlineStr">
        <is>
          <t>MEDIUM</t>
        </is>
      </c>
      <c r="C986" s="2" t="inlineStr">
        <is>
          <t>Weak website</t>
        </is>
      </c>
      <c r="D986" s="2" t="inlineStr">
        <is>
          <t>Goolburri Aboriginal Health Advancement</t>
        </is>
      </c>
      <c r="E986" s="2" t="inlineStr">
        <is>
          <t>medical clinic</t>
        </is>
      </c>
      <c r="F986" s="2" t="inlineStr">
        <is>
          <t>Toowoomba</t>
        </is>
      </c>
      <c r="G986" s="2" t="inlineStr">
        <is>
          <t>Instagram</t>
        </is>
      </c>
      <c r="H986" s="4" t="inlineStr">
        <is>
          <t>https://www.instagram.com/goolburri</t>
        </is>
      </c>
      <c r="I986" s="4" t="inlineStr">
        <is>
          <t>https://www.facebook.com/GoolburriHealth</t>
        </is>
      </c>
      <c r="J986" s="2" t="inlineStr"/>
      <c r="K986" s="4" t="inlineStr">
        <is>
          <t>https://goolburri.org.au/</t>
        </is>
      </c>
      <c r="L986" s="2" t="inlineStr">
        <is>
          <t>missing meta description</t>
        </is>
      </c>
      <c r="M986" s="2" t="inlineStr">
        <is>
          <t>Hi Goolburri Aboriginal Health Advancement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6" s="4" t="inlineStr">
        <is>
          <t>Open map</t>
        </is>
      </c>
      <c r="O986" s="2" t="inlineStr">
        <is>
          <t>Not contacted</t>
        </is>
      </c>
      <c r="P986" s="2" t="inlineStr"/>
      <c r="Q986" s="2" t="inlineStr"/>
      <c r="R986" s="2" t="inlineStr"/>
      <c r="S986" s="2" t="inlineStr"/>
    </row>
    <row r="987">
      <c r="A987" s="2" t="n">
        <v>986</v>
      </c>
      <c r="B987" s="6" t="inlineStr">
        <is>
          <t>MEDIUM</t>
        </is>
      </c>
      <c r="C987" s="2" t="inlineStr">
        <is>
          <t>Weak website</t>
        </is>
      </c>
      <c r="D987" s="2" t="inlineStr">
        <is>
          <t>Up &amp; Active Physiotherapy</t>
        </is>
      </c>
      <c r="E987" s="2" t="inlineStr">
        <is>
          <t>physiotherapist</t>
        </is>
      </c>
      <c r="F987" s="2" t="inlineStr">
        <is>
          <t>Toowoomba</t>
        </is>
      </c>
      <c r="G987" s="2" t="inlineStr">
        <is>
          <t>Instagram</t>
        </is>
      </c>
      <c r="H987" s="4" t="inlineStr">
        <is>
          <t>https://www.instagram.com/upandactivephysiotherapy_</t>
        </is>
      </c>
      <c r="I987" s="4" t="inlineStr">
        <is>
          <t>https://www.facebook.com/upandactivephysiotherapy</t>
        </is>
      </c>
      <c r="J987" s="2" t="inlineStr">
        <is>
          <t>+61 7 4613 1394</t>
        </is>
      </c>
      <c r="K987" s="4" t="inlineStr">
        <is>
          <t>http://www.upandactive.com.au/index.html</t>
        </is>
      </c>
      <c r="L987" s="2" t="inlineStr">
        <is>
          <t>looks outdated (copyright 2023); slow to load (3.4s)</t>
        </is>
      </c>
      <c r="M987" s="2" t="inlineStr">
        <is>
          <t>Hi Up &amp; Active Physiotherapy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87" s="4" t="inlineStr">
        <is>
          <t>Open map</t>
        </is>
      </c>
      <c r="O987" s="2" t="inlineStr">
        <is>
          <t>Not contacted</t>
        </is>
      </c>
      <c r="P987" s="2" t="inlineStr"/>
      <c r="Q987" s="2" t="inlineStr"/>
      <c r="R987" s="2" t="inlineStr"/>
      <c r="S987" s="2" t="inlineStr"/>
    </row>
    <row r="988">
      <c r="A988" s="2" t="n">
        <v>987</v>
      </c>
      <c r="B988" s="6" t="inlineStr">
        <is>
          <t>MEDIUM</t>
        </is>
      </c>
      <c r="C988" s="2" t="inlineStr">
        <is>
          <t>Weak website</t>
        </is>
      </c>
      <c r="D988" s="2" t="inlineStr">
        <is>
          <t>Up and Active Physiotherapy</t>
        </is>
      </c>
      <c r="E988" s="2" t="inlineStr">
        <is>
          <t>physiotherapist</t>
        </is>
      </c>
      <c r="F988" s="2" t="inlineStr">
        <is>
          <t>Toowoomba</t>
        </is>
      </c>
      <c r="G988" s="2" t="inlineStr">
        <is>
          <t>Instagram</t>
        </is>
      </c>
      <c r="H988" s="4" t="inlineStr">
        <is>
          <t>https://www.instagram.com/upandactivephysiotherapy_</t>
        </is>
      </c>
      <c r="I988" s="4" t="inlineStr">
        <is>
          <t>https://www.facebook.com/upandactivephysiotherapy</t>
        </is>
      </c>
      <c r="J988" s="2" t="inlineStr">
        <is>
          <t>+61 7 4588 8880</t>
        </is>
      </c>
      <c r="K988" s="4" t="inlineStr">
        <is>
          <t>https://upandactive.com.au</t>
        </is>
      </c>
      <c r="L988" s="2" t="inlineStr">
        <is>
          <t>looks outdated (copyright 2023)</t>
        </is>
      </c>
      <c r="M988" s="2" t="inlineStr">
        <is>
          <t>Hi Up and Active Physiotherapy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8" s="4" t="inlineStr">
        <is>
          <t>Open map</t>
        </is>
      </c>
      <c r="O988" s="2" t="inlineStr">
        <is>
          <t>Not contacted</t>
        </is>
      </c>
      <c r="P988" s="2" t="inlineStr"/>
      <c r="Q988" s="2" t="inlineStr"/>
      <c r="R988" s="2" t="inlineStr"/>
      <c r="S988" s="2" t="inlineStr"/>
    </row>
    <row r="989">
      <c r="A989" s="2" t="n">
        <v>988</v>
      </c>
      <c r="B989" s="6" t="inlineStr">
        <is>
          <t>MEDIUM</t>
        </is>
      </c>
      <c r="C989" s="2" t="inlineStr">
        <is>
          <t>Weak website</t>
        </is>
      </c>
      <c r="D989" s="2" t="inlineStr">
        <is>
          <t>Highfields Bookkeeping</t>
        </is>
      </c>
      <c r="E989" s="2" t="inlineStr">
        <is>
          <t>professional services</t>
        </is>
      </c>
      <c r="F989" s="2" t="inlineStr">
        <is>
          <t>Toowoomba</t>
        </is>
      </c>
      <c r="G989" s="2" t="inlineStr">
        <is>
          <t>Facebook</t>
        </is>
      </c>
      <c r="H989" s="2" t="inlineStr"/>
      <c r="I989" s="4" t="inlineStr">
        <is>
          <t>https://www.facebook.com/HighfieldsBookkeepingandBusinessSolutions</t>
        </is>
      </c>
      <c r="J989" s="2" t="inlineStr">
        <is>
          <t>+61 7 4600 9426</t>
        </is>
      </c>
      <c r="K989" s="4" t="inlineStr">
        <is>
          <t>https://highfieldsbookkeeping.com.au</t>
        </is>
      </c>
      <c r="L989" s="2" t="inlineStr">
        <is>
          <t>looks outdated (copyright 2022)</t>
        </is>
      </c>
      <c r="M989" s="2" t="inlineStr">
        <is>
          <t>Hi Highfields Bookkeeping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9" s="4" t="inlineStr">
        <is>
          <t>Open map</t>
        </is>
      </c>
      <c r="O989" s="2" t="inlineStr">
        <is>
          <t>Not contacted</t>
        </is>
      </c>
      <c r="P989" s="2" t="inlineStr"/>
      <c r="Q989" s="2" t="inlineStr"/>
      <c r="R989" s="2" t="inlineStr"/>
      <c r="S989" s="2" t="inlineStr"/>
    </row>
    <row r="990">
      <c r="A990" s="2" t="n">
        <v>989</v>
      </c>
      <c r="B990" s="6" t="inlineStr">
        <is>
          <t>MEDIUM</t>
        </is>
      </c>
      <c r="C990" s="2" t="inlineStr">
        <is>
          <t>Weak website</t>
        </is>
      </c>
      <c r="D990" s="2" t="inlineStr">
        <is>
          <t>THL Finance Partners</t>
        </is>
      </c>
      <c r="E990" s="2" t="inlineStr">
        <is>
          <t>professional services</t>
        </is>
      </c>
      <c r="F990" s="2" t="inlineStr">
        <is>
          <t>Toowoomba</t>
        </is>
      </c>
      <c r="G990" s="2" t="inlineStr">
        <is>
          <t>Instagram</t>
        </is>
      </c>
      <c r="H990" s="4" t="inlineStr">
        <is>
          <t>https://www.instagram.com/thlfinance</t>
        </is>
      </c>
      <c r="I990" s="4" t="inlineStr">
        <is>
          <t>https://www.facebook.com/THLFinancePartners</t>
        </is>
      </c>
      <c r="J990" s="2" t="inlineStr">
        <is>
          <t>+61 7 4688 3233</t>
        </is>
      </c>
      <c r="K990" s="4" t="inlineStr">
        <is>
          <t>https://thlfinancepartners.com.au/</t>
        </is>
      </c>
      <c r="L990" s="2" t="inlineStr">
        <is>
          <t>slow to load (5.8s)</t>
        </is>
      </c>
      <c r="M990" s="2" t="inlineStr">
        <is>
          <t>Hi THL Finance Partners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90" s="4" t="inlineStr">
        <is>
          <t>Open map</t>
        </is>
      </c>
      <c r="O990" s="2" t="inlineStr">
        <is>
          <t>Not contacted</t>
        </is>
      </c>
      <c r="P990" s="2" t="inlineStr"/>
      <c r="Q990" s="2" t="inlineStr"/>
      <c r="R990" s="2" t="inlineStr"/>
      <c r="S990" s="2" t="inlineStr"/>
    </row>
    <row r="991">
      <c r="A991" s="2" t="n">
        <v>990</v>
      </c>
      <c r="B991" s="6" t="inlineStr">
        <is>
          <t>MEDIUM</t>
        </is>
      </c>
      <c r="C991" s="2" t="inlineStr">
        <is>
          <t>Weak website</t>
        </is>
      </c>
      <c r="D991" s="2" t="inlineStr">
        <is>
          <t>Club Glenvale</t>
        </is>
      </c>
      <c r="E991" s="2" t="inlineStr">
        <is>
          <t>restaurant</t>
        </is>
      </c>
      <c r="F991" s="2" t="inlineStr">
        <is>
          <t>Toowoomba</t>
        </is>
      </c>
      <c r="G991" s="2" t="inlineStr">
        <is>
          <t>Facebook</t>
        </is>
      </c>
      <c r="H991" s="2" t="inlineStr"/>
      <c r="I991" s="4" t="inlineStr">
        <is>
          <t>https://www.facebook.com/Club-Glenvale-286068858072482</t>
        </is>
      </c>
      <c r="J991" s="2" t="inlineStr"/>
      <c r="K991" s="4" t="inlineStr">
        <is>
          <t>https://www.clubglenvale.com.au/</t>
        </is>
      </c>
      <c r="L991" s="2" t="inlineStr">
        <is>
          <t>looks outdated (copyright 2021); missing meta description</t>
        </is>
      </c>
      <c r="M991" s="2" t="inlineStr">
        <is>
          <t>Hi Club Glenvale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1" s="4" t="inlineStr">
        <is>
          <t>Open map</t>
        </is>
      </c>
      <c r="O991" s="2" t="inlineStr">
        <is>
          <t>Not contacted</t>
        </is>
      </c>
      <c r="P991" s="2" t="inlineStr"/>
      <c r="Q991" s="2" t="inlineStr"/>
      <c r="R991" s="2" t="inlineStr"/>
      <c r="S991" s="2" t="inlineStr"/>
    </row>
    <row r="992">
      <c r="A992" s="2" t="n">
        <v>991</v>
      </c>
      <c r="B992" s="6" t="inlineStr">
        <is>
          <t>MEDIUM</t>
        </is>
      </c>
      <c r="C992" s="2" t="inlineStr">
        <is>
          <t>Weak website</t>
        </is>
      </c>
      <c r="D992" s="2" t="inlineStr">
        <is>
          <t>City Oasis Inn</t>
        </is>
      </c>
      <c r="E992" s="2" t="inlineStr">
        <is>
          <t>accommodation</t>
        </is>
      </c>
      <c r="F992" s="2" t="inlineStr">
        <is>
          <t>Townsville</t>
        </is>
      </c>
      <c r="G992" s="2" t="inlineStr">
        <is>
          <t>Facebook</t>
        </is>
      </c>
      <c r="H992" s="2" t="inlineStr"/>
      <c r="I992" s="4" t="inlineStr">
        <is>
          <t>https://www.facebook.com/CityOasisInn</t>
        </is>
      </c>
      <c r="J992" s="2" t="inlineStr"/>
      <c r="K992" s="4" t="inlineStr">
        <is>
          <t>https://cityoasis.com.au</t>
        </is>
      </c>
      <c r="L992" s="2" t="inlineStr">
        <is>
          <t>looks outdated (copyright 2015)</t>
        </is>
      </c>
      <c r="M992" s="2" t="inlineStr">
        <is>
          <t>Hi City Oasis Inn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2" s="4" t="inlineStr">
        <is>
          <t>Open map</t>
        </is>
      </c>
      <c r="O992" s="2" t="inlineStr">
        <is>
          <t>Not contacted</t>
        </is>
      </c>
      <c r="P992" s="2" t="inlineStr"/>
      <c r="Q992" s="2" t="inlineStr"/>
      <c r="R992" s="2" t="inlineStr"/>
      <c r="S992" s="2" t="inlineStr"/>
    </row>
    <row r="993">
      <c r="A993" s="2" t="n">
        <v>992</v>
      </c>
      <c r="B993" s="6" t="inlineStr">
        <is>
          <t>MEDIUM</t>
        </is>
      </c>
      <c r="C993" s="2" t="inlineStr">
        <is>
          <t>Weak website</t>
        </is>
      </c>
      <c r="D993" s="2" t="inlineStr">
        <is>
          <t>Heritage Exchange Hotel</t>
        </is>
      </c>
      <c r="E993" s="2" t="inlineStr">
        <is>
          <t>bar or pub</t>
        </is>
      </c>
      <c r="F993" s="2" t="inlineStr">
        <is>
          <t>Townsville</t>
        </is>
      </c>
      <c r="G993" s="2" t="inlineStr">
        <is>
          <t>Instagram</t>
        </is>
      </c>
      <c r="H993" s="4" t="inlineStr">
        <is>
          <t>https://www.instagram.com/theheritagetownsville</t>
        </is>
      </c>
      <c r="I993" s="4" t="inlineStr">
        <is>
          <t>https://www.facebook.com/TheHeritageTownsville/photos_albums</t>
        </is>
      </c>
      <c r="J993" s="2" t="inlineStr">
        <is>
          <t>+61 7 4724 1374</t>
        </is>
      </c>
      <c r="K993" s="4" t="inlineStr">
        <is>
          <t>https://www.theheritagetownsville.com/</t>
        </is>
      </c>
      <c r="L993" s="2" t="inlineStr">
        <is>
          <t>looks outdated (copyright 2022); slow to load (3.7s)</t>
        </is>
      </c>
      <c r="M993" s="2" t="inlineStr">
        <is>
          <t>Hi Heritage Exchange Hotel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93" s="4" t="inlineStr">
        <is>
          <t>Open map</t>
        </is>
      </c>
      <c r="O993" s="2" t="inlineStr">
        <is>
          <t>Not contacted</t>
        </is>
      </c>
      <c r="P993" s="2" t="inlineStr"/>
      <c r="Q993" s="2" t="inlineStr"/>
      <c r="R993" s="2" t="inlineStr"/>
      <c r="S993" s="2" t="inlineStr"/>
    </row>
    <row r="994">
      <c r="A994" s="2" t="n">
        <v>993</v>
      </c>
      <c r="B994" s="6" t="inlineStr">
        <is>
          <t>MEDIUM</t>
        </is>
      </c>
      <c r="C994" s="2" t="inlineStr">
        <is>
          <t>Weak website</t>
        </is>
      </c>
      <c r="D994" s="2" t="inlineStr">
        <is>
          <t>Oonoonba Hotel Motel</t>
        </is>
      </c>
      <c r="E994" s="2" t="inlineStr">
        <is>
          <t>bar or pub</t>
        </is>
      </c>
      <c r="F994" s="2" t="inlineStr">
        <is>
          <t>Townsville</t>
        </is>
      </c>
      <c r="G994" s="2" t="inlineStr">
        <is>
          <t>Facebook</t>
        </is>
      </c>
      <c r="H994" s="2" t="inlineStr"/>
      <c r="I994" s="4" t="inlineStr">
        <is>
          <t>https://www.facebook.com/www.facebook.com/oonoonbahotelmotel</t>
        </is>
      </c>
      <c r="J994" s="2" t="inlineStr">
        <is>
          <t>+61 7 4778 3573</t>
        </is>
      </c>
      <c r="K994" s="4" t="inlineStr">
        <is>
          <t>http://www.oonoonbahotelmotel.com.au/</t>
        </is>
      </c>
      <c r="L994" s="2" t="inlineStr">
        <is>
          <t>website address not working (check the business is still open)</t>
        </is>
      </c>
      <c r="M994" s="2" t="inlineStr">
        <is>
          <t>Hi Oonoonba Hotel Motel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4" s="4" t="inlineStr">
        <is>
          <t>Open map</t>
        </is>
      </c>
      <c r="O994" s="2" t="inlineStr">
        <is>
          <t>Not contacted</t>
        </is>
      </c>
      <c r="P994" s="2" t="inlineStr"/>
      <c r="Q994" s="2" t="inlineStr"/>
      <c r="R994" s="2" t="inlineStr"/>
      <c r="S994" s="2" t="inlineStr"/>
    </row>
    <row r="995">
      <c r="A995" s="2" t="n">
        <v>994</v>
      </c>
      <c r="B995" s="6" t="inlineStr">
        <is>
          <t>MEDIUM</t>
        </is>
      </c>
      <c r="C995" s="2" t="inlineStr">
        <is>
          <t>Weak website</t>
        </is>
      </c>
      <c r="D995" s="2" t="inlineStr">
        <is>
          <t>Coffee Works</t>
        </is>
      </c>
      <c r="E995" s="2" t="inlineStr">
        <is>
          <t>cafe</t>
        </is>
      </c>
      <c r="F995" s="2" t="inlineStr">
        <is>
          <t>Townsville</t>
        </is>
      </c>
      <c r="G995" s="2" t="inlineStr">
        <is>
          <t>Instagram</t>
        </is>
      </c>
      <c r="H995" s="4" t="inlineStr">
        <is>
          <t>https://www.instagram.com/coffeeworkstownsville</t>
        </is>
      </c>
      <c r="I995" s="4" t="inlineStr">
        <is>
          <t>https://www.facebook.com/coffeeworkstownsville</t>
        </is>
      </c>
      <c r="J995" s="2" t="inlineStr">
        <is>
          <t>+61 499 026 621</t>
        </is>
      </c>
      <c r="K995" s="4" t="inlineStr">
        <is>
          <t>https://coffeeworks.com.au/</t>
        </is>
      </c>
      <c r="L995" s="2" t="inlineStr">
        <is>
          <t>looks outdated (copyright 2020); missing meta description</t>
        </is>
      </c>
      <c r="M995" s="2" t="inlineStr">
        <is>
          <t>Hi Coffee Works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5" s="4" t="inlineStr">
        <is>
          <t>Open map</t>
        </is>
      </c>
      <c r="O995" s="2" t="inlineStr">
        <is>
          <t>Not contacted</t>
        </is>
      </c>
      <c r="P995" s="2" t="inlineStr"/>
      <c r="Q995" s="2" t="inlineStr"/>
      <c r="R995" s="2" t="inlineStr"/>
      <c r="S995" s="2" t="inlineStr"/>
    </row>
    <row r="996">
      <c r="A996" s="2" t="n">
        <v>995</v>
      </c>
      <c r="B996" s="6" t="inlineStr">
        <is>
          <t>MEDIUM</t>
        </is>
      </c>
      <c r="C996" s="2" t="inlineStr">
        <is>
          <t>Weak website</t>
        </is>
      </c>
      <c r="D996" s="2" t="inlineStr">
        <is>
          <t>Juliette's</t>
        </is>
      </c>
      <c r="E996" s="2" t="inlineStr">
        <is>
          <t>cafe</t>
        </is>
      </c>
      <c r="F996" s="2" t="inlineStr">
        <is>
          <t>Townsville</t>
        </is>
      </c>
      <c r="G996" s="2" t="inlineStr">
        <is>
          <t>Instagram</t>
        </is>
      </c>
      <c r="H996" s="4" t="inlineStr">
        <is>
          <t>https://www.instagram.com/juliettesforloversof</t>
        </is>
      </c>
      <c r="I996" s="4" t="inlineStr">
        <is>
          <t>https://www.facebook.com/Juliettes.for.lovers.of</t>
        </is>
      </c>
      <c r="J996" s="2" t="inlineStr">
        <is>
          <t>+61 7 4721 5577</t>
        </is>
      </c>
      <c r="K996" s="4" t="inlineStr">
        <is>
          <t>https://www.juliettes.com.au/</t>
        </is>
      </c>
      <c r="L996" s="2" t="inlineStr">
        <is>
          <t>could not check (site refused automated visit, HTTP 403)</t>
        </is>
      </c>
      <c r="M996" s="2" t="inlineStr">
        <is>
          <t>Hi Juliette's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6" s="4" t="inlineStr">
        <is>
          <t>Open map</t>
        </is>
      </c>
      <c r="O996" s="2" t="inlineStr">
        <is>
          <t>Not contacted</t>
        </is>
      </c>
      <c r="P996" s="2" t="inlineStr"/>
      <c r="Q996" s="2" t="inlineStr"/>
      <c r="R996" s="2" t="inlineStr"/>
      <c r="S996" s="2" t="inlineStr"/>
    </row>
    <row r="997">
      <c r="A997" s="2" t="n">
        <v>996</v>
      </c>
      <c r="B997" s="6" t="inlineStr">
        <is>
          <t>MEDIUM</t>
        </is>
      </c>
      <c r="C997" s="2" t="inlineStr">
        <is>
          <t>Weak website</t>
        </is>
      </c>
      <c r="D997" s="2" t="inlineStr">
        <is>
          <t>The Coffee Emporium</t>
        </is>
      </c>
      <c r="E997" s="2" t="inlineStr">
        <is>
          <t>cafe</t>
        </is>
      </c>
      <c r="F997" s="2" t="inlineStr">
        <is>
          <t>Townsville</t>
        </is>
      </c>
      <c r="G997" s="2" t="inlineStr">
        <is>
          <t>Instagram</t>
        </is>
      </c>
      <c r="H997" s="4" t="inlineStr">
        <is>
          <t>https://www.instagram.com/thecoffeeemporiumaustralia</t>
        </is>
      </c>
      <c r="I997" s="4" t="inlineStr">
        <is>
          <t>https://www.facebook.com/TheCoffeeEmporiumAustralia</t>
        </is>
      </c>
      <c r="J997" s="2" t="inlineStr"/>
      <c r="K997" s="4" t="inlineStr">
        <is>
          <t>https://thecoffeeemporium.com.au/</t>
        </is>
      </c>
      <c r="L997" s="2" t="inlineStr">
        <is>
          <t>missing meta description; slow to load (5.8s)</t>
        </is>
      </c>
      <c r="M997" s="2" t="inlineStr">
        <is>
          <t>Hi The Coffee Emporium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97" s="4" t="inlineStr">
        <is>
          <t>Open map</t>
        </is>
      </c>
      <c r="O997" s="2" t="inlineStr">
        <is>
          <t>Not contacted</t>
        </is>
      </c>
      <c r="P997" s="2" t="inlineStr"/>
      <c r="Q997" s="2" t="inlineStr"/>
      <c r="R997" s="2" t="inlineStr"/>
      <c r="S997" s="2" t="inlineStr"/>
    </row>
    <row r="998">
      <c r="A998" s="2" t="n">
        <v>997</v>
      </c>
      <c r="B998" s="6" t="inlineStr">
        <is>
          <t>MEDIUM</t>
        </is>
      </c>
      <c r="C998" s="2" t="inlineStr">
        <is>
          <t>Weak website</t>
        </is>
      </c>
      <c r="D998" s="2" t="inlineStr">
        <is>
          <t>Tide</t>
        </is>
      </c>
      <c r="E998" s="2" t="inlineStr">
        <is>
          <t>cafe</t>
        </is>
      </c>
      <c r="F998" s="2" t="inlineStr">
        <is>
          <t>Townsville</t>
        </is>
      </c>
      <c r="G998" s="2" t="inlineStr">
        <is>
          <t>Instagram</t>
        </is>
      </c>
      <c r="H998" s="4" t="inlineStr">
        <is>
          <t>https://www.instagram.com/rostrata.tropical.scene</t>
        </is>
      </c>
      <c r="I998" s="4" t="inlineStr">
        <is>
          <t>https://www.facebook.com/rostrata.tropical.scene</t>
        </is>
      </c>
      <c r="J998" s="2" t="inlineStr">
        <is>
          <t>+61 7 4331 0432</t>
        </is>
      </c>
      <c r="K998" s="4" t="inlineStr">
        <is>
          <t>https://tidecafe.com.au/</t>
        </is>
      </c>
      <c r="L998" s="2" t="inlineStr">
        <is>
          <t>missing meta description</t>
        </is>
      </c>
      <c r="M998" s="2" t="inlineStr">
        <is>
          <t>Hi Tide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8" s="4" t="inlineStr">
        <is>
          <t>Open map</t>
        </is>
      </c>
      <c r="O998" s="2" t="inlineStr">
        <is>
          <t>Not contacted</t>
        </is>
      </c>
      <c r="P998" s="2" t="inlineStr"/>
      <c r="Q998" s="2" t="inlineStr"/>
      <c r="R998" s="2" t="inlineStr"/>
      <c r="S998" s="2" t="inlineStr"/>
    </row>
    <row r="999">
      <c r="A999" s="2" t="n">
        <v>998</v>
      </c>
      <c r="B999" s="6" t="inlineStr">
        <is>
          <t>MEDIUM</t>
        </is>
      </c>
      <c r="C999" s="2" t="inlineStr">
        <is>
          <t>Weak website</t>
        </is>
      </c>
      <c r="D999" s="2" t="inlineStr">
        <is>
          <t>Eden Academy Harris Crossing</t>
        </is>
      </c>
      <c r="E999" s="2" t="inlineStr">
        <is>
          <t>childcare</t>
        </is>
      </c>
      <c r="F999" s="2" t="inlineStr">
        <is>
          <t>Townsville</t>
        </is>
      </c>
      <c r="G999" s="2" t="inlineStr">
        <is>
          <t>Instagram</t>
        </is>
      </c>
      <c r="H999" s="4" t="inlineStr">
        <is>
          <t>https://www.instagram.com/edenacademychildcare</t>
        </is>
      </c>
      <c r="I999" s="4" t="inlineStr">
        <is>
          <t>https://www.facebook.com/edenacademyaustralia</t>
        </is>
      </c>
      <c r="J999" s="2" t="inlineStr">
        <is>
          <t>+61 7 4453 0081</t>
        </is>
      </c>
      <c r="K999" s="4" t="inlineStr">
        <is>
          <t>https://edenacademy.com.au/locations/harris-crossing/</t>
        </is>
      </c>
      <c r="L999" s="2" t="inlineStr">
        <is>
          <t>slow to load (3.1s)</t>
        </is>
      </c>
      <c r="M999" s="2" t="inlineStr">
        <is>
          <t>Hi Eden Academy Harris Crossing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99" s="4" t="inlineStr">
        <is>
          <t>Open map</t>
        </is>
      </c>
      <c r="O999" s="2" t="inlineStr">
        <is>
          <t>Not contacted</t>
        </is>
      </c>
      <c r="P999" s="2" t="inlineStr"/>
      <c r="Q999" s="2" t="inlineStr"/>
      <c r="R999" s="2" t="inlineStr"/>
      <c r="S999" s="2" t="inlineStr"/>
    </row>
    <row r="1000">
      <c r="A1000" s="2" t="n">
        <v>999</v>
      </c>
      <c r="B1000" s="6" t="inlineStr">
        <is>
          <t>MEDIUM</t>
        </is>
      </c>
      <c r="C1000" s="2" t="inlineStr">
        <is>
          <t>Weak website</t>
        </is>
      </c>
      <c r="D1000" s="2" t="inlineStr">
        <is>
          <t>Voltec Services</t>
        </is>
      </c>
      <c r="E1000" s="2" t="inlineStr">
        <is>
          <t>electrician</t>
        </is>
      </c>
      <c r="F1000" s="2" t="inlineStr">
        <is>
          <t>Townsville</t>
        </is>
      </c>
      <c r="G1000" s="2" t="inlineStr">
        <is>
          <t>Instagram</t>
        </is>
      </c>
      <c r="H1000" s="4" t="inlineStr">
        <is>
          <t>https://www.instagram.com/voltecservices</t>
        </is>
      </c>
      <c r="I1000" s="4" t="inlineStr">
        <is>
          <t>https://www.facebook.com/voltecservices</t>
        </is>
      </c>
      <c r="J1000" s="2" t="inlineStr"/>
      <c r="K1000" s="4" t="inlineStr">
        <is>
          <t>https://www.voltecservices.com.au</t>
        </is>
      </c>
      <c r="L1000" s="2" t="inlineStr">
        <is>
          <t>looks outdated (copyright 2015)</t>
        </is>
      </c>
      <c r="M1000" s="2" t="inlineStr">
        <is>
          <t>Hi Voltec Services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0" s="4" t="inlineStr">
        <is>
          <t>Open map</t>
        </is>
      </c>
      <c r="O1000" s="2" t="inlineStr">
        <is>
          <t>Not contacted</t>
        </is>
      </c>
      <c r="P1000" s="2" t="inlineStr"/>
      <c r="Q1000" s="2" t="inlineStr"/>
      <c r="R1000" s="2" t="inlineStr"/>
      <c r="S1000" s="2" t="inlineStr"/>
    </row>
    <row r="1001">
      <c r="A1001" s="2" t="n">
        <v>1000</v>
      </c>
      <c r="B1001" s="6" t="inlineStr">
        <is>
          <t>MEDIUM</t>
        </is>
      </c>
      <c r="C1001" s="2" t="inlineStr">
        <is>
          <t>Weak website</t>
        </is>
      </c>
      <c r="D1001" s="2" t="inlineStr">
        <is>
          <t>Strand CrossFit</t>
        </is>
      </c>
      <c r="E1001" s="2" t="inlineStr">
        <is>
          <t>gym or studio</t>
        </is>
      </c>
      <c r="F1001" s="2" t="inlineStr">
        <is>
          <t>Townsville</t>
        </is>
      </c>
      <c r="G1001" s="2" t="inlineStr">
        <is>
          <t>Facebook</t>
        </is>
      </c>
      <c r="H1001" s="2" t="inlineStr"/>
      <c r="I1001" s="4" t="inlineStr">
        <is>
          <t>https://www.facebook.com/StrandCrossFit/</t>
        </is>
      </c>
      <c r="J1001" s="2" t="inlineStr">
        <is>
          <t>+61 7 4724 2134</t>
        </is>
      </c>
      <c r="K1001" s="4" t="inlineStr">
        <is>
          <t>https://strandcrossfit.com.au/</t>
        </is>
      </c>
      <c r="L1001" s="2" t="inlineStr">
        <is>
          <t>website address not working (check the business is still open)</t>
        </is>
      </c>
      <c r="M1001" s="2" t="inlineStr">
        <is>
          <t>Hi Strand CrossFit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1" s="4" t="inlineStr">
        <is>
          <t>Open map</t>
        </is>
      </c>
      <c r="O1001" s="2" t="inlineStr">
        <is>
          <t>Not contacted</t>
        </is>
      </c>
      <c r="P1001" s="2" t="inlineStr"/>
      <c r="Q1001" s="2" t="inlineStr"/>
      <c r="R1001" s="2" t="inlineStr"/>
      <c r="S1001" s="2" t="inlineStr"/>
    </row>
    <row r="1002">
      <c r="A1002" s="2" t="n">
        <v>1001</v>
      </c>
      <c r="B1002" s="6" t="inlineStr">
        <is>
          <t>MEDIUM</t>
        </is>
      </c>
      <c r="C1002" s="2" t="inlineStr">
        <is>
          <t>Weak website</t>
        </is>
      </c>
      <c r="D1002" s="2" t="inlineStr">
        <is>
          <t>Strand Fitness North Shore</t>
        </is>
      </c>
      <c r="E1002" s="2" t="inlineStr">
        <is>
          <t>gym or studio</t>
        </is>
      </c>
      <c r="F1002" s="2" t="inlineStr">
        <is>
          <t>Townsville</t>
        </is>
      </c>
      <c r="G1002" s="2" t="inlineStr">
        <is>
          <t>Instagram</t>
        </is>
      </c>
      <c r="H1002" s="4" t="inlineStr">
        <is>
          <t>https://www.instagram.com/strandfitnesstsv</t>
        </is>
      </c>
      <c r="I1002" s="4" t="inlineStr">
        <is>
          <t>https://www.facebook.com/StrandFitnessTSV</t>
        </is>
      </c>
      <c r="J1002" s="2" t="inlineStr">
        <is>
          <t>+61 7 4721 1600</t>
        </is>
      </c>
      <c r="K1002" s="4" t="inlineStr">
        <is>
          <t>https://www.strandfitness.com.au/</t>
        </is>
      </c>
      <c r="L1002" s="2" t="inlineStr">
        <is>
          <t>slow to load (3.6s)</t>
        </is>
      </c>
      <c r="M1002" s="2" t="inlineStr">
        <is>
          <t>Hi Strand Fitness North Shore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02" s="4" t="inlineStr">
        <is>
          <t>Open map</t>
        </is>
      </c>
      <c r="O1002" s="2" t="inlineStr">
        <is>
          <t>Not contacted</t>
        </is>
      </c>
      <c r="P1002" s="2" t="inlineStr"/>
      <c r="Q1002" s="2" t="inlineStr"/>
      <c r="R1002" s="2" t="inlineStr"/>
      <c r="S1002" s="2" t="inlineStr"/>
    </row>
    <row r="1003">
      <c r="A1003" s="2" t="n">
        <v>1002</v>
      </c>
      <c r="B1003" s="6" t="inlineStr">
        <is>
          <t>MEDIUM</t>
        </is>
      </c>
      <c r="C1003" s="2" t="inlineStr">
        <is>
          <t>Weak website</t>
        </is>
      </c>
      <c r="D1003" s="2" t="inlineStr">
        <is>
          <t>Virginia Henry</t>
        </is>
      </c>
      <c r="E1003" s="2" t="inlineStr">
        <is>
          <t>optometrist</t>
        </is>
      </c>
      <c r="F1003" s="2" t="inlineStr">
        <is>
          <t>Townsville</t>
        </is>
      </c>
      <c r="G1003" s="2" t="inlineStr">
        <is>
          <t>Facebook</t>
        </is>
      </c>
      <c r="H1003" s="2" t="inlineStr"/>
      <c r="I1003" s="4" t="inlineStr">
        <is>
          <t>https://www.facebook.com/virginiahenryoptical</t>
        </is>
      </c>
      <c r="J1003" s="2" t="inlineStr"/>
      <c r="K1003" s="4" t="inlineStr">
        <is>
          <t>http://virginiahenryoptical.com.au/</t>
        </is>
      </c>
      <c r="L1003" s="2" t="inlineStr">
        <is>
          <t>no HTTPS (browser shows 'Not secure'); missing meta description</t>
        </is>
      </c>
      <c r="M1003" s="2" t="inlineStr">
        <is>
          <t>Hi Virginia Henry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3" s="4" t="inlineStr">
        <is>
          <t>Open map</t>
        </is>
      </c>
      <c r="O1003" s="2" t="inlineStr">
        <is>
          <t>Not contacted</t>
        </is>
      </c>
      <c r="P1003" s="2" t="inlineStr"/>
      <c r="Q1003" s="2" t="inlineStr"/>
      <c r="R1003" s="2" t="inlineStr"/>
      <c r="S1003" s="2" t="inlineStr"/>
    </row>
    <row r="1004">
      <c r="A1004" s="2" t="n">
        <v>1003</v>
      </c>
      <c r="B1004" s="6" t="inlineStr">
        <is>
          <t>MEDIUM</t>
        </is>
      </c>
      <c r="C1004" s="2" t="inlineStr">
        <is>
          <t>Weak website</t>
        </is>
      </c>
      <c r="D1004" s="2" t="inlineStr">
        <is>
          <t>C Bar</t>
        </is>
      </c>
      <c r="E1004" s="2" t="inlineStr">
        <is>
          <t>restaurant</t>
        </is>
      </c>
      <c r="F1004" s="2" t="inlineStr">
        <is>
          <t>Townsville</t>
        </is>
      </c>
      <c r="G1004" s="2" t="inlineStr">
        <is>
          <t>Instagram</t>
        </is>
      </c>
      <c r="H1004" s="4" t="inlineStr">
        <is>
          <t>https://www.instagram.com/cbarthestrand</t>
        </is>
      </c>
      <c r="I1004" s="4" t="inlineStr">
        <is>
          <t>https://www.facebook.com/C-Bar-the-Strand-216364209726860</t>
        </is>
      </c>
      <c r="J1004" s="2" t="inlineStr"/>
      <c r="K1004" s="4" t="inlineStr">
        <is>
          <t>https://cbar.com.au/</t>
        </is>
      </c>
      <c r="L1004" s="2" t="inlineStr">
        <is>
          <t>missing meta description</t>
        </is>
      </c>
      <c r="M1004" s="2" t="inlineStr">
        <is>
          <t>Hi C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4" s="4" t="inlineStr">
        <is>
          <t>Open map</t>
        </is>
      </c>
      <c r="O1004" s="2" t="inlineStr">
        <is>
          <t>Not contacted</t>
        </is>
      </c>
      <c r="P1004" s="2" t="inlineStr"/>
      <c r="Q1004" s="2" t="inlineStr"/>
      <c r="R1004" s="2" t="inlineStr"/>
      <c r="S1004" s="2" t="inlineStr"/>
    </row>
    <row r="1005">
      <c r="A1005" s="2" t="n">
        <v>1004</v>
      </c>
      <c r="B1005" s="6" t="inlineStr">
        <is>
          <t>MEDIUM</t>
        </is>
      </c>
      <c r="C1005" s="2" t="inlineStr">
        <is>
          <t>Weak website</t>
        </is>
      </c>
      <c r="D1005" s="2" t="inlineStr">
        <is>
          <t>GYO</t>
        </is>
      </c>
      <c r="E1005" s="2" t="inlineStr">
        <is>
          <t>restaurant</t>
        </is>
      </c>
      <c r="F1005" s="2" t="inlineStr">
        <is>
          <t>Townsville</t>
        </is>
      </c>
      <c r="G1005" s="2" t="inlineStr">
        <is>
          <t>Facebook</t>
        </is>
      </c>
      <c r="H1005" s="2" t="inlineStr"/>
      <c r="I1005" s="4" t="inlineStr">
        <is>
          <t>https://www.facebook.com/gyojapanesetapasbarrestaurant</t>
        </is>
      </c>
      <c r="J1005" s="2" t="inlineStr">
        <is>
          <t>+61 7 4771 5151</t>
        </is>
      </c>
      <c r="K1005" s="4" t="inlineStr">
        <is>
          <t>https://gyojapaneserestaurant.com.au/</t>
        </is>
      </c>
      <c r="L1005" s="2" t="inlineStr">
        <is>
          <t>website address not working (check the business is still open)</t>
        </is>
      </c>
      <c r="M1005" s="2" t="inlineStr">
        <is>
          <t>Hi GYO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5" s="4" t="inlineStr">
        <is>
          <t>Open map</t>
        </is>
      </c>
      <c r="O1005" s="2" t="inlineStr">
        <is>
          <t>Not contacted</t>
        </is>
      </c>
      <c r="P1005" s="2" t="inlineStr"/>
      <c r="Q1005" s="2" t="inlineStr"/>
      <c r="R1005" s="2" t="inlineStr"/>
      <c r="S1005" s="2" t="inlineStr"/>
    </row>
    <row r="1006">
      <c r="A1006" s="2" t="n">
        <v>1005</v>
      </c>
      <c r="B1006" s="6" t="inlineStr">
        <is>
          <t>MEDIUM</t>
        </is>
      </c>
      <c r="C1006" s="2" t="inlineStr">
        <is>
          <t>Weak website</t>
        </is>
      </c>
      <c r="D1006" s="2" t="inlineStr">
        <is>
          <t>Longboard Bar &amp; Grill</t>
        </is>
      </c>
      <c r="E1006" s="2" t="inlineStr">
        <is>
          <t>restaurant</t>
        </is>
      </c>
      <c r="F1006" s="2" t="inlineStr">
        <is>
          <t>Townsville</t>
        </is>
      </c>
      <c r="G1006" s="2" t="inlineStr">
        <is>
          <t>Instagram</t>
        </is>
      </c>
      <c r="H1006" s="4" t="inlineStr">
        <is>
          <t>https://www.instagram.com/longboard.bar</t>
        </is>
      </c>
      <c r="I1006" s="4" t="inlineStr">
        <is>
          <t>https://www.facebook.com/longboard.bar1</t>
        </is>
      </c>
      <c r="J1006" s="2" t="inlineStr"/>
      <c r="K1006" s="4" t="inlineStr">
        <is>
          <t>https://longboardbarandgrill.com/</t>
        </is>
      </c>
      <c r="L1006" s="2" t="inlineStr">
        <is>
          <t>slow to load (4.3s)</t>
        </is>
      </c>
      <c r="M1006" s="2" t="inlineStr">
        <is>
          <t>Hi Longboard Bar &amp; Grill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06" s="4" t="inlineStr">
        <is>
          <t>Open map</t>
        </is>
      </c>
      <c r="O1006" s="2" t="inlineStr">
        <is>
          <t>Not contacted</t>
        </is>
      </c>
      <c r="P1006" s="2" t="inlineStr"/>
      <c r="Q1006" s="2" t="inlineStr"/>
      <c r="R1006" s="2" t="inlineStr"/>
      <c r="S1006" s="2" t="inlineStr"/>
    </row>
    <row r="1007">
      <c r="A1007" s="2" t="n">
        <v>1006</v>
      </c>
      <c r="B1007" s="6" t="inlineStr">
        <is>
          <t>MEDIUM</t>
        </is>
      </c>
      <c r="C1007" s="2" t="inlineStr">
        <is>
          <t>Weak website</t>
        </is>
      </c>
      <c r="D1007" s="2" t="inlineStr">
        <is>
          <t>Strand Souvlaki Bar</t>
        </is>
      </c>
      <c r="E1007" s="2" t="inlineStr">
        <is>
          <t>restaurant</t>
        </is>
      </c>
      <c r="F1007" s="2" t="inlineStr">
        <is>
          <t>Townsville</t>
        </is>
      </c>
      <c r="G1007" s="2" t="inlineStr">
        <is>
          <t>Instagram</t>
        </is>
      </c>
      <c r="H1007" s="4" t="inlineStr">
        <is>
          <t>https://www.instagram.com/strandsouvlakibar</t>
        </is>
      </c>
      <c r="I1007" s="4" t="inlineStr">
        <is>
          <t>https://www.facebook.com/strand</t>
        </is>
      </c>
      <c r="J1007" s="2" t="inlineStr">
        <is>
          <t>+61 7 4721 1166</t>
        </is>
      </c>
      <c r="K1007" s="4" t="inlineStr">
        <is>
          <t>https://strandsouvlakibar.com.au/</t>
        </is>
      </c>
      <c r="L1007" s="2" t="inlineStr">
        <is>
          <t>looks outdated (copyright 2018)</t>
        </is>
      </c>
      <c r="M1007" s="2" t="inlineStr">
        <is>
          <t>Hi Strand Souvlaki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7" s="4" t="inlineStr">
        <is>
          <t>Open map</t>
        </is>
      </c>
      <c r="O1007" s="2" t="inlineStr">
        <is>
          <t>Not contacted</t>
        </is>
      </c>
      <c r="P1007" s="2" t="inlineStr"/>
      <c r="Q1007" s="2" t="inlineStr"/>
      <c r="R1007" s="2" t="inlineStr"/>
      <c r="S1007" s="2" t="inlineStr"/>
    </row>
    <row r="1008">
      <c r="A1008" s="2" t="n">
        <v>1007</v>
      </c>
      <c r="B1008" s="6" t="inlineStr">
        <is>
          <t>MEDIUM</t>
        </is>
      </c>
      <c r="C1008" s="2" t="inlineStr">
        <is>
          <t>Weak website</t>
        </is>
      </c>
      <c r="D1008" s="2" t="inlineStr">
        <is>
          <t>The Great Jewel Of India</t>
        </is>
      </c>
      <c r="E1008" s="2" t="inlineStr">
        <is>
          <t>restaurant</t>
        </is>
      </c>
      <c r="F1008" s="2" t="inlineStr">
        <is>
          <t>Townsville</t>
        </is>
      </c>
      <c r="G1008" s="2" t="inlineStr">
        <is>
          <t>Facebook</t>
        </is>
      </c>
      <c r="H1008" s="2" t="inlineStr"/>
      <c r="I1008" s="4" t="inlineStr">
        <is>
          <t>https://www.facebook.com/TheGreatJewelOfIndia</t>
        </is>
      </c>
      <c r="J1008" s="2" t="inlineStr">
        <is>
          <t>+61 7 4771 3144</t>
        </is>
      </c>
      <c r="K1008" s="4" t="inlineStr">
        <is>
          <t>http://www.thegreatjewelofindia.com/</t>
        </is>
      </c>
      <c r="L1008" s="2" t="inlineStr">
        <is>
          <t>no HTTPS (browser shows 'Not secure'); missing page title; missing meta description</t>
        </is>
      </c>
      <c r="M1008" s="2" t="inlineStr">
        <is>
          <t>Hi The Great Jewel Of India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8" s="4" t="inlineStr">
        <is>
          <t>Open map</t>
        </is>
      </c>
      <c r="O1008" s="2" t="inlineStr">
        <is>
          <t>Not contacted</t>
        </is>
      </c>
      <c r="P1008" s="2" t="inlineStr"/>
      <c r="Q1008" s="2" t="inlineStr"/>
      <c r="R1008" s="2" t="inlineStr"/>
      <c r="S1008" s="2" t="inlineStr"/>
    </row>
    <row r="1009">
      <c r="A1009" s="2" t="n">
        <v>1008</v>
      </c>
      <c r="B1009" s="6" t="inlineStr">
        <is>
          <t>MEDIUM</t>
        </is>
      </c>
      <c r="C1009" s="2" t="inlineStr">
        <is>
          <t>Weak website</t>
        </is>
      </c>
      <c r="D1009" s="2" t="inlineStr">
        <is>
          <t>The Noodle Bar</t>
        </is>
      </c>
      <c r="E1009" s="2" t="inlineStr">
        <is>
          <t>restaurant</t>
        </is>
      </c>
      <c r="F1009" s="2" t="inlineStr">
        <is>
          <t>Townsville</t>
        </is>
      </c>
      <c r="G1009" s="2" t="inlineStr">
        <is>
          <t>Facebook</t>
        </is>
      </c>
      <c r="H1009" s="2" t="inlineStr"/>
      <c r="I1009" s="4" t="inlineStr">
        <is>
          <t>https://www.facebook.com/strandtownsville</t>
        </is>
      </c>
      <c r="J1009" s="2" t="inlineStr"/>
      <c r="K1009" s="4" t="inlineStr">
        <is>
          <t>https://thenoodlebar.com.au/</t>
        </is>
      </c>
      <c r="L1009" s="2" t="inlineStr">
        <is>
          <t>website address not working (check the business is still open)</t>
        </is>
      </c>
      <c r="M1009" s="2" t="inlineStr">
        <is>
          <t>Hi The Noodle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9" s="4" t="inlineStr">
        <is>
          <t>Open map</t>
        </is>
      </c>
      <c r="O1009" s="2" t="inlineStr">
        <is>
          <t>Not contacted</t>
        </is>
      </c>
      <c r="P1009" s="2" t="inlineStr"/>
      <c r="Q1009" s="2" t="inlineStr"/>
      <c r="R1009" s="2" t="inlineStr"/>
      <c r="S1009" s="2" t="inlineStr"/>
    </row>
    <row r="1010">
      <c r="A1010" s="2" t="n">
        <v>1009</v>
      </c>
      <c r="B1010" s="6" t="inlineStr">
        <is>
          <t>MEDIUM</t>
        </is>
      </c>
      <c r="C1010" s="2" t="inlineStr">
        <is>
          <t>Weak website</t>
        </is>
      </c>
      <c r="D1010" s="2" t="inlineStr">
        <is>
          <t>The Watermark</t>
        </is>
      </c>
      <c r="E1010" s="2" t="inlineStr">
        <is>
          <t>restaurant</t>
        </is>
      </c>
      <c r="F1010" s="2" t="inlineStr">
        <is>
          <t>Townsville</t>
        </is>
      </c>
      <c r="G1010" s="2" t="inlineStr">
        <is>
          <t>Instagram</t>
        </is>
      </c>
      <c r="H1010" s="4" t="inlineStr">
        <is>
          <t>https://www.instagram.com/watermarktownsville</t>
        </is>
      </c>
      <c r="I1010" s="4" t="inlineStr">
        <is>
          <t>https://www.facebook.com/watermark.townsville/</t>
        </is>
      </c>
      <c r="J1010" s="2" t="inlineStr">
        <is>
          <t>+61 7 4724 4281</t>
        </is>
      </c>
      <c r="K1010" s="4" t="inlineStr">
        <is>
          <t>https://www.watermarktownsville.com.au/</t>
        </is>
      </c>
      <c r="L1010" s="2" t="inlineStr">
        <is>
          <t>slow to load (4.1s)</t>
        </is>
      </c>
      <c r="M1010" s="2" t="inlineStr">
        <is>
          <t>Hi The Watermark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10" s="4" t="inlineStr">
        <is>
          <t>Open map</t>
        </is>
      </c>
      <c r="O1010" s="2" t="inlineStr">
        <is>
          <t>Not contacted</t>
        </is>
      </c>
      <c r="P1010" s="2" t="inlineStr"/>
      <c r="Q1010" s="2" t="inlineStr"/>
      <c r="R1010" s="2" t="inlineStr"/>
      <c r="S1010" s="2" t="inlineStr"/>
    </row>
    <row r="1011">
      <c r="A1011" s="2" t="n">
        <v>1010</v>
      </c>
      <c r="B1011" s="6" t="inlineStr">
        <is>
          <t>MEDIUM</t>
        </is>
      </c>
      <c r="C1011" s="2" t="inlineStr">
        <is>
          <t>Weak website</t>
        </is>
      </c>
      <c r="D1011" s="2" t="inlineStr">
        <is>
          <t>Sapori Pizza</t>
        </is>
      </c>
      <c r="E1011" s="2" t="inlineStr">
        <is>
          <t>takeaway</t>
        </is>
      </c>
      <c r="F1011" s="2" t="inlineStr">
        <is>
          <t>Townsville</t>
        </is>
      </c>
      <c r="G1011" s="2" t="inlineStr">
        <is>
          <t>Instagram</t>
        </is>
      </c>
      <c r="H1011" s="4" t="inlineStr">
        <is>
          <t>https://www.instagram.com/saporitsv</t>
        </is>
      </c>
      <c r="I1011" s="2" t="inlineStr"/>
      <c r="J1011" s="2" t="inlineStr"/>
      <c r="K1011" s="4" t="inlineStr">
        <is>
          <t>https://saporitownsville.com</t>
        </is>
      </c>
      <c r="L1011" s="2" t="inlineStr">
        <is>
          <t>website address not working (check the business is still open)</t>
        </is>
      </c>
      <c r="M1011" s="2" t="inlineStr">
        <is>
          <t>Hi Sapori Pizza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11" s="4" t="inlineStr">
        <is>
          <t>Open map</t>
        </is>
      </c>
      <c r="O1011" s="2" t="inlineStr">
        <is>
          <t>Not contacted</t>
        </is>
      </c>
      <c r="P1011" s="2" t="inlineStr"/>
      <c r="Q1011" s="2" t="inlineStr"/>
      <c r="R1011" s="2" t="inlineStr"/>
      <c r="S1011" s="2" t="inlineStr"/>
    </row>
    <row r="1012">
      <c r="A1012" s="2" t="n">
        <v>1011</v>
      </c>
      <c r="B1012" s="6" t="inlineStr">
        <is>
          <t>MEDIUM</t>
        </is>
      </c>
      <c r="C1012" s="2" t="inlineStr">
        <is>
          <t>Weak website</t>
        </is>
      </c>
      <c r="D1012" s="2" t="inlineStr">
        <is>
          <t>The Laughing Buddha</t>
        </is>
      </c>
      <c r="E1012" s="2" t="inlineStr">
        <is>
          <t>tattoo studio</t>
        </is>
      </c>
      <c r="F1012" s="2" t="inlineStr">
        <is>
          <t>Townsville</t>
        </is>
      </c>
      <c r="G1012" s="2" t="inlineStr">
        <is>
          <t>Instagram</t>
        </is>
      </c>
      <c r="H1012" s="4" t="inlineStr">
        <is>
          <t>http://www.instagram.com/thelaughingbuddhatattoo</t>
        </is>
      </c>
      <c r="I1012" s="4" t="inlineStr">
        <is>
          <t>https://www.facebook.com/thelaughingbuddhatattootsv</t>
        </is>
      </c>
      <c r="J1012" s="2" t="inlineStr"/>
      <c r="K1012" s="4" t="inlineStr">
        <is>
          <t>https://www.thelaughingbuddhatattoo.com.au/</t>
        </is>
      </c>
      <c r="L1012" s="2" t="inlineStr">
        <is>
          <t>looks outdated (copyright 2020)</t>
        </is>
      </c>
      <c r="M1012" s="2" t="inlineStr">
        <is>
          <t>Hi The Laughing Buddha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12" s="4" t="inlineStr">
        <is>
          <t>Open map</t>
        </is>
      </c>
      <c r="O1012" s="2" t="inlineStr">
        <is>
          <t>Not contacted</t>
        </is>
      </c>
      <c r="P1012" s="2" t="inlineStr"/>
      <c r="Q1012" s="2" t="inlineStr"/>
      <c r="R1012" s="2" t="inlineStr"/>
      <c r="S1012" s="2" t="inlineStr"/>
    </row>
    <row r="1013">
      <c r="A1013" s="2" t="n">
        <v>1012</v>
      </c>
      <c r="B1013" s="6" t="inlineStr">
        <is>
          <t>MEDIUM</t>
        </is>
      </c>
      <c r="C1013" s="2" t="inlineStr">
        <is>
          <t>Weak website</t>
        </is>
      </c>
      <c r="D1013" s="2" t="inlineStr">
        <is>
          <t>McNevins Warwick Motel</t>
        </is>
      </c>
      <c r="E1013" s="2" t="inlineStr">
        <is>
          <t>accommodation</t>
        </is>
      </c>
      <c r="F1013" s="2" t="inlineStr">
        <is>
          <t>Warwick</t>
        </is>
      </c>
      <c r="G1013" s="2" t="inlineStr">
        <is>
          <t>Facebook</t>
        </is>
      </c>
      <c r="H1013" s="2" t="inlineStr"/>
      <c r="I1013" s="4" t="inlineStr">
        <is>
          <t>https://www.facebook.com/McNevinsWarwick</t>
        </is>
      </c>
      <c r="J1013" s="2" t="inlineStr">
        <is>
          <t>+61 7 4661 5588</t>
        </is>
      </c>
      <c r="K1013" s="4" t="inlineStr">
        <is>
          <t>https://warwick-motel.mcnevins.com.au/</t>
        </is>
      </c>
      <c r="L1013" s="2" t="inlineStr">
        <is>
          <t>looks outdated (copyright 2019); missing meta description; slow to load (4.5s)</t>
        </is>
      </c>
      <c r="M1013" s="2" t="inlineStr">
        <is>
          <t>Hi McNevins Warwick Motel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13" s="4" t="inlineStr">
        <is>
          <t>Open map</t>
        </is>
      </c>
      <c r="O1013" s="2" t="inlineStr">
        <is>
          <t>Not contacted</t>
        </is>
      </c>
      <c r="P1013" s="2" t="inlineStr"/>
      <c r="Q1013" s="2" t="inlineStr"/>
      <c r="R1013" s="2" t="inlineStr"/>
      <c r="S1013" s="2" t="inlineStr"/>
    </row>
    <row r="1014">
      <c r="A1014" s="2" t="n">
        <v>1013</v>
      </c>
      <c r="B1014" s="6" t="inlineStr">
        <is>
          <t>MEDIUM</t>
        </is>
      </c>
      <c r="C1014" s="2" t="inlineStr">
        <is>
          <t>Weak website</t>
        </is>
      </c>
      <c r="D1014" s="2" t="inlineStr">
        <is>
          <t>Bluebird Kitchen and Smokehouse</t>
        </is>
      </c>
      <c r="E1014" s="2" t="inlineStr">
        <is>
          <t>cafe</t>
        </is>
      </c>
      <c r="F1014" s="2" t="inlineStr">
        <is>
          <t>Warwick</t>
        </is>
      </c>
      <c r="G1014" s="2" t="inlineStr">
        <is>
          <t>Instagram</t>
        </is>
      </c>
      <c r="H1014" s="4" t="inlineStr">
        <is>
          <t>https://www.instagram.com/bluebird_kitchen_smokehouse</t>
        </is>
      </c>
      <c r="I1014" s="4" t="inlineStr">
        <is>
          <t>https://www.facebook.com/pages/Bluebird-Kitchen-and-Bar/904036892961699</t>
        </is>
      </c>
      <c r="J1014" s="2" t="inlineStr">
        <is>
          <t>+61 7 4661 5795</t>
        </is>
      </c>
      <c r="K1014" s="4" t="inlineStr">
        <is>
          <t>http://www.bluebirdkitchen.com.au/</t>
        </is>
      </c>
      <c r="L1014" s="2" t="inlineStr">
        <is>
          <t>no HTTPS (browser shows 'Not secure')</t>
        </is>
      </c>
      <c r="M1014" s="2" t="inlineStr">
        <is>
          <t>Hi Bluebird Kitchen and Smokehouse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14" s="4" t="inlineStr">
        <is>
          <t>Open map</t>
        </is>
      </c>
      <c r="O1014" s="2" t="inlineStr">
        <is>
          <t>Not contacted</t>
        </is>
      </c>
      <c r="P1014" s="2" t="inlineStr"/>
      <c r="Q1014" s="2" t="inlineStr"/>
      <c r="R1014" s="2" t="inlineStr"/>
      <c r="S1014" s="2" t="inlineStr"/>
    </row>
    <row r="1015">
      <c r="A1015" s="2" t="n">
        <v>1014</v>
      </c>
      <c r="B1015" s="6" t="inlineStr">
        <is>
          <t>MEDIUM</t>
        </is>
      </c>
      <c r="C1015" s="2" t="inlineStr">
        <is>
          <t>Weak website</t>
        </is>
      </c>
      <c r="D1015" s="2" t="inlineStr">
        <is>
          <t>Gunyah Restaurant</t>
        </is>
      </c>
      <c r="E1015" s="2" t="inlineStr">
        <is>
          <t>restaurant</t>
        </is>
      </c>
      <c r="F1015" s="2" t="inlineStr">
        <is>
          <t>Warwick</t>
        </is>
      </c>
      <c r="G1015" s="2" t="inlineStr">
        <is>
          <t>Facebook</t>
        </is>
      </c>
      <c r="H1015" s="2" t="inlineStr"/>
      <c r="I1015" s="4" t="inlineStr">
        <is>
          <t>https://www.facebook.com/McNevinsWarwick</t>
        </is>
      </c>
      <c r="J1015" s="2" t="inlineStr">
        <is>
          <t>+61 7 4661 5588</t>
        </is>
      </c>
      <c r="K1015" s="4" t="inlineStr">
        <is>
          <t>https://warwick-motel.mcnevins.com.au/warwick-restaurants-gunyah-restaurant/</t>
        </is>
      </c>
      <c r="L1015" s="2" t="inlineStr">
        <is>
          <t>looks outdated (copyright 2019); missing meta description; slow to load (5.1s)</t>
        </is>
      </c>
      <c r="M1015" s="2" t="inlineStr">
        <is>
          <t>Hi Gunyah Restaurant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15" s="4" t="inlineStr">
        <is>
          <t>Open map</t>
        </is>
      </c>
      <c r="O1015" s="2" t="inlineStr">
        <is>
          <t>Not contacted</t>
        </is>
      </c>
      <c r="P1015" s="2" t="inlineStr"/>
      <c r="Q1015" s="2" t="inlineStr"/>
      <c r="R1015" s="2" t="inlineStr"/>
      <c r="S1015" s="2" t="inlineStr"/>
    </row>
  </sheetData>
  <autoFilter ref="A1:S1015"/>
  <conditionalFormatting sqref="A2:S1015">
    <cfRule type="expression" priority="1" dxfId="0">
      <formula>$O2="Won"</formula>
    </cfRule>
    <cfRule type="expression" priority="2" dxfId="1">
      <formula>$O2="Meeting booked"</formula>
    </cfRule>
    <cfRule type="expression" priority="3" dxfId="2">
      <formula>$O2="Replied"</formula>
    </cfRule>
    <cfRule type="expression" priority="4" dxfId="3">
      <formula>$O2="Not interested"</formula>
    </cfRule>
    <cfRule type="expression" priority="5" dxfId="3">
      <formula>$O2="Business closed"</formula>
    </cfRule>
  </conditionalFormatting>
  <dataValidations count="2">
    <dataValidation sqref="O2:O1015" showDropDown="0" showInputMessage="0" showErrorMessage="0" allowBlank="1" type="list">
      <formula1>"Not contacted,DM sent,Replied,Preview sent,Meeting booked,Won,Not interested,Business closed"</formula1>
    </dataValidation>
    <dataValidation sqref="Q2:R1015" showDropDown="0" showInputMessage="0" showErrorMessage="0" allowBlank="1" type="date"/>
  </dataValidations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I5" r:id="rId10"/>
    <hyperlink xmlns:r="http://schemas.openxmlformats.org/officeDocument/2006/relationships" ref="K5" r:id="rId11"/>
    <hyperlink xmlns:r="http://schemas.openxmlformats.org/officeDocument/2006/relationships" ref="N5" r:id="rId12"/>
    <hyperlink xmlns:r="http://schemas.openxmlformats.org/officeDocument/2006/relationships" ref="H6" r:id="rId13"/>
    <hyperlink xmlns:r="http://schemas.openxmlformats.org/officeDocument/2006/relationships" ref="K6" r:id="rId14"/>
    <hyperlink xmlns:r="http://schemas.openxmlformats.org/officeDocument/2006/relationships" ref="N6" r:id="rId15"/>
    <hyperlink xmlns:r="http://schemas.openxmlformats.org/officeDocument/2006/relationships" ref="I7" r:id="rId16"/>
    <hyperlink xmlns:r="http://schemas.openxmlformats.org/officeDocument/2006/relationships" ref="K7" r:id="rId17"/>
    <hyperlink xmlns:r="http://schemas.openxmlformats.org/officeDocument/2006/relationships" ref="N7" r:id="rId18"/>
    <hyperlink xmlns:r="http://schemas.openxmlformats.org/officeDocument/2006/relationships" ref="I8" r:id="rId19"/>
    <hyperlink xmlns:r="http://schemas.openxmlformats.org/officeDocument/2006/relationships" ref="K8" r:id="rId20"/>
    <hyperlink xmlns:r="http://schemas.openxmlformats.org/officeDocument/2006/relationships" ref="N8" r:id="rId21"/>
    <hyperlink xmlns:r="http://schemas.openxmlformats.org/officeDocument/2006/relationships" ref="I9" r:id="rId22"/>
    <hyperlink xmlns:r="http://schemas.openxmlformats.org/officeDocument/2006/relationships" ref="K9" r:id="rId23"/>
    <hyperlink xmlns:r="http://schemas.openxmlformats.org/officeDocument/2006/relationships" ref="N9" r:id="rId24"/>
    <hyperlink xmlns:r="http://schemas.openxmlformats.org/officeDocument/2006/relationships" ref="I10" r:id="rId25"/>
    <hyperlink xmlns:r="http://schemas.openxmlformats.org/officeDocument/2006/relationships" ref="K10" r:id="rId26"/>
    <hyperlink xmlns:r="http://schemas.openxmlformats.org/officeDocument/2006/relationships" ref="N10" r:id="rId27"/>
    <hyperlink xmlns:r="http://schemas.openxmlformats.org/officeDocument/2006/relationships" ref="I11" r:id="rId28"/>
    <hyperlink xmlns:r="http://schemas.openxmlformats.org/officeDocument/2006/relationships" ref="K11" r:id="rId29"/>
    <hyperlink xmlns:r="http://schemas.openxmlformats.org/officeDocument/2006/relationships" ref="N11" r:id="rId30"/>
    <hyperlink xmlns:r="http://schemas.openxmlformats.org/officeDocument/2006/relationships" ref="I12" r:id="rId31"/>
    <hyperlink xmlns:r="http://schemas.openxmlformats.org/officeDocument/2006/relationships" ref="K12" r:id="rId32"/>
    <hyperlink xmlns:r="http://schemas.openxmlformats.org/officeDocument/2006/relationships" ref="N12" r:id="rId33"/>
    <hyperlink xmlns:r="http://schemas.openxmlformats.org/officeDocument/2006/relationships" ref="H13" r:id="rId34"/>
    <hyperlink xmlns:r="http://schemas.openxmlformats.org/officeDocument/2006/relationships" ref="K13" r:id="rId35"/>
    <hyperlink xmlns:r="http://schemas.openxmlformats.org/officeDocument/2006/relationships" ref="N13" r:id="rId36"/>
    <hyperlink xmlns:r="http://schemas.openxmlformats.org/officeDocument/2006/relationships" ref="I14" r:id="rId37"/>
    <hyperlink xmlns:r="http://schemas.openxmlformats.org/officeDocument/2006/relationships" ref="K14" r:id="rId38"/>
    <hyperlink xmlns:r="http://schemas.openxmlformats.org/officeDocument/2006/relationships" ref="N14" r:id="rId39"/>
    <hyperlink xmlns:r="http://schemas.openxmlformats.org/officeDocument/2006/relationships" ref="I15" r:id="rId40"/>
    <hyperlink xmlns:r="http://schemas.openxmlformats.org/officeDocument/2006/relationships" ref="K15" r:id="rId41"/>
    <hyperlink xmlns:r="http://schemas.openxmlformats.org/officeDocument/2006/relationships" ref="N15" r:id="rId42"/>
    <hyperlink xmlns:r="http://schemas.openxmlformats.org/officeDocument/2006/relationships" ref="I16" r:id="rId43"/>
    <hyperlink xmlns:r="http://schemas.openxmlformats.org/officeDocument/2006/relationships" ref="K16" r:id="rId44"/>
    <hyperlink xmlns:r="http://schemas.openxmlformats.org/officeDocument/2006/relationships" ref="N16" r:id="rId45"/>
    <hyperlink xmlns:r="http://schemas.openxmlformats.org/officeDocument/2006/relationships" ref="I17" r:id="rId46"/>
    <hyperlink xmlns:r="http://schemas.openxmlformats.org/officeDocument/2006/relationships" ref="K17" r:id="rId47"/>
    <hyperlink xmlns:r="http://schemas.openxmlformats.org/officeDocument/2006/relationships" ref="N17" r:id="rId48"/>
    <hyperlink xmlns:r="http://schemas.openxmlformats.org/officeDocument/2006/relationships" ref="H18" r:id="rId49"/>
    <hyperlink xmlns:r="http://schemas.openxmlformats.org/officeDocument/2006/relationships" ref="K18" r:id="rId50"/>
    <hyperlink xmlns:r="http://schemas.openxmlformats.org/officeDocument/2006/relationships" ref="N18" r:id="rId51"/>
    <hyperlink xmlns:r="http://schemas.openxmlformats.org/officeDocument/2006/relationships" ref="I19" r:id="rId52"/>
    <hyperlink xmlns:r="http://schemas.openxmlformats.org/officeDocument/2006/relationships" ref="K19" r:id="rId53"/>
    <hyperlink xmlns:r="http://schemas.openxmlformats.org/officeDocument/2006/relationships" ref="N19" r:id="rId54"/>
    <hyperlink xmlns:r="http://schemas.openxmlformats.org/officeDocument/2006/relationships" ref="I20" r:id="rId55"/>
    <hyperlink xmlns:r="http://schemas.openxmlformats.org/officeDocument/2006/relationships" ref="K20" r:id="rId56"/>
    <hyperlink xmlns:r="http://schemas.openxmlformats.org/officeDocument/2006/relationships" ref="N20" r:id="rId57"/>
    <hyperlink xmlns:r="http://schemas.openxmlformats.org/officeDocument/2006/relationships" ref="I21" r:id="rId58"/>
    <hyperlink xmlns:r="http://schemas.openxmlformats.org/officeDocument/2006/relationships" ref="K21" r:id="rId59"/>
    <hyperlink xmlns:r="http://schemas.openxmlformats.org/officeDocument/2006/relationships" ref="N21" r:id="rId60"/>
    <hyperlink xmlns:r="http://schemas.openxmlformats.org/officeDocument/2006/relationships" ref="I22" r:id="rId61"/>
    <hyperlink xmlns:r="http://schemas.openxmlformats.org/officeDocument/2006/relationships" ref="K22" r:id="rId62"/>
    <hyperlink xmlns:r="http://schemas.openxmlformats.org/officeDocument/2006/relationships" ref="N22" r:id="rId63"/>
    <hyperlink xmlns:r="http://schemas.openxmlformats.org/officeDocument/2006/relationships" ref="I23" r:id="rId64"/>
    <hyperlink xmlns:r="http://schemas.openxmlformats.org/officeDocument/2006/relationships" ref="K23" r:id="rId65"/>
    <hyperlink xmlns:r="http://schemas.openxmlformats.org/officeDocument/2006/relationships" ref="N23" r:id="rId66"/>
    <hyperlink xmlns:r="http://schemas.openxmlformats.org/officeDocument/2006/relationships" ref="H24" r:id="rId67"/>
    <hyperlink xmlns:r="http://schemas.openxmlformats.org/officeDocument/2006/relationships" ref="K24" r:id="rId68"/>
    <hyperlink xmlns:r="http://schemas.openxmlformats.org/officeDocument/2006/relationships" ref="N24" r:id="rId69"/>
    <hyperlink xmlns:r="http://schemas.openxmlformats.org/officeDocument/2006/relationships" ref="I25" r:id="rId70"/>
    <hyperlink xmlns:r="http://schemas.openxmlformats.org/officeDocument/2006/relationships" ref="K25" r:id="rId71"/>
    <hyperlink xmlns:r="http://schemas.openxmlformats.org/officeDocument/2006/relationships" ref="N25" r:id="rId72"/>
    <hyperlink xmlns:r="http://schemas.openxmlformats.org/officeDocument/2006/relationships" ref="I26" r:id="rId73"/>
    <hyperlink xmlns:r="http://schemas.openxmlformats.org/officeDocument/2006/relationships" ref="K26" r:id="rId74"/>
    <hyperlink xmlns:r="http://schemas.openxmlformats.org/officeDocument/2006/relationships" ref="N26" r:id="rId75"/>
    <hyperlink xmlns:r="http://schemas.openxmlformats.org/officeDocument/2006/relationships" ref="I27" r:id="rId76"/>
    <hyperlink xmlns:r="http://schemas.openxmlformats.org/officeDocument/2006/relationships" ref="K27" r:id="rId77"/>
    <hyperlink xmlns:r="http://schemas.openxmlformats.org/officeDocument/2006/relationships" ref="N27" r:id="rId78"/>
    <hyperlink xmlns:r="http://schemas.openxmlformats.org/officeDocument/2006/relationships" ref="H28" r:id="rId79"/>
    <hyperlink xmlns:r="http://schemas.openxmlformats.org/officeDocument/2006/relationships" ref="K28" r:id="rId80"/>
    <hyperlink xmlns:r="http://schemas.openxmlformats.org/officeDocument/2006/relationships" ref="N28" r:id="rId81"/>
    <hyperlink xmlns:r="http://schemas.openxmlformats.org/officeDocument/2006/relationships" ref="H29" r:id="rId82"/>
    <hyperlink xmlns:r="http://schemas.openxmlformats.org/officeDocument/2006/relationships" ref="K29" r:id="rId83"/>
    <hyperlink xmlns:r="http://schemas.openxmlformats.org/officeDocument/2006/relationships" ref="N29" r:id="rId84"/>
    <hyperlink xmlns:r="http://schemas.openxmlformats.org/officeDocument/2006/relationships" ref="I30" r:id="rId85"/>
    <hyperlink xmlns:r="http://schemas.openxmlformats.org/officeDocument/2006/relationships" ref="K30" r:id="rId86"/>
    <hyperlink xmlns:r="http://schemas.openxmlformats.org/officeDocument/2006/relationships" ref="N30" r:id="rId87"/>
    <hyperlink xmlns:r="http://schemas.openxmlformats.org/officeDocument/2006/relationships" ref="I31" r:id="rId88"/>
    <hyperlink xmlns:r="http://schemas.openxmlformats.org/officeDocument/2006/relationships" ref="K31" r:id="rId89"/>
    <hyperlink xmlns:r="http://schemas.openxmlformats.org/officeDocument/2006/relationships" ref="N31" r:id="rId90"/>
    <hyperlink xmlns:r="http://schemas.openxmlformats.org/officeDocument/2006/relationships" ref="I32" r:id="rId91"/>
    <hyperlink xmlns:r="http://schemas.openxmlformats.org/officeDocument/2006/relationships" ref="K32" r:id="rId92"/>
    <hyperlink xmlns:r="http://schemas.openxmlformats.org/officeDocument/2006/relationships" ref="N32" r:id="rId93"/>
    <hyperlink xmlns:r="http://schemas.openxmlformats.org/officeDocument/2006/relationships" ref="I33" r:id="rId94"/>
    <hyperlink xmlns:r="http://schemas.openxmlformats.org/officeDocument/2006/relationships" ref="K33" r:id="rId95"/>
    <hyperlink xmlns:r="http://schemas.openxmlformats.org/officeDocument/2006/relationships" ref="N33" r:id="rId96"/>
    <hyperlink xmlns:r="http://schemas.openxmlformats.org/officeDocument/2006/relationships" ref="I34" r:id="rId97"/>
    <hyperlink xmlns:r="http://schemas.openxmlformats.org/officeDocument/2006/relationships" ref="K34" r:id="rId98"/>
    <hyperlink xmlns:r="http://schemas.openxmlformats.org/officeDocument/2006/relationships" ref="N34" r:id="rId99"/>
    <hyperlink xmlns:r="http://schemas.openxmlformats.org/officeDocument/2006/relationships" ref="I35" r:id="rId100"/>
    <hyperlink xmlns:r="http://schemas.openxmlformats.org/officeDocument/2006/relationships" ref="K35" r:id="rId101"/>
    <hyperlink xmlns:r="http://schemas.openxmlformats.org/officeDocument/2006/relationships" ref="N35" r:id="rId102"/>
    <hyperlink xmlns:r="http://schemas.openxmlformats.org/officeDocument/2006/relationships" ref="I36" r:id="rId103"/>
    <hyperlink xmlns:r="http://schemas.openxmlformats.org/officeDocument/2006/relationships" ref="K36" r:id="rId104"/>
    <hyperlink xmlns:r="http://schemas.openxmlformats.org/officeDocument/2006/relationships" ref="N36" r:id="rId105"/>
    <hyperlink xmlns:r="http://schemas.openxmlformats.org/officeDocument/2006/relationships" ref="I37" r:id="rId106"/>
    <hyperlink xmlns:r="http://schemas.openxmlformats.org/officeDocument/2006/relationships" ref="K37" r:id="rId107"/>
    <hyperlink xmlns:r="http://schemas.openxmlformats.org/officeDocument/2006/relationships" ref="N37" r:id="rId108"/>
    <hyperlink xmlns:r="http://schemas.openxmlformats.org/officeDocument/2006/relationships" ref="I38" r:id="rId109"/>
    <hyperlink xmlns:r="http://schemas.openxmlformats.org/officeDocument/2006/relationships" ref="K38" r:id="rId110"/>
    <hyperlink xmlns:r="http://schemas.openxmlformats.org/officeDocument/2006/relationships" ref="N38" r:id="rId111"/>
    <hyperlink xmlns:r="http://schemas.openxmlformats.org/officeDocument/2006/relationships" ref="I39" r:id="rId112"/>
    <hyperlink xmlns:r="http://schemas.openxmlformats.org/officeDocument/2006/relationships" ref="K39" r:id="rId113"/>
    <hyperlink xmlns:r="http://schemas.openxmlformats.org/officeDocument/2006/relationships" ref="N39" r:id="rId114"/>
    <hyperlink xmlns:r="http://schemas.openxmlformats.org/officeDocument/2006/relationships" ref="I40" r:id="rId115"/>
    <hyperlink xmlns:r="http://schemas.openxmlformats.org/officeDocument/2006/relationships" ref="K40" r:id="rId116"/>
    <hyperlink xmlns:r="http://schemas.openxmlformats.org/officeDocument/2006/relationships" ref="N40" r:id="rId117"/>
    <hyperlink xmlns:r="http://schemas.openxmlformats.org/officeDocument/2006/relationships" ref="I41" r:id="rId118"/>
    <hyperlink xmlns:r="http://schemas.openxmlformats.org/officeDocument/2006/relationships" ref="K41" r:id="rId119"/>
    <hyperlink xmlns:r="http://schemas.openxmlformats.org/officeDocument/2006/relationships" ref="N41" r:id="rId120"/>
    <hyperlink xmlns:r="http://schemas.openxmlformats.org/officeDocument/2006/relationships" ref="I42" r:id="rId121"/>
    <hyperlink xmlns:r="http://schemas.openxmlformats.org/officeDocument/2006/relationships" ref="K42" r:id="rId122"/>
    <hyperlink xmlns:r="http://schemas.openxmlformats.org/officeDocument/2006/relationships" ref="N42" r:id="rId123"/>
    <hyperlink xmlns:r="http://schemas.openxmlformats.org/officeDocument/2006/relationships" ref="H43" r:id="rId124"/>
    <hyperlink xmlns:r="http://schemas.openxmlformats.org/officeDocument/2006/relationships" ref="K43" r:id="rId125"/>
    <hyperlink xmlns:r="http://schemas.openxmlformats.org/officeDocument/2006/relationships" ref="N43" r:id="rId126"/>
    <hyperlink xmlns:r="http://schemas.openxmlformats.org/officeDocument/2006/relationships" ref="I44" r:id="rId127"/>
    <hyperlink xmlns:r="http://schemas.openxmlformats.org/officeDocument/2006/relationships" ref="K44" r:id="rId128"/>
    <hyperlink xmlns:r="http://schemas.openxmlformats.org/officeDocument/2006/relationships" ref="N44" r:id="rId129"/>
    <hyperlink xmlns:r="http://schemas.openxmlformats.org/officeDocument/2006/relationships" ref="I45" r:id="rId130"/>
    <hyperlink xmlns:r="http://schemas.openxmlformats.org/officeDocument/2006/relationships" ref="K45" r:id="rId131"/>
    <hyperlink xmlns:r="http://schemas.openxmlformats.org/officeDocument/2006/relationships" ref="N45" r:id="rId132"/>
    <hyperlink xmlns:r="http://schemas.openxmlformats.org/officeDocument/2006/relationships" ref="I46" r:id="rId133"/>
    <hyperlink xmlns:r="http://schemas.openxmlformats.org/officeDocument/2006/relationships" ref="K46" r:id="rId134"/>
    <hyperlink xmlns:r="http://schemas.openxmlformats.org/officeDocument/2006/relationships" ref="N46" r:id="rId135"/>
    <hyperlink xmlns:r="http://schemas.openxmlformats.org/officeDocument/2006/relationships" ref="I47" r:id="rId136"/>
    <hyperlink xmlns:r="http://schemas.openxmlformats.org/officeDocument/2006/relationships" ref="K47" r:id="rId137"/>
    <hyperlink xmlns:r="http://schemas.openxmlformats.org/officeDocument/2006/relationships" ref="N47" r:id="rId138"/>
    <hyperlink xmlns:r="http://schemas.openxmlformats.org/officeDocument/2006/relationships" ref="H48" r:id="rId139"/>
    <hyperlink xmlns:r="http://schemas.openxmlformats.org/officeDocument/2006/relationships" ref="K48" r:id="rId140"/>
    <hyperlink xmlns:r="http://schemas.openxmlformats.org/officeDocument/2006/relationships" ref="N48" r:id="rId141"/>
    <hyperlink xmlns:r="http://schemas.openxmlformats.org/officeDocument/2006/relationships" ref="I49" r:id="rId142"/>
    <hyperlink xmlns:r="http://schemas.openxmlformats.org/officeDocument/2006/relationships" ref="K49" r:id="rId143"/>
    <hyperlink xmlns:r="http://schemas.openxmlformats.org/officeDocument/2006/relationships" ref="N49" r:id="rId144"/>
    <hyperlink xmlns:r="http://schemas.openxmlformats.org/officeDocument/2006/relationships" ref="I50" r:id="rId145"/>
    <hyperlink xmlns:r="http://schemas.openxmlformats.org/officeDocument/2006/relationships" ref="K50" r:id="rId146"/>
    <hyperlink xmlns:r="http://schemas.openxmlformats.org/officeDocument/2006/relationships" ref="N50" r:id="rId147"/>
    <hyperlink xmlns:r="http://schemas.openxmlformats.org/officeDocument/2006/relationships" ref="I51" r:id="rId148"/>
    <hyperlink xmlns:r="http://schemas.openxmlformats.org/officeDocument/2006/relationships" ref="K51" r:id="rId149"/>
    <hyperlink xmlns:r="http://schemas.openxmlformats.org/officeDocument/2006/relationships" ref="N51" r:id="rId150"/>
    <hyperlink xmlns:r="http://schemas.openxmlformats.org/officeDocument/2006/relationships" ref="I52" r:id="rId151"/>
    <hyperlink xmlns:r="http://schemas.openxmlformats.org/officeDocument/2006/relationships" ref="K52" r:id="rId152"/>
    <hyperlink xmlns:r="http://schemas.openxmlformats.org/officeDocument/2006/relationships" ref="N52" r:id="rId153"/>
    <hyperlink xmlns:r="http://schemas.openxmlformats.org/officeDocument/2006/relationships" ref="I53" r:id="rId154"/>
    <hyperlink xmlns:r="http://schemas.openxmlformats.org/officeDocument/2006/relationships" ref="K53" r:id="rId155"/>
    <hyperlink xmlns:r="http://schemas.openxmlformats.org/officeDocument/2006/relationships" ref="N53" r:id="rId156"/>
    <hyperlink xmlns:r="http://schemas.openxmlformats.org/officeDocument/2006/relationships" ref="I54" r:id="rId157"/>
    <hyperlink xmlns:r="http://schemas.openxmlformats.org/officeDocument/2006/relationships" ref="K54" r:id="rId158"/>
    <hyperlink xmlns:r="http://schemas.openxmlformats.org/officeDocument/2006/relationships" ref="N54" r:id="rId159"/>
    <hyperlink xmlns:r="http://schemas.openxmlformats.org/officeDocument/2006/relationships" ref="H55" r:id="rId160"/>
    <hyperlink xmlns:r="http://schemas.openxmlformats.org/officeDocument/2006/relationships" ref="K55" r:id="rId161"/>
    <hyperlink xmlns:r="http://schemas.openxmlformats.org/officeDocument/2006/relationships" ref="N55" r:id="rId162"/>
    <hyperlink xmlns:r="http://schemas.openxmlformats.org/officeDocument/2006/relationships" ref="I56" r:id="rId163"/>
    <hyperlink xmlns:r="http://schemas.openxmlformats.org/officeDocument/2006/relationships" ref="K56" r:id="rId164"/>
    <hyperlink xmlns:r="http://schemas.openxmlformats.org/officeDocument/2006/relationships" ref="N56" r:id="rId165"/>
    <hyperlink xmlns:r="http://schemas.openxmlformats.org/officeDocument/2006/relationships" ref="I57" r:id="rId166"/>
    <hyperlink xmlns:r="http://schemas.openxmlformats.org/officeDocument/2006/relationships" ref="K57" r:id="rId167"/>
    <hyperlink xmlns:r="http://schemas.openxmlformats.org/officeDocument/2006/relationships" ref="N57" r:id="rId168"/>
    <hyperlink xmlns:r="http://schemas.openxmlformats.org/officeDocument/2006/relationships" ref="I58" r:id="rId169"/>
    <hyperlink xmlns:r="http://schemas.openxmlformats.org/officeDocument/2006/relationships" ref="K58" r:id="rId170"/>
    <hyperlink xmlns:r="http://schemas.openxmlformats.org/officeDocument/2006/relationships" ref="N58" r:id="rId171"/>
    <hyperlink xmlns:r="http://schemas.openxmlformats.org/officeDocument/2006/relationships" ref="I59" r:id="rId172"/>
    <hyperlink xmlns:r="http://schemas.openxmlformats.org/officeDocument/2006/relationships" ref="K59" r:id="rId173"/>
    <hyperlink xmlns:r="http://schemas.openxmlformats.org/officeDocument/2006/relationships" ref="N59" r:id="rId174"/>
    <hyperlink xmlns:r="http://schemas.openxmlformats.org/officeDocument/2006/relationships" ref="I60" r:id="rId175"/>
    <hyperlink xmlns:r="http://schemas.openxmlformats.org/officeDocument/2006/relationships" ref="K60" r:id="rId176"/>
    <hyperlink xmlns:r="http://schemas.openxmlformats.org/officeDocument/2006/relationships" ref="N60" r:id="rId177"/>
    <hyperlink xmlns:r="http://schemas.openxmlformats.org/officeDocument/2006/relationships" ref="I61" r:id="rId178"/>
    <hyperlink xmlns:r="http://schemas.openxmlformats.org/officeDocument/2006/relationships" ref="K61" r:id="rId179"/>
    <hyperlink xmlns:r="http://schemas.openxmlformats.org/officeDocument/2006/relationships" ref="N61" r:id="rId180"/>
    <hyperlink xmlns:r="http://schemas.openxmlformats.org/officeDocument/2006/relationships" ref="I62" r:id="rId181"/>
    <hyperlink xmlns:r="http://schemas.openxmlformats.org/officeDocument/2006/relationships" ref="K62" r:id="rId182"/>
    <hyperlink xmlns:r="http://schemas.openxmlformats.org/officeDocument/2006/relationships" ref="N62" r:id="rId183"/>
    <hyperlink xmlns:r="http://schemas.openxmlformats.org/officeDocument/2006/relationships" ref="I63" r:id="rId184"/>
    <hyperlink xmlns:r="http://schemas.openxmlformats.org/officeDocument/2006/relationships" ref="K63" r:id="rId185"/>
    <hyperlink xmlns:r="http://schemas.openxmlformats.org/officeDocument/2006/relationships" ref="N63" r:id="rId186"/>
    <hyperlink xmlns:r="http://schemas.openxmlformats.org/officeDocument/2006/relationships" ref="I64" r:id="rId187"/>
    <hyperlink xmlns:r="http://schemas.openxmlformats.org/officeDocument/2006/relationships" ref="K64" r:id="rId188"/>
    <hyperlink xmlns:r="http://schemas.openxmlformats.org/officeDocument/2006/relationships" ref="N64" r:id="rId189"/>
    <hyperlink xmlns:r="http://schemas.openxmlformats.org/officeDocument/2006/relationships" ref="I65" r:id="rId190"/>
    <hyperlink xmlns:r="http://schemas.openxmlformats.org/officeDocument/2006/relationships" ref="K65" r:id="rId191"/>
    <hyperlink xmlns:r="http://schemas.openxmlformats.org/officeDocument/2006/relationships" ref="N65" r:id="rId192"/>
    <hyperlink xmlns:r="http://schemas.openxmlformats.org/officeDocument/2006/relationships" ref="I66" r:id="rId193"/>
    <hyperlink xmlns:r="http://schemas.openxmlformats.org/officeDocument/2006/relationships" ref="K66" r:id="rId194"/>
    <hyperlink xmlns:r="http://schemas.openxmlformats.org/officeDocument/2006/relationships" ref="N66" r:id="rId195"/>
    <hyperlink xmlns:r="http://schemas.openxmlformats.org/officeDocument/2006/relationships" ref="I67" r:id="rId196"/>
    <hyperlink xmlns:r="http://schemas.openxmlformats.org/officeDocument/2006/relationships" ref="K67" r:id="rId197"/>
    <hyperlink xmlns:r="http://schemas.openxmlformats.org/officeDocument/2006/relationships" ref="N67" r:id="rId198"/>
    <hyperlink xmlns:r="http://schemas.openxmlformats.org/officeDocument/2006/relationships" ref="I68" r:id="rId199"/>
    <hyperlink xmlns:r="http://schemas.openxmlformats.org/officeDocument/2006/relationships" ref="K68" r:id="rId200"/>
    <hyperlink xmlns:r="http://schemas.openxmlformats.org/officeDocument/2006/relationships" ref="N68" r:id="rId201"/>
    <hyperlink xmlns:r="http://schemas.openxmlformats.org/officeDocument/2006/relationships" ref="H69" r:id="rId202"/>
    <hyperlink xmlns:r="http://schemas.openxmlformats.org/officeDocument/2006/relationships" ref="K69" r:id="rId203"/>
    <hyperlink xmlns:r="http://schemas.openxmlformats.org/officeDocument/2006/relationships" ref="N69" r:id="rId204"/>
    <hyperlink xmlns:r="http://schemas.openxmlformats.org/officeDocument/2006/relationships" ref="I70" r:id="rId205"/>
    <hyperlink xmlns:r="http://schemas.openxmlformats.org/officeDocument/2006/relationships" ref="K70" r:id="rId206"/>
    <hyperlink xmlns:r="http://schemas.openxmlformats.org/officeDocument/2006/relationships" ref="N70" r:id="rId207"/>
    <hyperlink xmlns:r="http://schemas.openxmlformats.org/officeDocument/2006/relationships" ref="I71" r:id="rId208"/>
    <hyperlink xmlns:r="http://schemas.openxmlformats.org/officeDocument/2006/relationships" ref="K71" r:id="rId209"/>
    <hyperlink xmlns:r="http://schemas.openxmlformats.org/officeDocument/2006/relationships" ref="N71" r:id="rId210"/>
    <hyperlink xmlns:r="http://schemas.openxmlformats.org/officeDocument/2006/relationships" ref="I72" r:id="rId211"/>
    <hyperlink xmlns:r="http://schemas.openxmlformats.org/officeDocument/2006/relationships" ref="K72" r:id="rId212"/>
    <hyperlink xmlns:r="http://schemas.openxmlformats.org/officeDocument/2006/relationships" ref="N72" r:id="rId213"/>
    <hyperlink xmlns:r="http://schemas.openxmlformats.org/officeDocument/2006/relationships" ref="I73" r:id="rId214"/>
    <hyperlink xmlns:r="http://schemas.openxmlformats.org/officeDocument/2006/relationships" ref="K73" r:id="rId215"/>
    <hyperlink xmlns:r="http://schemas.openxmlformats.org/officeDocument/2006/relationships" ref="N73" r:id="rId216"/>
    <hyperlink xmlns:r="http://schemas.openxmlformats.org/officeDocument/2006/relationships" ref="I74" r:id="rId217"/>
    <hyperlink xmlns:r="http://schemas.openxmlformats.org/officeDocument/2006/relationships" ref="K74" r:id="rId218"/>
    <hyperlink xmlns:r="http://schemas.openxmlformats.org/officeDocument/2006/relationships" ref="N74" r:id="rId219"/>
    <hyperlink xmlns:r="http://schemas.openxmlformats.org/officeDocument/2006/relationships" ref="I75" r:id="rId220"/>
    <hyperlink xmlns:r="http://schemas.openxmlformats.org/officeDocument/2006/relationships" ref="K75" r:id="rId221"/>
    <hyperlink xmlns:r="http://schemas.openxmlformats.org/officeDocument/2006/relationships" ref="N75" r:id="rId222"/>
    <hyperlink xmlns:r="http://schemas.openxmlformats.org/officeDocument/2006/relationships" ref="I76" r:id="rId223"/>
    <hyperlink xmlns:r="http://schemas.openxmlformats.org/officeDocument/2006/relationships" ref="K76" r:id="rId224"/>
    <hyperlink xmlns:r="http://schemas.openxmlformats.org/officeDocument/2006/relationships" ref="N76" r:id="rId225"/>
    <hyperlink xmlns:r="http://schemas.openxmlformats.org/officeDocument/2006/relationships" ref="I77" r:id="rId226"/>
    <hyperlink xmlns:r="http://schemas.openxmlformats.org/officeDocument/2006/relationships" ref="K77" r:id="rId227"/>
    <hyperlink xmlns:r="http://schemas.openxmlformats.org/officeDocument/2006/relationships" ref="N77" r:id="rId228"/>
    <hyperlink xmlns:r="http://schemas.openxmlformats.org/officeDocument/2006/relationships" ref="I78" r:id="rId229"/>
    <hyperlink xmlns:r="http://schemas.openxmlformats.org/officeDocument/2006/relationships" ref="K78" r:id="rId230"/>
    <hyperlink xmlns:r="http://schemas.openxmlformats.org/officeDocument/2006/relationships" ref="N78" r:id="rId231"/>
    <hyperlink xmlns:r="http://schemas.openxmlformats.org/officeDocument/2006/relationships" ref="I79" r:id="rId232"/>
    <hyperlink xmlns:r="http://schemas.openxmlformats.org/officeDocument/2006/relationships" ref="K79" r:id="rId233"/>
    <hyperlink xmlns:r="http://schemas.openxmlformats.org/officeDocument/2006/relationships" ref="N79" r:id="rId234"/>
    <hyperlink xmlns:r="http://schemas.openxmlformats.org/officeDocument/2006/relationships" ref="I80" r:id="rId235"/>
    <hyperlink xmlns:r="http://schemas.openxmlformats.org/officeDocument/2006/relationships" ref="K80" r:id="rId236"/>
    <hyperlink xmlns:r="http://schemas.openxmlformats.org/officeDocument/2006/relationships" ref="N80" r:id="rId237"/>
    <hyperlink xmlns:r="http://schemas.openxmlformats.org/officeDocument/2006/relationships" ref="I81" r:id="rId238"/>
    <hyperlink xmlns:r="http://schemas.openxmlformats.org/officeDocument/2006/relationships" ref="K81" r:id="rId239"/>
    <hyperlink xmlns:r="http://schemas.openxmlformats.org/officeDocument/2006/relationships" ref="N81" r:id="rId240"/>
    <hyperlink xmlns:r="http://schemas.openxmlformats.org/officeDocument/2006/relationships" ref="I82" r:id="rId241"/>
    <hyperlink xmlns:r="http://schemas.openxmlformats.org/officeDocument/2006/relationships" ref="K82" r:id="rId242"/>
    <hyperlink xmlns:r="http://schemas.openxmlformats.org/officeDocument/2006/relationships" ref="N82" r:id="rId243"/>
    <hyperlink xmlns:r="http://schemas.openxmlformats.org/officeDocument/2006/relationships" ref="I83" r:id="rId244"/>
    <hyperlink xmlns:r="http://schemas.openxmlformats.org/officeDocument/2006/relationships" ref="K83" r:id="rId245"/>
    <hyperlink xmlns:r="http://schemas.openxmlformats.org/officeDocument/2006/relationships" ref="N83" r:id="rId246"/>
    <hyperlink xmlns:r="http://schemas.openxmlformats.org/officeDocument/2006/relationships" ref="I84" r:id="rId247"/>
    <hyperlink xmlns:r="http://schemas.openxmlformats.org/officeDocument/2006/relationships" ref="K84" r:id="rId248"/>
    <hyperlink xmlns:r="http://schemas.openxmlformats.org/officeDocument/2006/relationships" ref="N84" r:id="rId249"/>
    <hyperlink xmlns:r="http://schemas.openxmlformats.org/officeDocument/2006/relationships" ref="I85" r:id="rId250"/>
    <hyperlink xmlns:r="http://schemas.openxmlformats.org/officeDocument/2006/relationships" ref="K85" r:id="rId251"/>
    <hyperlink xmlns:r="http://schemas.openxmlformats.org/officeDocument/2006/relationships" ref="N85" r:id="rId252"/>
    <hyperlink xmlns:r="http://schemas.openxmlformats.org/officeDocument/2006/relationships" ref="I86" r:id="rId253"/>
    <hyperlink xmlns:r="http://schemas.openxmlformats.org/officeDocument/2006/relationships" ref="K86" r:id="rId254"/>
    <hyperlink xmlns:r="http://schemas.openxmlformats.org/officeDocument/2006/relationships" ref="N86" r:id="rId255"/>
    <hyperlink xmlns:r="http://schemas.openxmlformats.org/officeDocument/2006/relationships" ref="I87" r:id="rId256"/>
    <hyperlink xmlns:r="http://schemas.openxmlformats.org/officeDocument/2006/relationships" ref="K87" r:id="rId257"/>
    <hyperlink xmlns:r="http://schemas.openxmlformats.org/officeDocument/2006/relationships" ref="N87" r:id="rId258"/>
    <hyperlink xmlns:r="http://schemas.openxmlformats.org/officeDocument/2006/relationships" ref="I88" r:id="rId259"/>
    <hyperlink xmlns:r="http://schemas.openxmlformats.org/officeDocument/2006/relationships" ref="K88" r:id="rId260"/>
    <hyperlink xmlns:r="http://schemas.openxmlformats.org/officeDocument/2006/relationships" ref="N88" r:id="rId261"/>
    <hyperlink xmlns:r="http://schemas.openxmlformats.org/officeDocument/2006/relationships" ref="I89" r:id="rId262"/>
    <hyperlink xmlns:r="http://schemas.openxmlformats.org/officeDocument/2006/relationships" ref="K89" r:id="rId263"/>
    <hyperlink xmlns:r="http://schemas.openxmlformats.org/officeDocument/2006/relationships" ref="N89" r:id="rId264"/>
    <hyperlink xmlns:r="http://schemas.openxmlformats.org/officeDocument/2006/relationships" ref="I90" r:id="rId265"/>
    <hyperlink xmlns:r="http://schemas.openxmlformats.org/officeDocument/2006/relationships" ref="K90" r:id="rId266"/>
    <hyperlink xmlns:r="http://schemas.openxmlformats.org/officeDocument/2006/relationships" ref="N90" r:id="rId267"/>
    <hyperlink xmlns:r="http://schemas.openxmlformats.org/officeDocument/2006/relationships" ref="I91" r:id="rId268"/>
    <hyperlink xmlns:r="http://schemas.openxmlformats.org/officeDocument/2006/relationships" ref="K91" r:id="rId269"/>
    <hyperlink xmlns:r="http://schemas.openxmlformats.org/officeDocument/2006/relationships" ref="N91" r:id="rId270"/>
    <hyperlink xmlns:r="http://schemas.openxmlformats.org/officeDocument/2006/relationships" ref="I92" r:id="rId271"/>
    <hyperlink xmlns:r="http://schemas.openxmlformats.org/officeDocument/2006/relationships" ref="K92" r:id="rId272"/>
    <hyperlink xmlns:r="http://schemas.openxmlformats.org/officeDocument/2006/relationships" ref="N92" r:id="rId273"/>
    <hyperlink xmlns:r="http://schemas.openxmlformats.org/officeDocument/2006/relationships" ref="I93" r:id="rId274"/>
    <hyperlink xmlns:r="http://schemas.openxmlformats.org/officeDocument/2006/relationships" ref="K93" r:id="rId275"/>
    <hyperlink xmlns:r="http://schemas.openxmlformats.org/officeDocument/2006/relationships" ref="N93" r:id="rId276"/>
    <hyperlink xmlns:r="http://schemas.openxmlformats.org/officeDocument/2006/relationships" ref="I94" r:id="rId277"/>
    <hyperlink xmlns:r="http://schemas.openxmlformats.org/officeDocument/2006/relationships" ref="K94" r:id="rId278"/>
    <hyperlink xmlns:r="http://schemas.openxmlformats.org/officeDocument/2006/relationships" ref="N94" r:id="rId279"/>
    <hyperlink xmlns:r="http://schemas.openxmlformats.org/officeDocument/2006/relationships" ref="I95" r:id="rId280"/>
    <hyperlink xmlns:r="http://schemas.openxmlformats.org/officeDocument/2006/relationships" ref="K95" r:id="rId281"/>
    <hyperlink xmlns:r="http://schemas.openxmlformats.org/officeDocument/2006/relationships" ref="N95" r:id="rId282"/>
    <hyperlink xmlns:r="http://schemas.openxmlformats.org/officeDocument/2006/relationships" ref="I96" r:id="rId283"/>
    <hyperlink xmlns:r="http://schemas.openxmlformats.org/officeDocument/2006/relationships" ref="K96" r:id="rId284"/>
    <hyperlink xmlns:r="http://schemas.openxmlformats.org/officeDocument/2006/relationships" ref="N96" r:id="rId285"/>
    <hyperlink xmlns:r="http://schemas.openxmlformats.org/officeDocument/2006/relationships" ref="I97" r:id="rId286"/>
    <hyperlink xmlns:r="http://schemas.openxmlformats.org/officeDocument/2006/relationships" ref="K97" r:id="rId287"/>
    <hyperlink xmlns:r="http://schemas.openxmlformats.org/officeDocument/2006/relationships" ref="N97" r:id="rId288"/>
    <hyperlink xmlns:r="http://schemas.openxmlformats.org/officeDocument/2006/relationships" ref="I98" r:id="rId289"/>
    <hyperlink xmlns:r="http://schemas.openxmlformats.org/officeDocument/2006/relationships" ref="K98" r:id="rId290"/>
    <hyperlink xmlns:r="http://schemas.openxmlformats.org/officeDocument/2006/relationships" ref="N98" r:id="rId291"/>
    <hyperlink xmlns:r="http://schemas.openxmlformats.org/officeDocument/2006/relationships" ref="I99" r:id="rId292"/>
    <hyperlink xmlns:r="http://schemas.openxmlformats.org/officeDocument/2006/relationships" ref="K99" r:id="rId293"/>
    <hyperlink xmlns:r="http://schemas.openxmlformats.org/officeDocument/2006/relationships" ref="N99" r:id="rId294"/>
    <hyperlink xmlns:r="http://schemas.openxmlformats.org/officeDocument/2006/relationships" ref="I100" r:id="rId295"/>
    <hyperlink xmlns:r="http://schemas.openxmlformats.org/officeDocument/2006/relationships" ref="K100" r:id="rId296"/>
    <hyperlink xmlns:r="http://schemas.openxmlformats.org/officeDocument/2006/relationships" ref="N100" r:id="rId297"/>
    <hyperlink xmlns:r="http://schemas.openxmlformats.org/officeDocument/2006/relationships" ref="I101" r:id="rId298"/>
    <hyperlink xmlns:r="http://schemas.openxmlformats.org/officeDocument/2006/relationships" ref="K101" r:id="rId299"/>
    <hyperlink xmlns:r="http://schemas.openxmlformats.org/officeDocument/2006/relationships" ref="N101" r:id="rId300"/>
    <hyperlink xmlns:r="http://schemas.openxmlformats.org/officeDocument/2006/relationships" ref="I102" r:id="rId301"/>
    <hyperlink xmlns:r="http://schemas.openxmlformats.org/officeDocument/2006/relationships" ref="K102" r:id="rId302"/>
    <hyperlink xmlns:r="http://schemas.openxmlformats.org/officeDocument/2006/relationships" ref="N102" r:id="rId303"/>
    <hyperlink xmlns:r="http://schemas.openxmlformats.org/officeDocument/2006/relationships" ref="I103" r:id="rId304"/>
    <hyperlink xmlns:r="http://schemas.openxmlformats.org/officeDocument/2006/relationships" ref="K103" r:id="rId305"/>
    <hyperlink xmlns:r="http://schemas.openxmlformats.org/officeDocument/2006/relationships" ref="N103" r:id="rId306"/>
    <hyperlink xmlns:r="http://schemas.openxmlformats.org/officeDocument/2006/relationships" ref="I104" r:id="rId307"/>
    <hyperlink xmlns:r="http://schemas.openxmlformats.org/officeDocument/2006/relationships" ref="K104" r:id="rId308"/>
    <hyperlink xmlns:r="http://schemas.openxmlformats.org/officeDocument/2006/relationships" ref="N104" r:id="rId309"/>
    <hyperlink xmlns:r="http://schemas.openxmlformats.org/officeDocument/2006/relationships" ref="I105" r:id="rId310"/>
    <hyperlink xmlns:r="http://schemas.openxmlformats.org/officeDocument/2006/relationships" ref="K105" r:id="rId311"/>
    <hyperlink xmlns:r="http://schemas.openxmlformats.org/officeDocument/2006/relationships" ref="N105" r:id="rId312"/>
    <hyperlink xmlns:r="http://schemas.openxmlformats.org/officeDocument/2006/relationships" ref="H106" r:id="rId313"/>
    <hyperlink xmlns:r="http://schemas.openxmlformats.org/officeDocument/2006/relationships" ref="I106" r:id="rId314"/>
    <hyperlink xmlns:r="http://schemas.openxmlformats.org/officeDocument/2006/relationships" ref="K106" r:id="rId315"/>
    <hyperlink xmlns:r="http://schemas.openxmlformats.org/officeDocument/2006/relationships" ref="N106" r:id="rId316"/>
    <hyperlink xmlns:r="http://schemas.openxmlformats.org/officeDocument/2006/relationships" ref="I107" r:id="rId317"/>
    <hyperlink xmlns:r="http://schemas.openxmlformats.org/officeDocument/2006/relationships" ref="K107" r:id="rId318"/>
    <hyperlink xmlns:r="http://schemas.openxmlformats.org/officeDocument/2006/relationships" ref="N107" r:id="rId319"/>
    <hyperlink xmlns:r="http://schemas.openxmlformats.org/officeDocument/2006/relationships" ref="H108" r:id="rId320"/>
    <hyperlink xmlns:r="http://schemas.openxmlformats.org/officeDocument/2006/relationships" ref="K108" r:id="rId321"/>
    <hyperlink xmlns:r="http://schemas.openxmlformats.org/officeDocument/2006/relationships" ref="N108" r:id="rId322"/>
    <hyperlink xmlns:r="http://schemas.openxmlformats.org/officeDocument/2006/relationships" ref="I109" r:id="rId323"/>
    <hyperlink xmlns:r="http://schemas.openxmlformats.org/officeDocument/2006/relationships" ref="K109" r:id="rId324"/>
    <hyperlink xmlns:r="http://schemas.openxmlformats.org/officeDocument/2006/relationships" ref="N109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K110" r:id="rId328"/>
    <hyperlink xmlns:r="http://schemas.openxmlformats.org/officeDocument/2006/relationships" ref="N110" r:id="rId329"/>
    <hyperlink xmlns:r="http://schemas.openxmlformats.org/officeDocument/2006/relationships" ref="I111" r:id="rId330"/>
    <hyperlink xmlns:r="http://schemas.openxmlformats.org/officeDocument/2006/relationships" ref="K111" r:id="rId331"/>
    <hyperlink xmlns:r="http://schemas.openxmlformats.org/officeDocument/2006/relationships" ref="N111" r:id="rId332"/>
    <hyperlink xmlns:r="http://schemas.openxmlformats.org/officeDocument/2006/relationships" ref="I112" r:id="rId333"/>
    <hyperlink xmlns:r="http://schemas.openxmlformats.org/officeDocument/2006/relationships" ref="K112" r:id="rId334"/>
    <hyperlink xmlns:r="http://schemas.openxmlformats.org/officeDocument/2006/relationships" ref="N112" r:id="rId335"/>
    <hyperlink xmlns:r="http://schemas.openxmlformats.org/officeDocument/2006/relationships" ref="I113" r:id="rId336"/>
    <hyperlink xmlns:r="http://schemas.openxmlformats.org/officeDocument/2006/relationships" ref="K113" r:id="rId337"/>
    <hyperlink xmlns:r="http://schemas.openxmlformats.org/officeDocument/2006/relationships" ref="N113" r:id="rId338"/>
    <hyperlink xmlns:r="http://schemas.openxmlformats.org/officeDocument/2006/relationships" ref="I114" r:id="rId339"/>
    <hyperlink xmlns:r="http://schemas.openxmlformats.org/officeDocument/2006/relationships" ref="K114" r:id="rId340"/>
    <hyperlink xmlns:r="http://schemas.openxmlformats.org/officeDocument/2006/relationships" ref="N114" r:id="rId341"/>
    <hyperlink xmlns:r="http://schemas.openxmlformats.org/officeDocument/2006/relationships" ref="H115" r:id="rId342"/>
    <hyperlink xmlns:r="http://schemas.openxmlformats.org/officeDocument/2006/relationships" ref="I115" r:id="rId343"/>
    <hyperlink xmlns:r="http://schemas.openxmlformats.org/officeDocument/2006/relationships" ref="K115" r:id="rId344"/>
    <hyperlink xmlns:r="http://schemas.openxmlformats.org/officeDocument/2006/relationships" ref="N115" r:id="rId345"/>
    <hyperlink xmlns:r="http://schemas.openxmlformats.org/officeDocument/2006/relationships" ref="I116" r:id="rId346"/>
    <hyperlink xmlns:r="http://schemas.openxmlformats.org/officeDocument/2006/relationships" ref="N116" r:id="rId347"/>
    <hyperlink xmlns:r="http://schemas.openxmlformats.org/officeDocument/2006/relationships" ref="I117" r:id="rId348"/>
    <hyperlink xmlns:r="http://schemas.openxmlformats.org/officeDocument/2006/relationships" ref="N117" r:id="rId349"/>
    <hyperlink xmlns:r="http://schemas.openxmlformats.org/officeDocument/2006/relationships" ref="H118" r:id="rId350"/>
    <hyperlink xmlns:r="http://schemas.openxmlformats.org/officeDocument/2006/relationships" ref="N118" r:id="rId351"/>
    <hyperlink xmlns:r="http://schemas.openxmlformats.org/officeDocument/2006/relationships" ref="H119" r:id="rId352"/>
    <hyperlink xmlns:r="http://schemas.openxmlformats.org/officeDocument/2006/relationships" ref="I119" r:id="rId353"/>
    <hyperlink xmlns:r="http://schemas.openxmlformats.org/officeDocument/2006/relationships" ref="N119" r:id="rId354"/>
    <hyperlink xmlns:r="http://schemas.openxmlformats.org/officeDocument/2006/relationships" ref="I120" r:id="rId355"/>
    <hyperlink xmlns:r="http://schemas.openxmlformats.org/officeDocument/2006/relationships" ref="N120" r:id="rId356"/>
    <hyperlink xmlns:r="http://schemas.openxmlformats.org/officeDocument/2006/relationships" ref="I121" r:id="rId357"/>
    <hyperlink xmlns:r="http://schemas.openxmlformats.org/officeDocument/2006/relationships" ref="N121" r:id="rId358"/>
    <hyperlink xmlns:r="http://schemas.openxmlformats.org/officeDocument/2006/relationships" ref="I122" r:id="rId359"/>
    <hyperlink xmlns:r="http://schemas.openxmlformats.org/officeDocument/2006/relationships" ref="N122" r:id="rId360"/>
    <hyperlink xmlns:r="http://schemas.openxmlformats.org/officeDocument/2006/relationships" ref="I123" r:id="rId361"/>
    <hyperlink xmlns:r="http://schemas.openxmlformats.org/officeDocument/2006/relationships" ref="N123" r:id="rId362"/>
    <hyperlink xmlns:r="http://schemas.openxmlformats.org/officeDocument/2006/relationships" ref="H124" r:id="rId363"/>
    <hyperlink xmlns:r="http://schemas.openxmlformats.org/officeDocument/2006/relationships" ref="N124" r:id="rId364"/>
    <hyperlink xmlns:r="http://schemas.openxmlformats.org/officeDocument/2006/relationships" ref="H125" r:id="rId365"/>
    <hyperlink xmlns:r="http://schemas.openxmlformats.org/officeDocument/2006/relationships" ref="N125" r:id="rId366"/>
    <hyperlink xmlns:r="http://schemas.openxmlformats.org/officeDocument/2006/relationships" ref="H126" r:id="rId367"/>
    <hyperlink xmlns:r="http://schemas.openxmlformats.org/officeDocument/2006/relationships" ref="N126" r:id="rId368"/>
    <hyperlink xmlns:r="http://schemas.openxmlformats.org/officeDocument/2006/relationships" ref="H127" r:id="rId369"/>
    <hyperlink xmlns:r="http://schemas.openxmlformats.org/officeDocument/2006/relationships" ref="N127" r:id="rId370"/>
    <hyperlink xmlns:r="http://schemas.openxmlformats.org/officeDocument/2006/relationships" ref="I128" r:id="rId371"/>
    <hyperlink xmlns:r="http://schemas.openxmlformats.org/officeDocument/2006/relationships" ref="N128" r:id="rId372"/>
    <hyperlink xmlns:r="http://schemas.openxmlformats.org/officeDocument/2006/relationships" ref="I129" r:id="rId373"/>
    <hyperlink xmlns:r="http://schemas.openxmlformats.org/officeDocument/2006/relationships" ref="N129" r:id="rId374"/>
    <hyperlink xmlns:r="http://schemas.openxmlformats.org/officeDocument/2006/relationships" ref="I130" r:id="rId375"/>
    <hyperlink xmlns:r="http://schemas.openxmlformats.org/officeDocument/2006/relationships" ref="N130" r:id="rId376"/>
    <hyperlink xmlns:r="http://schemas.openxmlformats.org/officeDocument/2006/relationships" ref="I131" r:id="rId377"/>
    <hyperlink xmlns:r="http://schemas.openxmlformats.org/officeDocument/2006/relationships" ref="N131" r:id="rId378"/>
    <hyperlink xmlns:r="http://schemas.openxmlformats.org/officeDocument/2006/relationships" ref="I132" r:id="rId379"/>
    <hyperlink xmlns:r="http://schemas.openxmlformats.org/officeDocument/2006/relationships" ref="N132" r:id="rId380"/>
    <hyperlink xmlns:r="http://schemas.openxmlformats.org/officeDocument/2006/relationships" ref="H133" r:id="rId381"/>
    <hyperlink xmlns:r="http://schemas.openxmlformats.org/officeDocument/2006/relationships" ref="N133" r:id="rId382"/>
    <hyperlink xmlns:r="http://schemas.openxmlformats.org/officeDocument/2006/relationships" ref="I134" r:id="rId383"/>
    <hyperlink xmlns:r="http://schemas.openxmlformats.org/officeDocument/2006/relationships" ref="N134" r:id="rId384"/>
    <hyperlink xmlns:r="http://schemas.openxmlformats.org/officeDocument/2006/relationships" ref="I135" r:id="rId385"/>
    <hyperlink xmlns:r="http://schemas.openxmlformats.org/officeDocument/2006/relationships" ref="N135" r:id="rId386"/>
    <hyperlink xmlns:r="http://schemas.openxmlformats.org/officeDocument/2006/relationships" ref="I136" r:id="rId387"/>
    <hyperlink xmlns:r="http://schemas.openxmlformats.org/officeDocument/2006/relationships" ref="N136" r:id="rId388"/>
    <hyperlink xmlns:r="http://schemas.openxmlformats.org/officeDocument/2006/relationships" ref="I137" r:id="rId389"/>
    <hyperlink xmlns:r="http://schemas.openxmlformats.org/officeDocument/2006/relationships" ref="N137" r:id="rId390"/>
    <hyperlink xmlns:r="http://schemas.openxmlformats.org/officeDocument/2006/relationships" ref="I138" r:id="rId391"/>
    <hyperlink xmlns:r="http://schemas.openxmlformats.org/officeDocument/2006/relationships" ref="N138" r:id="rId392"/>
    <hyperlink xmlns:r="http://schemas.openxmlformats.org/officeDocument/2006/relationships" ref="H139" r:id="rId393"/>
    <hyperlink xmlns:r="http://schemas.openxmlformats.org/officeDocument/2006/relationships" ref="I139" r:id="rId394"/>
    <hyperlink xmlns:r="http://schemas.openxmlformats.org/officeDocument/2006/relationships" ref="N139" r:id="rId395"/>
    <hyperlink xmlns:r="http://schemas.openxmlformats.org/officeDocument/2006/relationships" ref="I140" r:id="rId396"/>
    <hyperlink xmlns:r="http://schemas.openxmlformats.org/officeDocument/2006/relationships" ref="N140" r:id="rId397"/>
    <hyperlink xmlns:r="http://schemas.openxmlformats.org/officeDocument/2006/relationships" ref="I141" r:id="rId398"/>
    <hyperlink xmlns:r="http://schemas.openxmlformats.org/officeDocument/2006/relationships" ref="N141" r:id="rId399"/>
    <hyperlink xmlns:r="http://schemas.openxmlformats.org/officeDocument/2006/relationships" ref="I142" r:id="rId400"/>
    <hyperlink xmlns:r="http://schemas.openxmlformats.org/officeDocument/2006/relationships" ref="N142" r:id="rId401"/>
    <hyperlink xmlns:r="http://schemas.openxmlformats.org/officeDocument/2006/relationships" ref="I143" r:id="rId402"/>
    <hyperlink xmlns:r="http://schemas.openxmlformats.org/officeDocument/2006/relationships" ref="N143" r:id="rId403"/>
    <hyperlink xmlns:r="http://schemas.openxmlformats.org/officeDocument/2006/relationships" ref="I144" r:id="rId404"/>
    <hyperlink xmlns:r="http://schemas.openxmlformats.org/officeDocument/2006/relationships" ref="N144" r:id="rId405"/>
    <hyperlink xmlns:r="http://schemas.openxmlformats.org/officeDocument/2006/relationships" ref="H145" r:id="rId406"/>
    <hyperlink xmlns:r="http://schemas.openxmlformats.org/officeDocument/2006/relationships" ref="N145" r:id="rId407"/>
    <hyperlink xmlns:r="http://schemas.openxmlformats.org/officeDocument/2006/relationships" ref="I146" r:id="rId408"/>
    <hyperlink xmlns:r="http://schemas.openxmlformats.org/officeDocument/2006/relationships" ref="N146" r:id="rId409"/>
    <hyperlink xmlns:r="http://schemas.openxmlformats.org/officeDocument/2006/relationships" ref="I147" r:id="rId410"/>
    <hyperlink xmlns:r="http://schemas.openxmlformats.org/officeDocument/2006/relationships" ref="N147" r:id="rId411"/>
    <hyperlink xmlns:r="http://schemas.openxmlformats.org/officeDocument/2006/relationships" ref="I148" r:id="rId412"/>
    <hyperlink xmlns:r="http://schemas.openxmlformats.org/officeDocument/2006/relationships" ref="N148" r:id="rId413"/>
    <hyperlink xmlns:r="http://schemas.openxmlformats.org/officeDocument/2006/relationships" ref="H149" r:id="rId414"/>
    <hyperlink xmlns:r="http://schemas.openxmlformats.org/officeDocument/2006/relationships" ref="I149" r:id="rId415"/>
    <hyperlink xmlns:r="http://schemas.openxmlformats.org/officeDocument/2006/relationships" ref="N149" r:id="rId416"/>
    <hyperlink xmlns:r="http://schemas.openxmlformats.org/officeDocument/2006/relationships" ref="I150" r:id="rId417"/>
    <hyperlink xmlns:r="http://schemas.openxmlformats.org/officeDocument/2006/relationships" ref="N150" r:id="rId418"/>
    <hyperlink xmlns:r="http://schemas.openxmlformats.org/officeDocument/2006/relationships" ref="I151" r:id="rId419"/>
    <hyperlink xmlns:r="http://schemas.openxmlformats.org/officeDocument/2006/relationships" ref="N151" r:id="rId420"/>
    <hyperlink xmlns:r="http://schemas.openxmlformats.org/officeDocument/2006/relationships" ref="I152" r:id="rId421"/>
    <hyperlink xmlns:r="http://schemas.openxmlformats.org/officeDocument/2006/relationships" ref="N152" r:id="rId422"/>
    <hyperlink xmlns:r="http://schemas.openxmlformats.org/officeDocument/2006/relationships" ref="I153" r:id="rId423"/>
    <hyperlink xmlns:r="http://schemas.openxmlformats.org/officeDocument/2006/relationships" ref="N153" r:id="rId424"/>
    <hyperlink xmlns:r="http://schemas.openxmlformats.org/officeDocument/2006/relationships" ref="I154" r:id="rId425"/>
    <hyperlink xmlns:r="http://schemas.openxmlformats.org/officeDocument/2006/relationships" ref="N154" r:id="rId426"/>
    <hyperlink xmlns:r="http://schemas.openxmlformats.org/officeDocument/2006/relationships" ref="H155" r:id="rId427"/>
    <hyperlink xmlns:r="http://schemas.openxmlformats.org/officeDocument/2006/relationships" ref="N155" r:id="rId428"/>
    <hyperlink xmlns:r="http://schemas.openxmlformats.org/officeDocument/2006/relationships" ref="H156" r:id="rId429"/>
    <hyperlink xmlns:r="http://schemas.openxmlformats.org/officeDocument/2006/relationships" ref="I156" r:id="rId430"/>
    <hyperlink xmlns:r="http://schemas.openxmlformats.org/officeDocument/2006/relationships" ref="N156" r:id="rId431"/>
    <hyperlink xmlns:r="http://schemas.openxmlformats.org/officeDocument/2006/relationships" ref="I157" r:id="rId432"/>
    <hyperlink xmlns:r="http://schemas.openxmlformats.org/officeDocument/2006/relationships" ref="N157" r:id="rId433"/>
    <hyperlink xmlns:r="http://schemas.openxmlformats.org/officeDocument/2006/relationships" ref="I158" r:id="rId434"/>
    <hyperlink xmlns:r="http://schemas.openxmlformats.org/officeDocument/2006/relationships" ref="N158" r:id="rId435"/>
    <hyperlink xmlns:r="http://schemas.openxmlformats.org/officeDocument/2006/relationships" ref="H159" r:id="rId436"/>
    <hyperlink xmlns:r="http://schemas.openxmlformats.org/officeDocument/2006/relationships" ref="I159" r:id="rId437"/>
    <hyperlink xmlns:r="http://schemas.openxmlformats.org/officeDocument/2006/relationships" ref="N159" r:id="rId438"/>
    <hyperlink xmlns:r="http://schemas.openxmlformats.org/officeDocument/2006/relationships" ref="I160" r:id="rId439"/>
    <hyperlink xmlns:r="http://schemas.openxmlformats.org/officeDocument/2006/relationships" ref="N160" r:id="rId440"/>
    <hyperlink xmlns:r="http://schemas.openxmlformats.org/officeDocument/2006/relationships" ref="H161" r:id="rId441"/>
    <hyperlink xmlns:r="http://schemas.openxmlformats.org/officeDocument/2006/relationships" ref="N161" r:id="rId442"/>
    <hyperlink xmlns:r="http://schemas.openxmlformats.org/officeDocument/2006/relationships" ref="I162" r:id="rId443"/>
    <hyperlink xmlns:r="http://schemas.openxmlformats.org/officeDocument/2006/relationships" ref="N162" r:id="rId444"/>
    <hyperlink xmlns:r="http://schemas.openxmlformats.org/officeDocument/2006/relationships" ref="H163" r:id="rId445"/>
    <hyperlink xmlns:r="http://schemas.openxmlformats.org/officeDocument/2006/relationships" ref="N163" r:id="rId446"/>
    <hyperlink xmlns:r="http://schemas.openxmlformats.org/officeDocument/2006/relationships" ref="I164" r:id="rId447"/>
    <hyperlink xmlns:r="http://schemas.openxmlformats.org/officeDocument/2006/relationships" ref="N164" r:id="rId448"/>
    <hyperlink xmlns:r="http://schemas.openxmlformats.org/officeDocument/2006/relationships" ref="H165" r:id="rId449"/>
    <hyperlink xmlns:r="http://schemas.openxmlformats.org/officeDocument/2006/relationships" ref="N165" r:id="rId450"/>
    <hyperlink xmlns:r="http://schemas.openxmlformats.org/officeDocument/2006/relationships" ref="H166" r:id="rId451"/>
    <hyperlink xmlns:r="http://schemas.openxmlformats.org/officeDocument/2006/relationships" ref="N166" r:id="rId452"/>
    <hyperlink xmlns:r="http://schemas.openxmlformats.org/officeDocument/2006/relationships" ref="I167" r:id="rId453"/>
    <hyperlink xmlns:r="http://schemas.openxmlformats.org/officeDocument/2006/relationships" ref="N167" r:id="rId454"/>
    <hyperlink xmlns:r="http://schemas.openxmlformats.org/officeDocument/2006/relationships" ref="H168" r:id="rId455"/>
    <hyperlink xmlns:r="http://schemas.openxmlformats.org/officeDocument/2006/relationships" ref="N168" r:id="rId456"/>
    <hyperlink xmlns:r="http://schemas.openxmlformats.org/officeDocument/2006/relationships" ref="H169" r:id="rId457"/>
    <hyperlink xmlns:r="http://schemas.openxmlformats.org/officeDocument/2006/relationships" ref="I169" r:id="rId458"/>
    <hyperlink xmlns:r="http://schemas.openxmlformats.org/officeDocument/2006/relationships" ref="N169" r:id="rId459"/>
    <hyperlink xmlns:r="http://schemas.openxmlformats.org/officeDocument/2006/relationships" ref="I170" r:id="rId460"/>
    <hyperlink xmlns:r="http://schemas.openxmlformats.org/officeDocument/2006/relationships" ref="N170" r:id="rId461"/>
    <hyperlink xmlns:r="http://schemas.openxmlformats.org/officeDocument/2006/relationships" ref="I171" r:id="rId462"/>
    <hyperlink xmlns:r="http://schemas.openxmlformats.org/officeDocument/2006/relationships" ref="N171" r:id="rId463"/>
    <hyperlink xmlns:r="http://schemas.openxmlformats.org/officeDocument/2006/relationships" ref="I172" r:id="rId464"/>
    <hyperlink xmlns:r="http://schemas.openxmlformats.org/officeDocument/2006/relationships" ref="N172" r:id="rId465"/>
    <hyperlink xmlns:r="http://schemas.openxmlformats.org/officeDocument/2006/relationships" ref="H173" r:id="rId466"/>
    <hyperlink xmlns:r="http://schemas.openxmlformats.org/officeDocument/2006/relationships" ref="N173" r:id="rId467"/>
    <hyperlink xmlns:r="http://schemas.openxmlformats.org/officeDocument/2006/relationships" ref="I174" r:id="rId468"/>
    <hyperlink xmlns:r="http://schemas.openxmlformats.org/officeDocument/2006/relationships" ref="N174" r:id="rId469"/>
    <hyperlink xmlns:r="http://schemas.openxmlformats.org/officeDocument/2006/relationships" ref="H175" r:id="rId470"/>
    <hyperlink xmlns:r="http://schemas.openxmlformats.org/officeDocument/2006/relationships" ref="N175" r:id="rId471"/>
    <hyperlink xmlns:r="http://schemas.openxmlformats.org/officeDocument/2006/relationships" ref="I176" r:id="rId472"/>
    <hyperlink xmlns:r="http://schemas.openxmlformats.org/officeDocument/2006/relationships" ref="N176" r:id="rId473"/>
    <hyperlink xmlns:r="http://schemas.openxmlformats.org/officeDocument/2006/relationships" ref="I177" r:id="rId474"/>
    <hyperlink xmlns:r="http://schemas.openxmlformats.org/officeDocument/2006/relationships" ref="N177" r:id="rId475"/>
    <hyperlink xmlns:r="http://schemas.openxmlformats.org/officeDocument/2006/relationships" ref="H178" r:id="rId476"/>
    <hyperlink xmlns:r="http://schemas.openxmlformats.org/officeDocument/2006/relationships" ref="I178" r:id="rId477"/>
    <hyperlink xmlns:r="http://schemas.openxmlformats.org/officeDocument/2006/relationships" ref="N178" r:id="rId478"/>
    <hyperlink xmlns:r="http://schemas.openxmlformats.org/officeDocument/2006/relationships" ref="I179" r:id="rId479"/>
    <hyperlink xmlns:r="http://schemas.openxmlformats.org/officeDocument/2006/relationships" ref="N179" r:id="rId480"/>
    <hyperlink xmlns:r="http://schemas.openxmlformats.org/officeDocument/2006/relationships" ref="I180" r:id="rId481"/>
    <hyperlink xmlns:r="http://schemas.openxmlformats.org/officeDocument/2006/relationships" ref="N180" r:id="rId482"/>
    <hyperlink xmlns:r="http://schemas.openxmlformats.org/officeDocument/2006/relationships" ref="H181" r:id="rId483"/>
    <hyperlink xmlns:r="http://schemas.openxmlformats.org/officeDocument/2006/relationships" ref="N181" r:id="rId484"/>
    <hyperlink xmlns:r="http://schemas.openxmlformats.org/officeDocument/2006/relationships" ref="I182" r:id="rId485"/>
    <hyperlink xmlns:r="http://schemas.openxmlformats.org/officeDocument/2006/relationships" ref="N182" r:id="rId486"/>
    <hyperlink xmlns:r="http://schemas.openxmlformats.org/officeDocument/2006/relationships" ref="I183" r:id="rId487"/>
    <hyperlink xmlns:r="http://schemas.openxmlformats.org/officeDocument/2006/relationships" ref="N183" r:id="rId488"/>
    <hyperlink xmlns:r="http://schemas.openxmlformats.org/officeDocument/2006/relationships" ref="I184" r:id="rId489"/>
    <hyperlink xmlns:r="http://schemas.openxmlformats.org/officeDocument/2006/relationships" ref="N184" r:id="rId490"/>
    <hyperlink xmlns:r="http://schemas.openxmlformats.org/officeDocument/2006/relationships" ref="I185" r:id="rId491"/>
    <hyperlink xmlns:r="http://schemas.openxmlformats.org/officeDocument/2006/relationships" ref="N185" r:id="rId492"/>
    <hyperlink xmlns:r="http://schemas.openxmlformats.org/officeDocument/2006/relationships" ref="I186" r:id="rId493"/>
    <hyperlink xmlns:r="http://schemas.openxmlformats.org/officeDocument/2006/relationships" ref="N186" r:id="rId494"/>
    <hyperlink xmlns:r="http://schemas.openxmlformats.org/officeDocument/2006/relationships" ref="I187" r:id="rId495"/>
    <hyperlink xmlns:r="http://schemas.openxmlformats.org/officeDocument/2006/relationships" ref="N187" r:id="rId496"/>
    <hyperlink xmlns:r="http://schemas.openxmlformats.org/officeDocument/2006/relationships" ref="I188" r:id="rId497"/>
    <hyperlink xmlns:r="http://schemas.openxmlformats.org/officeDocument/2006/relationships" ref="N188" r:id="rId498"/>
    <hyperlink xmlns:r="http://schemas.openxmlformats.org/officeDocument/2006/relationships" ref="I189" r:id="rId499"/>
    <hyperlink xmlns:r="http://schemas.openxmlformats.org/officeDocument/2006/relationships" ref="N189" r:id="rId500"/>
    <hyperlink xmlns:r="http://schemas.openxmlformats.org/officeDocument/2006/relationships" ref="I190" r:id="rId501"/>
    <hyperlink xmlns:r="http://schemas.openxmlformats.org/officeDocument/2006/relationships" ref="N190" r:id="rId502"/>
    <hyperlink xmlns:r="http://schemas.openxmlformats.org/officeDocument/2006/relationships" ref="I191" r:id="rId503"/>
    <hyperlink xmlns:r="http://schemas.openxmlformats.org/officeDocument/2006/relationships" ref="N191" r:id="rId504"/>
    <hyperlink xmlns:r="http://schemas.openxmlformats.org/officeDocument/2006/relationships" ref="I192" r:id="rId505"/>
    <hyperlink xmlns:r="http://schemas.openxmlformats.org/officeDocument/2006/relationships" ref="N192" r:id="rId506"/>
    <hyperlink xmlns:r="http://schemas.openxmlformats.org/officeDocument/2006/relationships" ref="H193" r:id="rId507"/>
    <hyperlink xmlns:r="http://schemas.openxmlformats.org/officeDocument/2006/relationships" ref="N193" r:id="rId508"/>
    <hyperlink xmlns:r="http://schemas.openxmlformats.org/officeDocument/2006/relationships" ref="I194" r:id="rId509"/>
    <hyperlink xmlns:r="http://schemas.openxmlformats.org/officeDocument/2006/relationships" ref="N194" r:id="rId510"/>
    <hyperlink xmlns:r="http://schemas.openxmlformats.org/officeDocument/2006/relationships" ref="I195" r:id="rId511"/>
    <hyperlink xmlns:r="http://schemas.openxmlformats.org/officeDocument/2006/relationships" ref="N195" r:id="rId512"/>
    <hyperlink xmlns:r="http://schemas.openxmlformats.org/officeDocument/2006/relationships" ref="I196" r:id="rId513"/>
    <hyperlink xmlns:r="http://schemas.openxmlformats.org/officeDocument/2006/relationships" ref="N196" r:id="rId514"/>
    <hyperlink xmlns:r="http://schemas.openxmlformats.org/officeDocument/2006/relationships" ref="I197" r:id="rId515"/>
    <hyperlink xmlns:r="http://schemas.openxmlformats.org/officeDocument/2006/relationships" ref="N197" r:id="rId516"/>
    <hyperlink xmlns:r="http://schemas.openxmlformats.org/officeDocument/2006/relationships" ref="I198" r:id="rId517"/>
    <hyperlink xmlns:r="http://schemas.openxmlformats.org/officeDocument/2006/relationships" ref="N198" r:id="rId518"/>
    <hyperlink xmlns:r="http://schemas.openxmlformats.org/officeDocument/2006/relationships" ref="I199" r:id="rId519"/>
    <hyperlink xmlns:r="http://schemas.openxmlformats.org/officeDocument/2006/relationships" ref="N199" r:id="rId520"/>
    <hyperlink xmlns:r="http://schemas.openxmlformats.org/officeDocument/2006/relationships" ref="I200" r:id="rId521"/>
    <hyperlink xmlns:r="http://schemas.openxmlformats.org/officeDocument/2006/relationships" ref="N200" r:id="rId522"/>
    <hyperlink xmlns:r="http://schemas.openxmlformats.org/officeDocument/2006/relationships" ref="I201" r:id="rId523"/>
    <hyperlink xmlns:r="http://schemas.openxmlformats.org/officeDocument/2006/relationships" ref="N201" r:id="rId524"/>
    <hyperlink xmlns:r="http://schemas.openxmlformats.org/officeDocument/2006/relationships" ref="I202" r:id="rId525"/>
    <hyperlink xmlns:r="http://schemas.openxmlformats.org/officeDocument/2006/relationships" ref="N202" r:id="rId526"/>
    <hyperlink xmlns:r="http://schemas.openxmlformats.org/officeDocument/2006/relationships" ref="I203" r:id="rId527"/>
    <hyperlink xmlns:r="http://schemas.openxmlformats.org/officeDocument/2006/relationships" ref="N203" r:id="rId528"/>
    <hyperlink xmlns:r="http://schemas.openxmlformats.org/officeDocument/2006/relationships" ref="I204" r:id="rId529"/>
    <hyperlink xmlns:r="http://schemas.openxmlformats.org/officeDocument/2006/relationships" ref="N204" r:id="rId530"/>
    <hyperlink xmlns:r="http://schemas.openxmlformats.org/officeDocument/2006/relationships" ref="I205" r:id="rId531"/>
    <hyperlink xmlns:r="http://schemas.openxmlformats.org/officeDocument/2006/relationships" ref="N205" r:id="rId532"/>
    <hyperlink xmlns:r="http://schemas.openxmlformats.org/officeDocument/2006/relationships" ref="I206" r:id="rId533"/>
    <hyperlink xmlns:r="http://schemas.openxmlformats.org/officeDocument/2006/relationships" ref="N206" r:id="rId534"/>
    <hyperlink xmlns:r="http://schemas.openxmlformats.org/officeDocument/2006/relationships" ref="I207" r:id="rId535"/>
    <hyperlink xmlns:r="http://schemas.openxmlformats.org/officeDocument/2006/relationships" ref="N207" r:id="rId536"/>
    <hyperlink xmlns:r="http://schemas.openxmlformats.org/officeDocument/2006/relationships" ref="H208" r:id="rId537"/>
    <hyperlink xmlns:r="http://schemas.openxmlformats.org/officeDocument/2006/relationships" ref="N208" r:id="rId538"/>
    <hyperlink xmlns:r="http://schemas.openxmlformats.org/officeDocument/2006/relationships" ref="I209" r:id="rId539"/>
    <hyperlink xmlns:r="http://schemas.openxmlformats.org/officeDocument/2006/relationships" ref="N209" r:id="rId540"/>
    <hyperlink xmlns:r="http://schemas.openxmlformats.org/officeDocument/2006/relationships" ref="H210" r:id="rId541"/>
    <hyperlink xmlns:r="http://schemas.openxmlformats.org/officeDocument/2006/relationships" ref="N210" r:id="rId542"/>
    <hyperlink xmlns:r="http://schemas.openxmlformats.org/officeDocument/2006/relationships" ref="I211" r:id="rId543"/>
    <hyperlink xmlns:r="http://schemas.openxmlformats.org/officeDocument/2006/relationships" ref="N211" r:id="rId544"/>
    <hyperlink xmlns:r="http://schemas.openxmlformats.org/officeDocument/2006/relationships" ref="I212" r:id="rId545"/>
    <hyperlink xmlns:r="http://schemas.openxmlformats.org/officeDocument/2006/relationships" ref="N212" r:id="rId546"/>
    <hyperlink xmlns:r="http://schemas.openxmlformats.org/officeDocument/2006/relationships" ref="I213" r:id="rId547"/>
    <hyperlink xmlns:r="http://schemas.openxmlformats.org/officeDocument/2006/relationships" ref="N213" r:id="rId548"/>
    <hyperlink xmlns:r="http://schemas.openxmlformats.org/officeDocument/2006/relationships" ref="I214" r:id="rId549"/>
    <hyperlink xmlns:r="http://schemas.openxmlformats.org/officeDocument/2006/relationships" ref="N214" r:id="rId550"/>
    <hyperlink xmlns:r="http://schemas.openxmlformats.org/officeDocument/2006/relationships" ref="I215" r:id="rId551"/>
    <hyperlink xmlns:r="http://schemas.openxmlformats.org/officeDocument/2006/relationships" ref="N215" r:id="rId552"/>
    <hyperlink xmlns:r="http://schemas.openxmlformats.org/officeDocument/2006/relationships" ref="I216" r:id="rId553"/>
    <hyperlink xmlns:r="http://schemas.openxmlformats.org/officeDocument/2006/relationships" ref="N216" r:id="rId554"/>
    <hyperlink xmlns:r="http://schemas.openxmlformats.org/officeDocument/2006/relationships" ref="I217" r:id="rId555"/>
    <hyperlink xmlns:r="http://schemas.openxmlformats.org/officeDocument/2006/relationships" ref="N217" r:id="rId556"/>
    <hyperlink xmlns:r="http://schemas.openxmlformats.org/officeDocument/2006/relationships" ref="I218" r:id="rId557"/>
    <hyperlink xmlns:r="http://schemas.openxmlformats.org/officeDocument/2006/relationships" ref="N218" r:id="rId558"/>
    <hyperlink xmlns:r="http://schemas.openxmlformats.org/officeDocument/2006/relationships" ref="I219" r:id="rId559"/>
    <hyperlink xmlns:r="http://schemas.openxmlformats.org/officeDocument/2006/relationships" ref="N219" r:id="rId560"/>
    <hyperlink xmlns:r="http://schemas.openxmlformats.org/officeDocument/2006/relationships" ref="I220" r:id="rId561"/>
    <hyperlink xmlns:r="http://schemas.openxmlformats.org/officeDocument/2006/relationships" ref="N220" r:id="rId562"/>
    <hyperlink xmlns:r="http://schemas.openxmlformats.org/officeDocument/2006/relationships" ref="I221" r:id="rId563"/>
    <hyperlink xmlns:r="http://schemas.openxmlformats.org/officeDocument/2006/relationships" ref="N221" r:id="rId564"/>
    <hyperlink xmlns:r="http://schemas.openxmlformats.org/officeDocument/2006/relationships" ref="I222" r:id="rId565"/>
    <hyperlink xmlns:r="http://schemas.openxmlformats.org/officeDocument/2006/relationships" ref="N222" r:id="rId566"/>
    <hyperlink xmlns:r="http://schemas.openxmlformats.org/officeDocument/2006/relationships" ref="I223" r:id="rId567"/>
    <hyperlink xmlns:r="http://schemas.openxmlformats.org/officeDocument/2006/relationships" ref="N223" r:id="rId568"/>
    <hyperlink xmlns:r="http://schemas.openxmlformats.org/officeDocument/2006/relationships" ref="I224" r:id="rId569"/>
    <hyperlink xmlns:r="http://schemas.openxmlformats.org/officeDocument/2006/relationships" ref="N224" r:id="rId570"/>
    <hyperlink xmlns:r="http://schemas.openxmlformats.org/officeDocument/2006/relationships" ref="I225" r:id="rId571"/>
    <hyperlink xmlns:r="http://schemas.openxmlformats.org/officeDocument/2006/relationships" ref="N225" r:id="rId572"/>
    <hyperlink xmlns:r="http://schemas.openxmlformats.org/officeDocument/2006/relationships" ref="I226" r:id="rId573"/>
    <hyperlink xmlns:r="http://schemas.openxmlformats.org/officeDocument/2006/relationships" ref="N226" r:id="rId574"/>
    <hyperlink xmlns:r="http://schemas.openxmlformats.org/officeDocument/2006/relationships" ref="I227" r:id="rId575"/>
    <hyperlink xmlns:r="http://schemas.openxmlformats.org/officeDocument/2006/relationships" ref="N227" r:id="rId576"/>
    <hyperlink xmlns:r="http://schemas.openxmlformats.org/officeDocument/2006/relationships" ref="I228" r:id="rId577"/>
    <hyperlink xmlns:r="http://schemas.openxmlformats.org/officeDocument/2006/relationships" ref="N228" r:id="rId578"/>
    <hyperlink xmlns:r="http://schemas.openxmlformats.org/officeDocument/2006/relationships" ref="I229" r:id="rId579"/>
    <hyperlink xmlns:r="http://schemas.openxmlformats.org/officeDocument/2006/relationships" ref="N229" r:id="rId580"/>
    <hyperlink xmlns:r="http://schemas.openxmlformats.org/officeDocument/2006/relationships" ref="I230" r:id="rId581"/>
    <hyperlink xmlns:r="http://schemas.openxmlformats.org/officeDocument/2006/relationships" ref="N230" r:id="rId582"/>
    <hyperlink xmlns:r="http://schemas.openxmlformats.org/officeDocument/2006/relationships" ref="I231" r:id="rId583"/>
    <hyperlink xmlns:r="http://schemas.openxmlformats.org/officeDocument/2006/relationships" ref="N231" r:id="rId584"/>
    <hyperlink xmlns:r="http://schemas.openxmlformats.org/officeDocument/2006/relationships" ref="I232" r:id="rId585"/>
    <hyperlink xmlns:r="http://schemas.openxmlformats.org/officeDocument/2006/relationships" ref="N232" r:id="rId586"/>
    <hyperlink xmlns:r="http://schemas.openxmlformats.org/officeDocument/2006/relationships" ref="I233" r:id="rId587"/>
    <hyperlink xmlns:r="http://schemas.openxmlformats.org/officeDocument/2006/relationships" ref="N233" r:id="rId588"/>
    <hyperlink xmlns:r="http://schemas.openxmlformats.org/officeDocument/2006/relationships" ref="I234" r:id="rId589"/>
    <hyperlink xmlns:r="http://schemas.openxmlformats.org/officeDocument/2006/relationships" ref="N234" r:id="rId590"/>
    <hyperlink xmlns:r="http://schemas.openxmlformats.org/officeDocument/2006/relationships" ref="I235" r:id="rId591"/>
    <hyperlink xmlns:r="http://schemas.openxmlformats.org/officeDocument/2006/relationships" ref="N235" r:id="rId592"/>
    <hyperlink xmlns:r="http://schemas.openxmlformats.org/officeDocument/2006/relationships" ref="I236" r:id="rId593"/>
    <hyperlink xmlns:r="http://schemas.openxmlformats.org/officeDocument/2006/relationships" ref="N236" r:id="rId594"/>
    <hyperlink xmlns:r="http://schemas.openxmlformats.org/officeDocument/2006/relationships" ref="I237" r:id="rId595"/>
    <hyperlink xmlns:r="http://schemas.openxmlformats.org/officeDocument/2006/relationships" ref="N237" r:id="rId596"/>
    <hyperlink xmlns:r="http://schemas.openxmlformats.org/officeDocument/2006/relationships" ref="I238" r:id="rId597"/>
    <hyperlink xmlns:r="http://schemas.openxmlformats.org/officeDocument/2006/relationships" ref="N238" r:id="rId598"/>
    <hyperlink xmlns:r="http://schemas.openxmlformats.org/officeDocument/2006/relationships" ref="I239" r:id="rId599"/>
    <hyperlink xmlns:r="http://schemas.openxmlformats.org/officeDocument/2006/relationships" ref="N239" r:id="rId600"/>
    <hyperlink xmlns:r="http://schemas.openxmlformats.org/officeDocument/2006/relationships" ref="I240" r:id="rId601"/>
    <hyperlink xmlns:r="http://schemas.openxmlformats.org/officeDocument/2006/relationships" ref="N240" r:id="rId602"/>
    <hyperlink xmlns:r="http://schemas.openxmlformats.org/officeDocument/2006/relationships" ref="H241" r:id="rId603"/>
    <hyperlink xmlns:r="http://schemas.openxmlformats.org/officeDocument/2006/relationships" ref="I241" r:id="rId604"/>
    <hyperlink xmlns:r="http://schemas.openxmlformats.org/officeDocument/2006/relationships" ref="N241" r:id="rId605"/>
    <hyperlink xmlns:r="http://schemas.openxmlformats.org/officeDocument/2006/relationships" ref="I242" r:id="rId606"/>
    <hyperlink xmlns:r="http://schemas.openxmlformats.org/officeDocument/2006/relationships" ref="N242" r:id="rId607"/>
    <hyperlink xmlns:r="http://schemas.openxmlformats.org/officeDocument/2006/relationships" ref="I243" r:id="rId608"/>
    <hyperlink xmlns:r="http://schemas.openxmlformats.org/officeDocument/2006/relationships" ref="N243" r:id="rId609"/>
    <hyperlink xmlns:r="http://schemas.openxmlformats.org/officeDocument/2006/relationships" ref="I244" r:id="rId610"/>
    <hyperlink xmlns:r="http://schemas.openxmlformats.org/officeDocument/2006/relationships" ref="N244" r:id="rId611"/>
    <hyperlink xmlns:r="http://schemas.openxmlformats.org/officeDocument/2006/relationships" ref="I245" r:id="rId612"/>
    <hyperlink xmlns:r="http://schemas.openxmlformats.org/officeDocument/2006/relationships" ref="N245" r:id="rId613"/>
    <hyperlink xmlns:r="http://schemas.openxmlformats.org/officeDocument/2006/relationships" ref="I246" r:id="rId614"/>
    <hyperlink xmlns:r="http://schemas.openxmlformats.org/officeDocument/2006/relationships" ref="N246" r:id="rId615"/>
    <hyperlink xmlns:r="http://schemas.openxmlformats.org/officeDocument/2006/relationships" ref="I247" r:id="rId616"/>
    <hyperlink xmlns:r="http://schemas.openxmlformats.org/officeDocument/2006/relationships" ref="N247" r:id="rId617"/>
    <hyperlink xmlns:r="http://schemas.openxmlformats.org/officeDocument/2006/relationships" ref="I248" r:id="rId618"/>
    <hyperlink xmlns:r="http://schemas.openxmlformats.org/officeDocument/2006/relationships" ref="N248" r:id="rId619"/>
    <hyperlink xmlns:r="http://schemas.openxmlformats.org/officeDocument/2006/relationships" ref="I249" r:id="rId620"/>
    <hyperlink xmlns:r="http://schemas.openxmlformats.org/officeDocument/2006/relationships" ref="N249" r:id="rId621"/>
    <hyperlink xmlns:r="http://schemas.openxmlformats.org/officeDocument/2006/relationships" ref="I250" r:id="rId622"/>
    <hyperlink xmlns:r="http://schemas.openxmlformats.org/officeDocument/2006/relationships" ref="N250" r:id="rId623"/>
    <hyperlink xmlns:r="http://schemas.openxmlformats.org/officeDocument/2006/relationships" ref="I251" r:id="rId624"/>
    <hyperlink xmlns:r="http://schemas.openxmlformats.org/officeDocument/2006/relationships" ref="N251" r:id="rId625"/>
    <hyperlink xmlns:r="http://schemas.openxmlformats.org/officeDocument/2006/relationships" ref="I252" r:id="rId626"/>
    <hyperlink xmlns:r="http://schemas.openxmlformats.org/officeDocument/2006/relationships" ref="N252" r:id="rId627"/>
    <hyperlink xmlns:r="http://schemas.openxmlformats.org/officeDocument/2006/relationships" ref="I253" r:id="rId628"/>
    <hyperlink xmlns:r="http://schemas.openxmlformats.org/officeDocument/2006/relationships" ref="N253" r:id="rId629"/>
    <hyperlink xmlns:r="http://schemas.openxmlformats.org/officeDocument/2006/relationships" ref="I254" r:id="rId630"/>
    <hyperlink xmlns:r="http://schemas.openxmlformats.org/officeDocument/2006/relationships" ref="N254" r:id="rId631"/>
    <hyperlink xmlns:r="http://schemas.openxmlformats.org/officeDocument/2006/relationships" ref="H255" r:id="rId632"/>
    <hyperlink xmlns:r="http://schemas.openxmlformats.org/officeDocument/2006/relationships" ref="N255" r:id="rId633"/>
    <hyperlink xmlns:r="http://schemas.openxmlformats.org/officeDocument/2006/relationships" ref="H256" r:id="rId634"/>
    <hyperlink xmlns:r="http://schemas.openxmlformats.org/officeDocument/2006/relationships" ref="I256" r:id="rId635"/>
    <hyperlink xmlns:r="http://schemas.openxmlformats.org/officeDocument/2006/relationships" ref="K256" r:id="rId636"/>
    <hyperlink xmlns:r="http://schemas.openxmlformats.org/officeDocument/2006/relationships" ref="N256" r:id="rId637"/>
    <hyperlink xmlns:r="http://schemas.openxmlformats.org/officeDocument/2006/relationships" ref="I257" r:id="rId638"/>
    <hyperlink xmlns:r="http://schemas.openxmlformats.org/officeDocument/2006/relationships" ref="N257" r:id="rId639"/>
    <hyperlink xmlns:r="http://schemas.openxmlformats.org/officeDocument/2006/relationships" ref="I258" r:id="rId640"/>
    <hyperlink xmlns:r="http://schemas.openxmlformats.org/officeDocument/2006/relationships" ref="N258" r:id="rId641"/>
    <hyperlink xmlns:r="http://schemas.openxmlformats.org/officeDocument/2006/relationships" ref="I259" r:id="rId642"/>
    <hyperlink xmlns:r="http://schemas.openxmlformats.org/officeDocument/2006/relationships" ref="N259" r:id="rId643"/>
    <hyperlink xmlns:r="http://schemas.openxmlformats.org/officeDocument/2006/relationships" ref="I260" r:id="rId644"/>
    <hyperlink xmlns:r="http://schemas.openxmlformats.org/officeDocument/2006/relationships" ref="N260" r:id="rId645"/>
    <hyperlink xmlns:r="http://schemas.openxmlformats.org/officeDocument/2006/relationships" ref="I261" r:id="rId646"/>
    <hyperlink xmlns:r="http://schemas.openxmlformats.org/officeDocument/2006/relationships" ref="N261" r:id="rId647"/>
    <hyperlink xmlns:r="http://schemas.openxmlformats.org/officeDocument/2006/relationships" ref="I262" r:id="rId648"/>
    <hyperlink xmlns:r="http://schemas.openxmlformats.org/officeDocument/2006/relationships" ref="N262" r:id="rId649"/>
    <hyperlink xmlns:r="http://schemas.openxmlformats.org/officeDocument/2006/relationships" ref="I263" r:id="rId650"/>
    <hyperlink xmlns:r="http://schemas.openxmlformats.org/officeDocument/2006/relationships" ref="N263" r:id="rId651"/>
    <hyperlink xmlns:r="http://schemas.openxmlformats.org/officeDocument/2006/relationships" ref="I264" r:id="rId652"/>
    <hyperlink xmlns:r="http://schemas.openxmlformats.org/officeDocument/2006/relationships" ref="N264" r:id="rId653"/>
    <hyperlink xmlns:r="http://schemas.openxmlformats.org/officeDocument/2006/relationships" ref="I265" r:id="rId654"/>
    <hyperlink xmlns:r="http://schemas.openxmlformats.org/officeDocument/2006/relationships" ref="N265" r:id="rId655"/>
    <hyperlink xmlns:r="http://schemas.openxmlformats.org/officeDocument/2006/relationships" ref="H266" r:id="rId656"/>
    <hyperlink xmlns:r="http://schemas.openxmlformats.org/officeDocument/2006/relationships" ref="N266" r:id="rId657"/>
    <hyperlink xmlns:r="http://schemas.openxmlformats.org/officeDocument/2006/relationships" ref="I267" r:id="rId658"/>
    <hyperlink xmlns:r="http://schemas.openxmlformats.org/officeDocument/2006/relationships" ref="N267" r:id="rId659"/>
    <hyperlink xmlns:r="http://schemas.openxmlformats.org/officeDocument/2006/relationships" ref="H268" r:id="rId660"/>
    <hyperlink xmlns:r="http://schemas.openxmlformats.org/officeDocument/2006/relationships" ref="I268" r:id="rId661"/>
    <hyperlink xmlns:r="http://schemas.openxmlformats.org/officeDocument/2006/relationships" ref="K268" r:id="rId662"/>
    <hyperlink xmlns:r="http://schemas.openxmlformats.org/officeDocument/2006/relationships" ref="N268" r:id="rId663"/>
    <hyperlink xmlns:r="http://schemas.openxmlformats.org/officeDocument/2006/relationships" ref="H269" r:id="rId664"/>
    <hyperlink xmlns:r="http://schemas.openxmlformats.org/officeDocument/2006/relationships" ref="N269" r:id="rId665"/>
    <hyperlink xmlns:r="http://schemas.openxmlformats.org/officeDocument/2006/relationships" ref="H270" r:id="rId666"/>
    <hyperlink xmlns:r="http://schemas.openxmlformats.org/officeDocument/2006/relationships" ref="I270" r:id="rId667"/>
    <hyperlink xmlns:r="http://schemas.openxmlformats.org/officeDocument/2006/relationships" ref="N270" r:id="rId668"/>
    <hyperlink xmlns:r="http://schemas.openxmlformats.org/officeDocument/2006/relationships" ref="I271" r:id="rId669"/>
    <hyperlink xmlns:r="http://schemas.openxmlformats.org/officeDocument/2006/relationships" ref="N271" r:id="rId670"/>
    <hyperlink xmlns:r="http://schemas.openxmlformats.org/officeDocument/2006/relationships" ref="I272" r:id="rId671"/>
    <hyperlink xmlns:r="http://schemas.openxmlformats.org/officeDocument/2006/relationships" ref="N272" r:id="rId672"/>
    <hyperlink xmlns:r="http://schemas.openxmlformats.org/officeDocument/2006/relationships" ref="I273" r:id="rId673"/>
    <hyperlink xmlns:r="http://schemas.openxmlformats.org/officeDocument/2006/relationships" ref="N273" r:id="rId674"/>
    <hyperlink xmlns:r="http://schemas.openxmlformats.org/officeDocument/2006/relationships" ref="I274" r:id="rId675"/>
    <hyperlink xmlns:r="http://schemas.openxmlformats.org/officeDocument/2006/relationships" ref="N274" r:id="rId676"/>
    <hyperlink xmlns:r="http://schemas.openxmlformats.org/officeDocument/2006/relationships" ref="I275" r:id="rId677"/>
    <hyperlink xmlns:r="http://schemas.openxmlformats.org/officeDocument/2006/relationships" ref="N275" r:id="rId678"/>
    <hyperlink xmlns:r="http://schemas.openxmlformats.org/officeDocument/2006/relationships" ref="I276" r:id="rId679"/>
    <hyperlink xmlns:r="http://schemas.openxmlformats.org/officeDocument/2006/relationships" ref="N276" r:id="rId680"/>
    <hyperlink xmlns:r="http://schemas.openxmlformats.org/officeDocument/2006/relationships" ref="I277" r:id="rId681"/>
    <hyperlink xmlns:r="http://schemas.openxmlformats.org/officeDocument/2006/relationships" ref="N277" r:id="rId682"/>
    <hyperlink xmlns:r="http://schemas.openxmlformats.org/officeDocument/2006/relationships" ref="I278" r:id="rId683"/>
    <hyperlink xmlns:r="http://schemas.openxmlformats.org/officeDocument/2006/relationships" ref="N278" r:id="rId684"/>
    <hyperlink xmlns:r="http://schemas.openxmlformats.org/officeDocument/2006/relationships" ref="H279" r:id="rId685"/>
    <hyperlink xmlns:r="http://schemas.openxmlformats.org/officeDocument/2006/relationships" ref="I279" r:id="rId686"/>
    <hyperlink xmlns:r="http://schemas.openxmlformats.org/officeDocument/2006/relationships" ref="N279" r:id="rId687"/>
    <hyperlink xmlns:r="http://schemas.openxmlformats.org/officeDocument/2006/relationships" ref="I280" r:id="rId688"/>
    <hyperlink xmlns:r="http://schemas.openxmlformats.org/officeDocument/2006/relationships" ref="N280" r:id="rId689"/>
    <hyperlink xmlns:r="http://schemas.openxmlformats.org/officeDocument/2006/relationships" ref="H281" r:id="rId690"/>
    <hyperlink xmlns:r="http://schemas.openxmlformats.org/officeDocument/2006/relationships" ref="I281" r:id="rId691"/>
    <hyperlink xmlns:r="http://schemas.openxmlformats.org/officeDocument/2006/relationships" ref="N281" r:id="rId692"/>
    <hyperlink xmlns:r="http://schemas.openxmlformats.org/officeDocument/2006/relationships" ref="I282" r:id="rId693"/>
    <hyperlink xmlns:r="http://schemas.openxmlformats.org/officeDocument/2006/relationships" ref="N282" r:id="rId694"/>
    <hyperlink xmlns:r="http://schemas.openxmlformats.org/officeDocument/2006/relationships" ref="H283" r:id="rId695"/>
    <hyperlink xmlns:r="http://schemas.openxmlformats.org/officeDocument/2006/relationships" ref="I283" r:id="rId696"/>
    <hyperlink xmlns:r="http://schemas.openxmlformats.org/officeDocument/2006/relationships" ref="N283" r:id="rId697"/>
    <hyperlink xmlns:r="http://schemas.openxmlformats.org/officeDocument/2006/relationships" ref="I284" r:id="rId698"/>
    <hyperlink xmlns:r="http://schemas.openxmlformats.org/officeDocument/2006/relationships" ref="N284" r:id="rId699"/>
    <hyperlink xmlns:r="http://schemas.openxmlformats.org/officeDocument/2006/relationships" ref="I285" r:id="rId700"/>
    <hyperlink xmlns:r="http://schemas.openxmlformats.org/officeDocument/2006/relationships" ref="N285" r:id="rId701"/>
    <hyperlink xmlns:r="http://schemas.openxmlformats.org/officeDocument/2006/relationships" ref="H286" r:id="rId702"/>
    <hyperlink xmlns:r="http://schemas.openxmlformats.org/officeDocument/2006/relationships" ref="N286" r:id="rId703"/>
    <hyperlink xmlns:r="http://schemas.openxmlformats.org/officeDocument/2006/relationships" ref="I287" r:id="rId704"/>
    <hyperlink xmlns:r="http://schemas.openxmlformats.org/officeDocument/2006/relationships" ref="N287" r:id="rId705"/>
    <hyperlink xmlns:r="http://schemas.openxmlformats.org/officeDocument/2006/relationships" ref="I288" r:id="rId706"/>
    <hyperlink xmlns:r="http://schemas.openxmlformats.org/officeDocument/2006/relationships" ref="N288" r:id="rId707"/>
    <hyperlink xmlns:r="http://schemas.openxmlformats.org/officeDocument/2006/relationships" ref="I289" r:id="rId708"/>
    <hyperlink xmlns:r="http://schemas.openxmlformats.org/officeDocument/2006/relationships" ref="N289" r:id="rId709"/>
    <hyperlink xmlns:r="http://schemas.openxmlformats.org/officeDocument/2006/relationships" ref="I290" r:id="rId710"/>
    <hyperlink xmlns:r="http://schemas.openxmlformats.org/officeDocument/2006/relationships" ref="N290" r:id="rId711"/>
    <hyperlink xmlns:r="http://schemas.openxmlformats.org/officeDocument/2006/relationships" ref="I291" r:id="rId712"/>
    <hyperlink xmlns:r="http://schemas.openxmlformats.org/officeDocument/2006/relationships" ref="N291" r:id="rId713"/>
    <hyperlink xmlns:r="http://schemas.openxmlformats.org/officeDocument/2006/relationships" ref="I292" r:id="rId714"/>
    <hyperlink xmlns:r="http://schemas.openxmlformats.org/officeDocument/2006/relationships" ref="N292" r:id="rId715"/>
    <hyperlink xmlns:r="http://schemas.openxmlformats.org/officeDocument/2006/relationships" ref="I293" r:id="rId716"/>
    <hyperlink xmlns:r="http://schemas.openxmlformats.org/officeDocument/2006/relationships" ref="N293" r:id="rId717"/>
    <hyperlink xmlns:r="http://schemas.openxmlformats.org/officeDocument/2006/relationships" ref="I294" r:id="rId718"/>
    <hyperlink xmlns:r="http://schemas.openxmlformats.org/officeDocument/2006/relationships" ref="N294" r:id="rId719"/>
    <hyperlink xmlns:r="http://schemas.openxmlformats.org/officeDocument/2006/relationships" ref="I295" r:id="rId720"/>
    <hyperlink xmlns:r="http://schemas.openxmlformats.org/officeDocument/2006/relationships" ref="N295" r:id="rId721"/>
    <hyperlink xmlns:r="http://schemas.openxmlformats.org/officeDocument/2006/relationships" ref="I296" r:id="rId722"/>
    <hyperlink xmlns:r="http://schemas.openxmlformats.org/officeDocument/2006/relationships" ref="N296" r:id="rId723"/>
    <hyperlink xmlns:r="http://schemas.openxmlformats.org/officeDocument/2006/relationships" ref="I297" r:id="rId724"/>
    <hyperlink xmlns:r="http://schemas.openxmlformats.org/officeDocument/2006/relationships" ref="N297" r:id="rId725"/>
    <hyperlink xmlns:r="http://schemas.openxmlformats.org/officeDocument/2006/relationships" ref="H298" r:id="rId726"/>
    <hyperlink xmlns:r="http://schemas.openxmlformats.org/officeDocument/2006/relationships" ref="I298" r:id="rId727"/>
    <hyperlink xmlns:r="http://schemas.openxmlformats.org/officeDocument/2006/relationships" ref="N298" r:id="rId728"/>
    <hyperlink xmlns:r="http://schemas.openxmlformats.org/officeDocument/2006/relationships" ref="H299" r:id="rId729"/>
    <hyperlink xmlns:r="http://schemas.openxmlformats.org/officeDocument/2006/relationships" ref="N299" r:id="rId730"/>
    <hyperlink xmlns:r="http://schemas.openxmlformats.org/officeDocument/2006/relationships" ref="H300" r:id="rId731"/>
    <hyperlink xmlns:r="http://schemas.openxmlformats.org/officeDocument/2006/relationships" ref="I300" r:id="rId732"/>
    <hyperlink xmlns:r="http://schemas.openxmlformats.org/officeDocument/2006/relationships" ref="N300" r:id="rId733"/>
    <hyperlink xmlns:r="http://schemas.openxmlformats.org/officeDocument/2006/relationships" ref="I301" r:id="rId734"/>
    <hyperlink xmlns:r="http://schemas.openxmlformats.org/officeDocument/2006/relationships" ref="N301" r:id="rId735"/>
    <hyperlink xmlns:r="http://schemas.openxmlformats.org/officeDocument/2006/relationships" ref="H302" r:id="rId736"/>
    <hyperlink xmlns:r="http://schemas.openxmlformats.org/officeDocument/2006/relationships" ref="N302" r:id="rId737"/>
    <hyperlink xmlns:r="http://schemas.openxmlformats.org/officeDocument/2006/relationships" ref="I303" r:id="rId738"/>
    <hyperlink xmlns:r="http://schemas.openxmlformats.org/officeDocument/2006/relationships" ref="N303" r:id="rId739"/>
    <hyperlink xmlns:r="http://schemas.openxmlformats.org/officeDocument/2006/relationships" ref="I304" r:id="rId740"/>
    <hyperlink xmlns:r="http://schemas.openxmlformats.org/officeDocument/2006/relationships" ref="N304" r:id="rId741"/>
    <hyperlink xmlns:r="http://schemas.openxmlformats.org/officeDocument/2006/relationships" ref="I305" r:id="rId742"/>
    <hyperlink xmlns:r="http://schemas.openxmlformats.org/officeDocument/2006/relationships" ref="N305" r:id="rId743"/>
    <hyperlink xmlns:r="http://schemas.openxmlformats.org/officeDocument/2006/relationships" ref="I306" r:id="rId744"/>
    <hyperlink xmlns:r="http://schemas.openxmlformats.org/officeDocument/2006/relationships" ref="N306" r:id="rId745"/>
    <hyperlink xmlns:r="http://schemas.openxmlformats.org/officeDocument/2006/relationships" ref="I307" r:id="rId746"/>
    <hyperlink xmlns:r="http://schemas.openxmlformats.org/officeDocument/2006/relationships" ref="N307" r:id="rId747"/>
    <hyperlink xmlns:r="http://schemas.openxmlformats.org/officeDocument/2006/relationships" ref="I308" r:id="rId748"/>
    <hyperlink xmlns:r="http://schemas.openxmlformats.org/officeDocument/2006/relationships" ref="N308" r:id="rId749"/>
    <hyperlink xmlns:r="http://schemas.openxmlformats.org/officeDocument/2006/relationships" ref="I309" r:id="rId750"/>
    <hyperlink xmlns:r="http://schemas.openxmlformats.org/officeDocument/2006/relationships" ref="N309" r:id="rId751"/>
    <hyperlink xmlns:r="http://schemas.openxmlformats.org/officeDocument/2006/relationships" ref="I310" r:id="rId752"/>
    <hyperlink xmlns:r="http://schemas.openxmlformats.org/officeDocument/2006/relationships" ref="N310" r:id="rId753"/>
    <hyperlink xmlns:r="http://schemas.openxmlformats.org/officeDocument/2006/relationships" ref="I311" r:id="rId754"/>
    <hyperlink xmlns:r="http://schemas.openxmlformats.org/officeDocument/2006/relationships" ref="N311" r:id="rId755"/>
    <hyperlink xmlns:r="http://schemas.openxmlformats.org/officeDocument/2006/relationships" ref="I312" r:id="rId756"/>
    <hyperlink xmlns:r="http://schemas.openxmlformats.org/officeDocument/2006/relationships" ref="N312" r:id="rId757"/>
    <hyperlink xmlns:r="http://schemas.openxmlformats.org/officeDocument/2006/relationships" ref="I313" r:id="rId758"/>
    <hyperlink xmlns:r="http://schemas.openxmlformats.org/officeDocument/2006/relationships" ref="N313" r:id="rId759"/>
    <hyperlink xmlns:r="http://schemas.openxmlformats.org/officeDocument/2006/relationships" ref="I314" r:id="rId760"/>
    <hyperlink xmlns:r="http://schemas.openxmlformats.org/officeDocument/2006/relationships" ref="N314" r:id="rId761"/>
    <hyperlink xmlns:r="http://schemas.openxmlformats.org/officeDocument/2006/relationships" ref="I315" r:id="rId762"/>
    <hyperlink xmlns:r="http://schemas.openxmlformats.org/officeDocument/2006/relationships" ref="N315" r:id="rId763"/>
    <hyperlink xmlns:r="http://schemas.openxmlformats.org/officeDocument/2006/relationships" ref="I316" r:id="rId764"/>
    <hyperlink xmlns:r="http://schemas.openxmlformats.org/officeDocument/2006/relationships" ref="N316" r:id="rId765"/>
    <hyperlink xmlns:r="http://schemas.openxmlformats.org/officeDocument/2006/relationships" ref="I317" r:id="rId766"/>
    <hyperlink xmlns:r="http://schemas.openxmlformats.org/officeDocument/2006/relationships" ref="N317" r:id="rId767"/>
    <hyperlink xmlns:r="http://schemas.openxmlformats.org/officeDocument/2006/relationships" ref="I318" r:id="rId768"/>
    <hyperlink xmlns:r="http://schemas.openxmlformats.org/officeDocument/2006/relationships" ref="N318" r:id="rId769"/>
    <hyperlink xmlns:r="http://schemas.openxmlformats.org/officeDocument/2006/relationships" ref="I319" r:id="rId770"/>
    <hyperlink xmlns:r="http://schemas.openxmlformats.org/officeDocument/2006/relationships" ref="N319" r:id="rId771"/>
    <hyperlink xmlns:r="http://schemas.openxmlformats.org/officeDocument/2006/relationships" ref="I320" r:id="rId772"/>
    <hyperlink xmlns:r="http://schemas.openxmlformats.org/officeDocument/2006/relationships" ref="N320" r:id="rId773"/>
    <hyperlink xmlns:r="http://schemas.openxmlformats.org/officeDocument/2006/relationships" ref="I321" r:id="rId774"/>
    <hyperlink xmlns:r="http://schemas.openxmlformats.org/officeDocument/2006/relationships" ref="N321" r:id="rId775"/>
    <hyperlink xmlns:r="http://schemas.openxmlformats.org/officeDocument/2006/relationships" ref="I322" r:id="rId776"/>
    <hyperlink xmlns:r="http://schemas.openxmlformats.org/officeDocument/2006/relationships" ref="N322" r:id="rId777"/>
    <hyperlink xmlns:r="http://schemas.openxmlformats.org/officeDocument/2006/relationships" ref="I323" r:id="rId778"/>
    <hyperlink xmlns:r="http://schemas.openxmlformats.org/officeDocument/2006/relationships" ref="N323" r:id="rId779"/>
    <hyperlink xmlns:r="http://schemas.openxmlformats.org/officeDocument/2006/relationships" ref="I324" r:id="rId780"/>
    <hyperlink xmlns:r="http://schemas.openxmlformats.org/officeDocument/2006/relationships" ref="N324" r:id="rId781"/>
    <hyperlink xmlns:r="http://schemas.openxmlformats.org/officeDocument/2006/relationships" ref="I325" r:id="rId782"/>
    <hyperlink xmlns:r="http://schemas.openxmlformats.org/officeDocument/2006/relationships" ref="N325" r:id="rId783"/>
    <hyperlink xmlns:r="http://schemas.openxmlformats.org/officeDocument/2006/relationships" ref="I326" r:id="rId784"/>
    <hyperlink xmlns:r="http://schemas.openxmlformats.org/officeDocument/2006/relationships" ref="N326" r:id="rId785"/>
    <hyperlink xmlns:r="http://schemas.openxmlformats.org/officeDocument/2006/relationships" ref="I327" r:id="rId786"/>
    <hyperlink xmlns:r="http://schemas.openxmlformats.org/officeDocument/2006/relationships" ref="N327" r:id="rId787"/>
    <hyperlink xmlns:r="http://schemas.openxmlformats.org/officeDocument/2006/relationships" ref="I328" r:id="rId788"/>
    <hyperlink xmlns:r="http://schemas.openxmlformats.org/officeDocument/2006/relationships" ref="N328" r:id="rId789"/>
    <hyperlink xmlns:r="http://schemas.openxmlformats.org/officeDocument/2006/relationships" ref="I329" r:id="rId790"/>
    <hyperlink xmlns:r="http://schemas.openxmlformats.org/officeDocument/2006/relationships" ref="N329" r:id="rId791"/>
    <hyperlink xmlns:r="http://schemas.openxmlformats.org/officeDocument/2006/relationships" ref="I330" r:id="rId792"/>
    <hyperlink xmlns:r="http://schemas.openxmlformats.org/officeDocument/2006/relationships" ref="N330" r:id="rId793"/>
    <hyperlink xmlns:r="http://schemas.openxmlformats.org/officeDocument/2006/relationships" ref="H331" r:id="rId794"/>
    <hyperlink xmlns:r="http://schemas.openxmlformats.org/officeDocument/2006/relationships" ref="I331" r:id="rId795"/>
    <hyperlink xmlns:r="http://schemas.openxmlformats.org/officeDocument/2006/relationships" ref="N331" r:id="rId796"/>
    <hyperlink xmlns:r="http://schemas.openxmlformats.org/officeDocument/2006/relationships" ref="I332" r:id="rId797"/>
    <hyperlink xmlns:r="http://schemas.openxmlformats.org/officeDocument/2006/relationships" ref="N332" r:id="rId798"/>
    <hyperlink xmlns:r="http://schemas.openxmlformats.org/officeDocument/2006/relationships" ref="I333" r:id="rId799"/>
    <hyperlink xmlns:r="http://schemas.openxmlformats.org/officeDocument/2006/relationships" ref="N333" r:id="rId800"/>
    <hyperlink xmlns:r="http://schemas.openxmlformats.org/officeDocument/2006/relationships" ref="I334" r:id="rId801"/>
    <hyperlink xmlns:r="http://schemas.openxmlformats.org/officeDocument/2006/relationships" ref="N334" r:id="rId802"/>
    <hyperlink xmlns:r="http://schemas.openxmlformats.org/officeDocument/2006/relationships" ref="I335" r:id="rId803"/>
    <hyperlink xmlns:r="http://schemas.openxmlformats.org/officeDocument/2006/relationships" ref="N335" r:id="rId804"/>
    <hyperlink xmlns:r="http://schemas.openxmlformats.org/officeDocument/2006/relationships" ref="I336" r:id="rId805"/>
    <hyperlink xmlns:r="http://schemas.openxmlformats.org/officeDocument/2006/relationships" ref="N336" r:id="rId806"/>
    <hyperlink xmlns:r="http://schemas.openxmlformats.org/officeDocument/2006/relationships" ref="I337" r:id="rId807"/>
    <hyperlink xmlns:r="http://schemas.openxmlformats.org/officeDocument/2006/relationships" ref="N337" r:id="rId808"/>
    <hyperlink xmlns:r="http://schemas.openxmlformats.org/officeDocument/2006/relationships" ref="I338" r:id="rId809"/>
    <hyperlink xmlns:r="http://schemas.openxmlformats.org/officeDocument/2006/relationships" ref="N338" r:id="rId810"/>
    <hyperlink xmlns:r="http://schemas.openxmlformats.org/officeDocument/2006/relationships" ref="I339" r:id="rId811"/>
    <hyperlink xmlns:r="http://schemas.openxmlformats.org/officeDocument/2006/relationships" ref="N339" r:id="rId812"/>
    <hyperlink xmlns:r="http://schemas.openxmlformats.org/officeDocument/2006/relationships" ref="H340" r:id="rId813"/>
    <hyperlink xmlns:r="http://schemas.openxmlformats.org/officeDocument/2006/relationships" ref="I340" r:id="rId814"/>
    <hyperlink xmlns:r="http://schemas.openxmlformats.org/officeDocument/2006/relationships" ref="N340" r:id="rId815"/>
    <hyperlink xmlns:r="http://schemas.openxmlformats.org/officeDocument/2006/relationships" ref="I341" r:id="rId816"/>
    <hyperlink xmlns:r="http://schemas.openxmlformats.org/officeDocument/2006/relationships" ref="N341" r:id="rId817"/>
    <hyperlink xmlns:r="http://schemas.openxmlformats.org/officeDocument/2006/relationships" ref="I342" r:id="rId818"/>
    <hyperlink xmlns:r="http://schemas.openxmlformats.org/officeDocument/2006/relationships" ref="N342" r:id="rId819"/>
    <hyperlink xmlns:r="http://schemas.openxmlformats.org/officeDocument/2006/relationships" ref="H343" r:id="rId820"/>
    <hyperlink xmlns:r="http://schemas.openxmlformats.org/officeDocument/2006/relationships" ref="N343" r:id="rId821"/>
    <hyperlink xmlns:r="http://schemas.openxmlformats.org/officeDocument/2006/relationships" ref="I344" r:id="rId822"/>
    <hyperlink xmlns:r="http://schemas.openxmlformats.org/officeDocument/2006/relationships" ref="N344" r:id="rId823"/>
    <hyperlink xmlns:r="http://schemas.openxmlformats.org/officeDocument/2006/relationships" ref="H345" r:id="rId824"/>
    <hyperlink xmlns:r="http://schemas.openxmlformats.org/officeDocument/2006/relationships" ref="I345" r:id="rId825"/>
    <hyperlink xmlns:r="http://schemas.openxmlformats.org/officeDocument/2006/relationships" ref="N345" r:id="rId826"/>
    <hyperlink xmlns:r="http://schemas.openxmlformats.org/officeDocument/2006/relationships" ref="H346" r:id="rId827"/>
    <hyperlink xmlns:r="http://schemas.openxmlformats.org/officeDocument/2006/relationships" ref="N346" r:id="rId828"/>
    <hyperlink xmlns:r="http://schemas.openxmlformats.org/officeDocument/2006/relationships" ref="I347" r:id="rId829"/>
    <hyperlink xmlns:r="http://schemas.openxmlformats.org/officeDocument/2006/relationships" ref="N347" r:id="rId830"/>
    <hyperlink xmlns:r="http://schemas.openxmlformats.org/officeDocument/2006/relationships" ref="H348" r:id="rId831"/>
    <hyperlink xmlns:r="http://schemas.openxmlformats.org/officeDocument/2006/relationships" ref="I348" r:id="rId832"/>
    <hyperlink xmlns:r="http://schemas.openxmlformats.org/officeDocument/2006/relationships" ref="N348" r:id="rId833"/>
    <hyperlink xmlns:r="http://schemas.openxmlformats.org/officeDocument/2006/relationships" ref="I349" r:id="rId834"/>
    <hyperlink xmlns:r="http://schemas.openxmlformats.org/officeDocument/2006/relationships" ref="N349" r:id="rId835"/>
    <hyperlink xmlns:r="http://schemas.openxmlformats.org/officeDocument/2006/relationships" ref="I350" r:id="rId836"/>
    <hyperlink xmlns:r="http://schemas.openxmlformats.org/officeDocument/2006/relationships" ref="N350" r:id="rId837"/>
    <hyperlink xmlns:r="http://schemas.openxmlformats.org/officeDocument/2006/relationships" ref="I351" r:id="rId838"/>
    <hyperlink xmlns:r="http://schemas.openxmlformats.org/officeDocument/2006/relationships" ref="N351" r:id="rId839"/>
    <hyperlink xmlns:r="http://schemas.openxmlformats.org/officeDocument/2006/relationships" ref="I352" r:id="rId840"/>
    <hyperlink xmlns:r="http://schemas.openxmlformats.org/officeDocument/2006/relationships" ref="N352" r:id="rId841"/>
    <hyperlink xmlns:r="http://schemas.openxmlformats.org/officeDocument/2006/relationships" ref="I353" r:id="rId842"/>
    <hyperlink xmlns:r="http://schemas.openxmlformats.org/officeDocument/2006/relationships" ref="N353" r:id="rId843"/>
    <hyperlink xmlns:r="http://schemas.openxmlformats.org/officeDocument/2006/relationships" ref="I354" r:id="rId844"/>
    <hyperlink xmlns:r="http://schemas.openxmlformats.org/officeDocument/2006/relationships" ref="N354" r:id="rId845"/>
    <hyperlink xmlns:r="http://schemas.openxmlformats.org/officeDocument/2006/relationships" ref="I355" r:id="rId846"/>
    <hyperlink xmlns:r="http://schemas.openxmlformats.org/officeDocument/2006/relationships" ref="N355" r:id="rId847"/>
    <hyperlink xmlns:r="http://schemas.openxmlformats.org/officeDocument/2006/relationships" ref="I356" r:id="rId848"/>
    <hyperlink xmlns:r="http://schemas.openxmlformats.org/officeDocument/2006/relationships" ref="K356" r:id="rId849"/>
    <hyperlink xmlns:r="http://schemas.openxmlformats.org/officeDocument/2006/relationships" ref="N356" r:id="rId850"/>
    <hyperlink xmlns:r="http://schemas.openxmlformats.org/officeDocument/2006/relationships" ref="I357" r:id="rId851"/>
    <hyperlink xmlns:r="http://schemas.openxmlformats.org/officeDocument/2006/relationships" ref="N357" r:id="rId852"/>
    <hyperlink xmlns:r="http://schemas.openxmlformats.org/officeDocument/2006/relationships" ref="I358" r:id="rId853"/>
    <hyperlink xmlns:r="http://schemas.openxmlformats.org/officeDocument/2006/relationships" ref="N358" r:id="rId854"/>
    <hyperlink xmlns:r="http://schemas.openxmlformats.org/officeDocument/2006/relationships" ref="I359" r:id="rId855"/>
    <hyperlink xmlns:r="http://schemas.openxmlformats.org/officeDocument/2006/relationships" ref="N359" r:id="rId856"/>
    <hyperlink xmlns:r="http://schemas.openxmlformats.org/officeDocument/2006/relationships" ref="I360" r:id="rId857"/>
    <hyperlink xmlns:r="http://schemas.openxmlformats.org/officeDocument/2006/relationships" ref="N360" r:id="rId858"/>
    <hyperlink xmlns:r="http://schemas.openxmlformats.org/officeDocument/2006/relationships" ref="I361" r:id="rId859"/>
    <hyperlink xmlns:r="http://schemas.openxmlformats.org/officeDocument/2006/relationships" ref="N361" r:id="rId860"/>
    <hyperlink xmlns:r="http://schemas.openxmlformats.org/officeDocument/2006/relationships" ref="H362" r:id="rId861"/>
    <hyperlink xmlns:r="http://schemas.openxmlformats.org/officeDocument/2006/relationships" ref="I362" r:id="rId862"/>
    <hyperlink xmlns:r="http://schemas.openxmlformats.org/officeDocument/2006/relationships" ref="K362" r:id="rId863"/>
    <hyperlink xmlns:r="http://schemas.openxmlformats.org/officeDocument/2006/relationships" ref="N362" r:id="rId864"/>
    <hyperlink xmlns:r="http://schemas.openxmlformats.org/officeDocument/2006/relationships" ref="I363" r:id="rId865"/>
    <hyperlink xmlns:r="http://schemas.openxmlformats.org/officeDocument/2006/relationships" ref="K363" r:id="rId866"/>
    <hyperlink xmlns:r="http://schemas.openxmlformats.org/officeDocument/2006/relationships" ref="N363" r:id="rId867"/>
    <hyperlink xmlns:r="http://schemas.openxmlformats.org/officeDocument/2006/relationships" ref="I364" r:id="rId868"/>
    <hyperlink xmlns:r="http://schemas.openxmlformats.org/officeDocument/2006/relationships" ref="K364" r:id="rId869"/>
    <hyperlink xmlns:r="http://schemas.openxmlformats.org/officeDocument/2006/relationships" ref="N364" r:id="rId870"/>
    <hyperlink xmlns:r="http://schemas.openxmlformats.org/officeDocument/2006/relationships" ref="I365" r:id="rId871"/>
    <hyperlink xmlns:r="http://schemas.openxmlformats.org/officeDocument/2006/relationships" ref="K365" r:id="rId872"/>
    <hyperlink xmlns:r="http://schemas.openxmlformats.org/officeDocument/2006/relationships" ref="N365" r:id="rId873"/>
    <hyperlink xmlns:r="http://schemas.openxmlformats.org/officeDocument/2006/relationships" ref="H366" r:id="rId874"/>
    <hyperlink xmlns:r="http://schemas.openxmlformats.org/officeDocument/2006/relationships" ref="I366" r:id="rId875"/>
    <hyperlink xmlns:r="http://schemas.openxmlformats.org/officeDocument/2006/relationships" ref="K366" r:id="rId876"/>
    <hyperlink xmlns:r="http://schemas.openxmlformats.org/officeDocument/2006/relationships" ref="N366" r:id="rId877"/>
    <hyperlink xmlns:r="http://schemas.openxmlformats.org/officeDocument/2006/relationships" ref="H367" r:id="rId878"/>
    <hyperlink xmlns:r="http://schemas.openxmlformats.org/officeDocument/2006/relationships" ref="I367" r:id="rId879"/>
    <hyperlink xmlns:r="http://schemas.openxmlformats.org/officeDocument/2006/relationships" ref="K367" r:id="rId880"/>
    <hyperlink xmlns:r="http://schemas.openxmlformats.org/officeDocument/2006/relationships" ref="N367" r:id="rId881"/>
    <hyperlink xmlns:r="http://schemas.openxmlformats.org/officeDocument/2006/relationships" ref="H368" r:id="rId882"/>
    <hyperlink xmlns:r="http://schemas.openxmlformats.org/officeDocument/2006/relationships" ref="I368" r:id="rId883"/>
    <hyperlink xmlns:r="http://schemas.openxmlformats.org/officeDocument/2006/relationships" ref="K368" r:id="rId884"/>
    <hyperlink xmlns:r="http://schemas.openxmlformats.org/officeDocument/2006/relationships" ref="N368" r:id="rId885"/>
    <hyperlink xmlns:r="http://schemas.openxmlformats.org/officeDocument/2006/relationships" ref="I369" r:id="rId886"/>
    <hyperlink xmlns:r="http://schemas.openxmlformats.org/officeDocument/2006/relationships" ref="K369" r:id="rId887"/>
    <hyperlink xmlns:r="http://schemas.openxmlformats.org/officeDocument/2006/relationships" ref="N369" r:id="rId888"/>
    <hyperlink xmlns:r="http://schemas.openxmlformats.org/officeDocument/2006/relationships" ref="I370" r:id="rId889"/>
    <hyperlink xmlns:r="http://schemas.openxmlformats.org/officeDocument/2006/relationships" ref="K370" r:id="rId890"/>
    <hyperlink xmlns:r="http://schemas.openxmlformats.org/officeDocument/2006/relationships" ref="N370" r:id="rId891"/>
    <hyperlink xmlns:r="http://schemas.openxmlformats.org/officeDocument/2006/relationships" ref="H371" r:id="rId892"/>
    <hyperlink xmlns:r="http://schemas.openxmlformats.org/officeDocument/2006/relationships" ref="I371" r:id="rId893"/>
    <hyperlink xmlns:r="http://schemas.openxmlformats.org/officeDocument/2006/relationships" ref="K371" r:id="rId894"/>
    <hyperlink xmlns:r="http://schemas.openxmlformats.org/officeDocument/2006/relationships" ref="N371" r:id="rId895"/>
    <hyperlink xmlns:r="http://schemas.openxmlformats.org/officeDocument/2006/relationships" ref="I372" r:id="rId896"/>
    <hyperlink xmlns:r="http://schemas.openxmlformats.org/officeDocument/2006/relationships" ref="K372" r:id="rId897"/>
    <hyperlink xmlns:r="http://schemas.openxmlformats.org/officeDocument/2006/relationships" ref="N372" r:id="rId898"/>
    <hyperlink xmlns:r="http://schemas.openxmlformats.org/officeDocument/2006/relationships" ref="I373" r:id="rId899"/>
    <hyperlink xmlns:r="http://schemas.openxmlformats.org/officeDocument/2006/relationships" ref="K373" r:id="rId900"/>
    <hyperlink xmlns:r="http://schemas.openxmlformats.org/officeDocument/2006/relationships" ref="N373" r:id="rId901"/>
    <hyperlink xmlns:r="http://schemas.openxmlformats.org/officeDocument/2006/relationships" ref="H374" r:id="rId902"/>
    <hyperlink xmlns:r="http://schemas.openxmlformats.org/officeDocument/2006/relationships" ref="K374" r:id="rId903"/>
    <hyperlink xmlns:r="http://schemas.openxmlformats.org/officeDocument/2006/relationships" ref="N374" r:id="rId904"/>
    <hyperlink xmlns:r="http://schemas.openxmlformats.org/officeDocument/2006/relationships" ref="H375" r:id="rId905"/>
    <hyperlink xmlns:r="http://schemas.openxmlformats.org/officeDocument/2006/relationships" ref="I375" r:id="rId906"/>
    <hyperlink xmlns:r="http://schemas.openxmlformats.org/officeDocument/2006/relationships" ref="K375" r:id="rId907"/>
    <hyperlink xmlns:r="http://schemas.openxmlformats.org/officeDocument/2006/relationships" ref="N375" r:id="rId908"/>
    <hyperlink xmlns:r="http://schemas.openxmlformats.org/officeDocument/2006/relationships" ref="H376" r:id="rId909"/>
    <hyperlink xmlns:r="http://schemas.openxmlformats.org/officeDocument/2006/relationships" ref="I376" r:id="rId910"/>
    <hyperlink xmlns:r="http://schemas.openxmlformats.org/officeDocument/2006/relationships" ref="K376" r:id="rId911"/>
    <hyperlink xmlns:r="http://schemas.openxmlformats.org/officeDocument/2006/relationships" ref="N376" r:id="rId912"/>
    <hyperlink xmlns:r="http://schemas.openxmlformats.org/officeDocument/2006/relationships" ref="I377" r:id="rId913"/>
    <hyperlink xmlns:r="http://schemas.openxmlformats.org/officeDocument/2006/relationships" ref="K377" r:id="rId914"/>
    <hyperlink xmlns:r="http://schemas.openxmlformats.org/officeDocument/2006/relationships" ref="N377" r:id="rId915"/>
    <hyperlink xmlns:r="http://schemas.openxmlformats.org/officeDocument/2006/relationships" ref="I378" r:id="rId916"/>
    <hyperlink xmlns:r="http://schemas.openxmlformats.org/officeDocument/2006/relationships" ref="K378" r:id="rId917"/>
    <hyperlink xmlns:r="http://schemas.openxmlformats.org/officeDocument/2006/relationships" ref="N378" r:id="rId918"/>
    <hyperlink xmlns:r="http://schemas.openxmlformats.org/officeDocument/2006/relationships" ref="I379" r:id="rId919"/>
    <hyperlink xmlns:r="http://schemas.openxmlformats.org/officeDocument/2006/relationships" ref="K379" r:id="rId920"/>
    <hyperlink xmlns:r="http://schemas.openxmlformats.org/officeDocument/2006/relationships" ref="N379" r:id="rId921"/>
    <hyperlink xmlns:r="http://schemas.openxmlformats.org/officeDocument/2006/relationships" ref="I380" r:id="rId922"/>
    <hyperlink xmlns:r="http://schemas.openxmlformats.org/officeDocument/2006/relationships" ref="K380" r:id="rId923"/>
    <hyperlink xmlns:r="http://schemas.openxmlformats.org/officeDocument/2006/relationships" ref="N380" r:id="rId924"/>
    <hyperlink xmlns:r="http://schemas.openxmlformats.org/officeDocument/2006/relationships" ref="H381" r:id="rId925"/>
    <hyperlink xmlns:r="http://schemas.openxmlformats.org/officeDocument/2006/relationships" ref="I381" r:id="rId926"/>
    <hyperlink xmlns:r="http://schemas.openxmlformats.org/officeDocument/2006/relationships" ref="K381" r:id="rId927"/>
    <hyperlink xmlns:r="http://schemas.openxmlformats.org/officeDocument/2006/relationships" ref="N381" r:id="rId928"/>
    <hyperlink xmlns:r="http://schemas.openxmlformats.org/officeDocument/2006/relationships" ref="H382" r:id="rId929"/>
    <hyperlink xmlns:r="http://schemas.openxmlformats.org/officeDocument/2006/relationships" ref="I382" r:id="rId930"/>
    <hyperlink xmlns:r="http://schemas.openxmlformats.org/officeDocument/2006/relationships" ref="K382" r:id="rId931"/>
    <hyperlink xmlns:r="http://schemas.openxmlformats.org/officeDocument/2006/relationships" ref="N382" r:id="rId932"/>
    <hyperlink xmlns:r="http://schemas.openxmlformats.org/officeDocument/2006/relationships" ref="H383" r:id="rId933"/>
    <hyperlink xmlns:r="http://schemas.openxmlformats.org/officeDocument/2006/relationships" ref="I383" r:id="rId934"/>
    <hyperlink xmlns:r="http://schemas.openxmlformats.org/officeDocument/2006/relationships" ref="K383" r:id="rId935"/>
    <hyperlink xmlns:r="http://schemas.openxmlformats.org/officeDocument/2006/relationships" ref="N383" r:id="rId936"/>
    <hyperlink xmlns:r="http://schemas.openxmlformats.org/officeDocument/2006/relationships" ref="H384" r:id="rId937"/>
    <hyperlink xmlns:r="http://schemas.openxmlformats.org/officeDocument/2006/relationships" ref="I384" r:id="rId938"/>
    <hyperlink xmlns:r="http://schemas.openxmlformats.org/officeDocument/2006/relationships" ref="K384" r:id="rId939"/>
    <hyperlink xmlns:r="http://schemas.openxmlformats.org/officeDocument/2006/relationships" ref="N384" r:id="rId940"/>
    <hyperlink xmlns:r="http://schemas.openxmlformats.org/officeDocument/2006/relationships" ref="H385" r:id="rId941"/>
    <hyperlink xmlns:r="http://schemas.openxmlformats.org/officeDocument/2006/relationships" ref="I385" r:id="rId942"/>
    <hyperlink xmlns:r="http://schemas.openxmlformats.org/officeDocument/2006/relationships" ref="K385" r:id="rId943"/>
    <hyperlink xmlns:r="http://schemas.openxmlformats.org/officeDocument/2006/relationships" ref="N385" r:id="rId944"/>
    <hyperlink xmlns:r="http://schemas.openxmlformats.org/officeDocument/2006/relationships" ref="H386" r:id="rId945"/>
    <hyperlink xmlns:r="http://schemas.openxmlformats.org/officeDocument/2006/relationships" ref="I386" r:id="rId946"/>
    <hyperlink xmlns:r="http://schemas.openxmlformats.org/officeDocument/2006/relationships" ref="K386" r:id="rId947"/>
    <hyperlink xmlns:r="http://schemas.openxmlformats.org/officeDocument/2006/relationships" ref="N386" r:id="rId948"/>
    <hyperlink xmlns:r="http://schemas.openxmlformats.org/officeDocument/2006/relationships" ref="H387" r:id="rId949"/>
    <hyperlink xmlns:r="http://schemas.openxmlformats.org/officeDocument/2006/relationships" ref="I387" r:id="rId950"/>
    <hyperlink xmlns:r="http://schemas.openxmlformats.org/officeDocument/2006/relationships" ref="K387" r:id="rId951"/>
    <hyperlink xmlns:r="http://schemas.openxmlformats.org/officeDocument/2006/relationships" ref="N387" r:id="rId952"/>
    <hyperlink xmlns:r="http://schemas.openxmlformats.org/officeDocument/2006/relationships" ref="H388" r:id="rId953"/>
    <hyperlink xmlns:r="http://schemas.openxmlformats.org/officeDocument/2006/relationships" ref="I388" r:id="rId954"/>
    <hyperlink xmlns:r="http://schemas.openxmlformats.org/officeDocument/2006/relationships" ref="K388" r:id="rId955"/>
    <hyperlink xmlns:r="http://schemas.openxmlformats.org/officeDocument/2006/relationships" ref="N388" r:id="rId956"/>
    <hyperlink xmlns:r="http://schemas.openxmlformats.org/officeDocument/2006/relationships" ref="H389" r:id="rId957"/>
    <hyperlink xmlns:r="http://schemas.openxmlformats.org/officeDocument/2006/relationships" ref="I389" r:id="rId958"/>
    <hyperlink xmlns:r="http://schemas.openxmlformats.org/officeDocument/2006/relationships" ref="K389" r:id="rId959"/>
    <hyperlink xmlns:r="http://schemas.openxmlformats.org/officeDocument/2006/relationships" ref="N389" r:id="rId960"/>
    <hyperlink xmlns:r="http://schemas.openxmlformats.org/officeDocument/2006/relationships" ref="H390" r:id="rId961"/>
    <hyperlink xmlns:r="http://schemas.openxmlformats.org/officeDocument/2006/relationships" ref="I390" r:id="rId962"/>
    <hyperlink xmlns:r="http://schemas.openxmlformats.org/officeDocument/2006/relationships" ref="K390" r:id="rId963"/>
    <hyperlink xmlns:r="http://schemas.openxmlformats.org/officeDocument/2006/relationships" ref="N390" r:id="rId964"/>
    <hyperlink xmlns:r="http://schemas.openxmlformats.org/officeDocument/2006/relationships" ref="H391" r:id="rId965"/>
    <hyperlink xmlns:r="http://schemas.openxmlformats.org/officeDocument/2006/relationships" ref="I391" r:id="rId966"/>
    <hyperlink xmlns:r="http://schemas.openxmlformats.org/officeDocument/2006/relationships" ref="K391" r:id="rId967"/>
    <hyperlink xmlns:r="http://schemas.openxmlformats.org/officeDocument/2006/relationships" ref="N391" r:id="rId968"/>
    <hyperlink xmlns:r="http://schemas.openxmlformats.org/officeDocument/2006/relationships" ref="H392" r:id="rId969"/>
    <hyperlink xmlns:r="http://schemas.openxmlformats.org/officeDocument/2006/relationships" ref="I392" r:id="rId970"/>
    <hyperlink xmlns:r="http://schemas.openxmlformats.org/officeDocument/2006/relationships" ref="K392" r:id="rId971"/>
    <hyperlink xmlns:r="http://schemas.openxmlformats.org/officeDocument/2006/relationships" ref="N392" r:id="rId972"/>
    <hyperlink xmlns:r="http://schemas.openxmlformats.org/officeDocument/2006/relationships" ref="H393" r:id="rId973"/>
    <hyperlink xmlns:r="http://schemas.openxmlformats.org/officeDocument/2006/relationships" ref="I393" r:id="rId974"/>
    <hyperlink xmlns:r="http://schemas.openxmlformats.org/officeDocument/2006/relationships" ref="K393" r:id="rId975"/>
    <hyperlink xmlns:r="http://schemas.openxmlformats.org/officeDocument/2006/relationships" ref="N393" r:id="rId976"/>
    <hyperlink xmlns:r="http://schemas.openxmlformats.org/officeDocument/2006/relationships" ref="H394" r:id="rId977"/>
    <hyperlink xmlns:r="http://schemas.openxmlformats.org/officeDocument/2006/relationships" ref="I394" r:id="rId978"/>
    <hyperlink xmlns:r="http://schemas.openxmlformats.org/officeDocument/2006/relationships" ref="K394" r:id="rId979"/>
    <hyperlink xmlns:r="http://schemas.openxmlformats.org/officeDocument/2006/relationships" ref="N394" r:id="rId980"/>
    <hyperlink xmlns:r="http://schemas.openxmlformats.org/officeDocument/2006/relationships" ref="I395" r:id="rId981"/>
    <hyperlink xmlns:r="http://schemas.openxmlformats.org/officeDocument/2006/relationships" ref="K395" r:id="rId982"/>
    <hyperlink xmlns:r="http://schemas.openxmlformats.org/officeDocument/2006/relationships" ref="N395" r:id="rId983"/>
    <hyperlink xmlns:r="http://schemas.openxmlformats.org/officeDocument/2006/relationships" ref="H396" r:id="rId984"/>
    <hyperlink xmlns:r="http://schemas.openxmlformats.org/officeDocument/2006/relationships" ref="I396" r:id="rId985"/>
    <hyperlink xmlns:r="http://schemas.openxmlformats.org/officeDocument/2006/relationships" ref="K396" r:id="rId986"/>
    <hyperlink xmlns:r="http://schemas.openxmlformats.org/officeDocument/2006/relationships" ref="N396" r:id="rId987"/>
    <hyperlink xmlns:r="http://schemas.openxmlformats.org/officeDocument/2006/relationships" ref="H397" r:id="rId988"/>
    <hyperlink xmlns:r="http://schemas.openxmlformats.org/officeDocument/2006/relationships" ref="I397" r:id="rId989"/>
    <hyperlink xmlns:r="http://schemas.openxmlformats.org/officeDocument/2006/relationships" ref="K397" r:id="rId990"/>
    <hyperlink xmlns:r="http://schemas.openxmlformats.org/officeDocument/2006/relationships" ref="N397" r:id="rId991"/>
    <hyperlink xmlns:r="http://schemas.openxmlformats.org/officeDocument/2006/relationships" ref="I398" r:id="rId992"/>
    <hyperlink xmlns:r="http://schemas.openxmlformats.org/officeDocument/2006/relationships" ref="K398" r:id="rId993"/>
    <hyperlink xmlns:r="http://schemas.openxmlformats.org/officeDocument/2006/relationships" ref="N398" r:id="rId994"/>
    <hyperlink xmlns:r="http://schemas.openxmlformats.org/officeDocument/2006/relationships" ref="H399" r:id="rId995"/>
    <hyperlink xmlns:r="http://schemas.openxmlformats.org/officeDocument/2006/relationships" ref="I399" r:id="rId996"/>
    <hyperlink xmlns:r="http://schemas.openxmlformats.org/officeDocument/2006/relationships" ref="K399" r:id="rId997"/>
    <hyperlink xmlns:r="http://schemas.openxmlformats.org/officeDocument/2006/relationships" ref="N399" r:id="rId998"/>
    <hyperlink xmlns:r="http://schemas.openxmlformats.org/officeDocument/2006/relationships" ref="H400" r:id="rId999"/>
    <hyperlink xmlns:r="http://schemas.openxmlformats.org/officeDocument/2006/relationships" ref="I400" r:id="rId1000"/>
    <hyperlink xmlns:r="http://schemas.openxmlformats.org/officeDocument/2006/relationships" ref="K400" r:id="rId1001"/>
    <hyperlink xmlns:r="http://schemas.openxmlformats.org/officeDocument/2006/relationships" ref="N400" r:id="rId1002"/>
    <hyperlink xmlns:r="http://schemas.openxmlformats.org/officeDocument/2006/relationships" ref="H401" r:id="rId1003"/>
    <hyperlink xmlns:r="http://schemas.openxmlformats.org/officeDocument/2006/relationships" ref="I401" r:id="rId1004"/>
    <hyperlink xmlns:r="http://schemas.openxmlformats.org/officeDocument/2006/relationships" ref="K401" r:id="rId1005"/>
    <hyperlink xmlns:r="http://schemas.openxmlformats.org/officeDocument/2006/relationships" ref="N401" r:id="rId1006"/>
    <hyperlink xmlns:r="http://schemas.openxmlformats.org/officeDocument/2006/relationships" ref="H402" r:id="rId1007"/>
    <hyperlink xmlns:r="http://schemas.openxmlformats.org/officeDocument/2006/relationships" ref="I402" r:id="rId1008"/>
    <hyperlink xmlns:r="http://schemas.openxmlformats.org/officeDocument/2006/relationships" ref="K402" r:id="rId1009"/>
    <hyperlink xmlns:r="http://schemas.openxmlformats.org/officeDocument/2006/relationships" ref="N402" r:id="rId1010"/>
    <hyperlink xmlns:r="http://schemas.openxmlformats.org/officeDocument/2006/relationships" ref="H403" r:id="rId1011"/>
    <hyperlink xmlns:r="http://schemas.openxmlformats.org/officeDocument/2006/relationships" ref="I403" r:id="rId1012"/>
    <hyperlink xmlns:r="http://schemas.openxmlformats.org/officeDocument/2006/relationships" ref="K403" r:id="rId1013"/>
    <hyperlink xmlns:r="http://schemas.openxmlformats.org/officeDocument/2006/relationships" ref="N403" r:id="rId1014"/>
    <hyperlink xmlns:r="http://schemas.openxmlformats.org/officeDocument/2006/relationships" ref="H404" r:id="rId1015"/>
    <hyperlink xmlns:r="http://schemas.openxmlformats.org/officeDocument/2006/relationships" ref="I404" r:id="rId1016"/>
    <hyperlink xmlns:r="http://schemas.openxmlformats.org/officeDocument/2006/relationships" ref="K404" r:id="rId1017"/>
    <hyperlink xmlns:r="http://schemas.openxmlformats.org/officeDocument/2006/relationships" ref="N404" r:id="rId1018"/>
    <hyperlink xmlns:r="http://schemas.openxmlformats.org/officeDocument/2006/relationships" ref="H405" r:id="rId1019"/>
    <hyperlink xmlns:r="http://schemas.openxmlformats.org/officeDocument/2006/relationships" ref="I405" r:id="rId1020"/>
    <hyperlink xmlns:r="http://schemas.openxmlformats.org/officeDocument/2006/relationships" ref="K405" r:id="rId1021"/>
    <hyperlink xmlns:r="http://schemas.openxmlformats.org/officeDocument/2006/relationships" ref="N405" r:id="rId1022"/>
    <hyperlink xmlns:r="http://schemas.openxmlformats.org/officeDocument/2006/relationships" ref="H406" r:id="rId1023"/>
    <hyperlink xmlns:r="http://schemas.openxmlformats.org/officeDocument/2006/relationships" ref="I406" r:id="rId1024"/>
    <hyperlink xmlns:r="http://schemas.openxmlformats.org/officeDocument/2006/relationships" ref="K406" r:id="rId1025"/>
    <hyperlink xmlns:r="http://schemas.openxmlformats.org/officeDocument/2006/relationships" ref="N406" r:id="rId1026"/>
    <hyperlink xmlns:r="http://schemas.openxmlformats.org/officeDocument/2006/relationships" ref="H407" r:id="rId1027"/>
    <hyperlink xmlns:r="http://schemas.openxmlformats.org/officeDocument/2006/relationships" ref="I407" r:id="rId1028"/>
    <hyperlink xmlns:r="http://schemas.openxmlformats.org/officeDocument/2006/relationships" ref="K407" r:id="rId1029"/>
    <hyperlink xmlns:r="http://schemas.openxmlformats.org/officeDocument/2006/relationships" ref="N407" r:id="rId1030"/>
    <hyperlink xmlns:r="http://schemas.openxmlformats.org/officeDocument/2006/relationships" ref="H408" r:id="rId1031"/>
    <hyperlink xmlns:r="http://schemas.openxmlformats.org/officeDocument/2006/relationships" ref="I408" r:id="rId1032"/>
    <hyperlink xmlns:r="http://schemas.openxmlformats.org/officeDocument/2006/relationships" ref="K408" r:id="rId1033"/>
    <hyperlink xmlns:r="http://schemas.openxmlformats.org/officeDocument/2006/relationships" ref="N408" r:id="rId1034"/>
    <hyperlink xmlns:r="http://schemas.openxmlformats.org/officeDocument/2006/relationships" ref="H409" r:id="rId1035"/>
    <hyperlink xmlns:r="http://schemas.openxmlformats.org/officeDocument/2006/relationships" ref="I409" r:id="rId1036"/>
    <hyperlink xmlns:r="http://schemas.openxmlformats.org/officeDocument/2006/relationships" ref="K409" r:id="rId1037"/>
    <hyperlink xmlns:r="http://schemas.openxmlformats.org/officeDocument/2006/relationships" ref="N409" r:id="rId1038"/>
    <hyperlink xmlns:r="http://schemas.openxmlformats.org/officeDocument/2006/relationships" ref="H410" r:id="rId1039"/>
    <hyperlink xmlns:r="http://schemas.openxmlformats.org/officeDocument/2006/relationships" ref="I410" r:id="rId1040"/>
    <hyperlink xmlns:r="http://schemas.openxmlformats.org/officeDocument/2006/relationships" ref="K410" r:id="rId1041"/>
    <hyperlink xmlns:r="http://schemas.openxmlformats.org/officeDocument/2006/relationships" ref="N410" r:id="rId1042"/>
    <hyperlink xmlns:r="http://schemas.openxmlformats.org/officeDocument/2006/relationships" ref="I411" r:id="rId1043"/>
    <hyperlink xmlns:r="http://schemas.openxmlformats.org/officeDocument/2006/relationships" ref="K411" r:id="rId1044"/>
    <hyperlink xmlns:r="http://schemas.openxmlformats.org/officeDocument/2006/relationships" ref="N411" r:id="rId1045"/>
    <hyperlink xmlns:r="http://schemas.openxmlformats.org/officeDocument/2006/relationships" ref="H412" r:id="rId1046"/>
    <hyperlink xmlns:r="http://schemas.openxmlformats.org/officeDocument/2006/relationships" ref="I412" r:id="rId1047"/>
    <hyperlink xmlns:r="http://schemas.openxmlformats.org/officeDocument/2006/relationships" ref="K412" r:id="rId1048"/>
    <hyperlink xmlns:r="http://schemas.openxmlformats.org/officeDocument/2006/relationships" ref="N412" r:id="rId1049"/>
    <hyperlink xmlns:r="http://schemas.openxmlformats.org/officeDocument/2006/relationships" ref="H413" r:id="rId1050"/>
    <hyperlink xmlns:r="http://schemas.openxmlformats.org/officeDocument/2006/relationships" ref="I413" r:id="rId1051"/>
    <hyperlink xmlns:r="http://schemas.openxmlformats.org/officeDocument/2006/relationships" ref="K413" r:id="rId1052"/>
    <hyperlink xmlns:r="http://schemas.openxmlformats.org/officeDocument/2006/relationships" ref="N413" r:id="rId1053"/>
    <hyperlink xmlns:r="http://schemas.openxmlformats.org/officeDocument/2006/relationships" ref="I414" r:id="rId1054"/>
    <hyperlink xmlns:r="http://schemas.openxmlformats.org/officeDocument/2006/relationships" ref="K414" r:id="rId1055"/>
    <hyperlink xmlns:r="http://schemas.openxmlformats.org/officeDocument/2006/relationships" ref="N414" r:id="rId1056"/>
    <hyperlink xmlns:r="http://schemas.openxmlformats.org/officeDocument/2006/relationships" ref="I415" r:id="rId1057"/>
    <hyperlink xmlns:r="http://schemas.openxmlformats.org/officeDocument/2006/relationships" ref="K415" r:id="rId1058"/>
    <hyperlink xmlns:r="http://schemas.openxmlformats.org/officeDocument/2006/relationships" ref="N415" r:id="rId1059"/>
    <hyperlink xmlns:r="http://schemas.openxmlformats.org/officeDocument/2006/relationships" ref="H416" r:id="rId1060"/>
    <hyperlink xmlns:r="http://schemas.openxmlformats.org/officeDocument/2006/relationships" ref="I416" r:id="rId1061"/>
    <hyperlink xmlns:r="http://schemas.openxmlformats.org/officeDocument/2006/relationships" ref="K416" r:id="rId1062"/>
    <hyperlink xmlns:r="http://schemas.openxmlformats.org/officeDocument/2006/relationships" ref="N416" r:id="rId1063"/>
    <hyperlink xmlns:r="http://schemas.openxmlformats.org/officeDocument/2006/relationships" ref="H417" r:id="rId1064"/>
    <hyperlink xmlns:r="http://schemas.openxmlformats.org/officeDocument/2006/relationships" ref="I417" r:id="rId1065"/>
    <hyperlink xmlns:r="http://schemas.openxmlformats.org/officeDocument/2006/relationships" ref="K417" r:id="rId1066"/>
    <hyperlink xmlns:r="http://schemas.openxmlformats.org/officeDocument/2006/relationships" ref="N417" r:id="rId1067"/>
    <hyperlink xmlns:r="http://schemas.openxmlformats.org/officeDocument/2006/relationships" ref="H418" r:id="rId1068"/>
    <hyperlink xmlns:r="http://schemas.openxmlformats.org/officeDocument/2006/relationships" ref="I418" r:id="rId1069"/>
    <hyperlink xmlns:r="http://schemas.openxmlformats.org/officeDocument/2006/relationships" ref="K418" r:id="rId1070"/>
    <hyperlink xmlns:r="http://schemas.openxmlformats.org/officeDocument/2006/relationships" ref="N418" r:id="rId1071"/>
    <hyperlink xmlns:r="http://schemas.openxmlformats.org/officeDocument/2006/relationships" ref="H419" r:id="rId1072"/>
    <hyperlink xmlns:r="http://schemas.openxmlformats.org/officeDocument/2006/relationships" ref="I419" r:id="rId1073"/>
    <hyperlink xmlns:r="http://schemas.openxmlformats.org/officeDocument/2006/relationships" ref="K419" r:id="rId1074"/>
    <hyperlink xmlns:r="http://schemas.openxmlformats.org/officeDocument/2006/relationships" ref="N419" r:id="rId1075"/>
    <hyperlink xmlns:r="http://schemas.openxmlformats.org/officeDocument/2006/relationships" ref="I420" r:id="rId1076"/>
    <hyperlink xmlns:r="http://schemas.openxmlformats.org/officeDocument/2006/relationships" ref="K420" r:id="rId1077"/>
    <hyperlink xmlns:r="http://schemas.openxmlformats.org/officeDocument/2006/relationships" ref="N420" r:id="rId1078"/>
    <hyperlink xmlns:r="http://schemas.openxmlformats.org/officeDocument/2006/relationships" ref="I421" r:id="rId1079"/>
    <hyperlink xmlns:r="http://schemas.openxmlformats.org/officeDocument/2006/relationships" ref="K421" r:id="rId1080"/>
    <hyperlink xmlns:r="http://schemas.openxmlformats.org/officeDocument/2006/relationships" ref="N421" r:id="rId1081"/>
    <hyperlink xmlns:r="http://schemas.openxmlformats.org/officeDocument/2006/relationships" ref="H422" r:id="rId1082"/>
    <hyperlink xmlns:r="http://schemas.openxmlformats.org/officeDocument/2006/relationships" ref="K422" r:id="rId1083"/>
    <hyperlink xmlns:r="http://schemas.openxmlformats.org/officeDocument/2006/relationships" ref="N422" r:id="rId1084"/>
    <hyperlink xmlns:r="http://schemas.openxmlformats.org/officeDocument/2006/relationships" ref="H423" r:id="rId1085"/>
    <hyperlink xmlns:r="http://schemas.openxmlformats.org/officeDocument/2006/relationships" ref="I423" r:id="rId1086"/>
    <hyperlink xmlns:r="http://schemas.openxmlformats.org/officeDocument/2006/relationships" ref="K423" r:id="rId1087"/>
    <hyperlink xmlns:r="http://schemas.openxmlformats.org/officeDocument/2006/relationships" ref="N423" r:id="rId1088"/>
    <hyperlink xmlns:r="http://schemas.openxmlformats.org/officeDocument/2006/relationships" ref="H424" r:id="rId1089"/>
    <hyperlink xmlns:r="http://schemas.openxmlformats.org/officeDocument/2006/relationships" ref="I424" r:id="rId1090"/>
    <hyperlink xmlns:r="http://schemas.openxmlformats.org/officeDocument/2006/relationships" ref="K424" r:id="rId1091"/>
    <hyperlink xmlns:r="http://schemas.openxmlformats.org/officeDocument/2006/relationships" ref="N424" r:id="rId1092"/>
    <hyperlink xmlns:r="http://schemas.openxmlformats.org/officeDocument/2006/relationships" ref="H425" r:id="rId1093"/>
    <hyperlink xmlns:r="http://schemas.openxmlformats.org/officeDocument/2006/relationships" ref="I425" r:id="rId1094"/>
    <hyperlink xmlns:r="http://schemas.openxmlformats.org/officeDocument/2006/relationships" ref="K425" r:id="rId1095"/>
    <hyperlink xmlns:r="http://schemas.openxmlformats.org/officeDocument/2006/relationships" ref="N425" r:id="rId1096"/>
    <hyperlink xmlns:r="http://schemas.openxmlformats.org/officeDocument/2006/relationships" ref="H426" r:id="rId1097"/>
    <hyperlink xmlns:r="http://schemas.openxmlformats.org/officeDocument/2006/relationships" ref="K426" r:id="rId1098"/>
    <hyperlink xmlns:r="http://schemas.openxmlformats.org/officeDocument/2006/relationships" ref="N426" r:id="rId1099"/>
    <hyperlink xmlns:r="http://schemas.openxmlformats.org/officeDocument/2006/relationships" ref="H427" r:id="rId1100"/>
    <hyperlink xmlns:r="http://schemas.openxmlformats.org/officeDocument/2006/relationships" ref="I427" r:id="rId1101"/>
    <hyperlink xmlns:r="http://schemas.openxmlformats.org/officeDocument/2006/relationships" ref="K427" r:id="rId1102"/>
    <hyperlink xmlns:r="http://schemas.openxmlformats.org/officeDocument/2006/relationships" ref="N427" r:id="rId1103"/>
    <hyperlink xmlns:r="http://schemas.openxmlformats.org/officeDocument/2006/relationships" ref="H428" r:id="rId1104"/>
    <hyperlink xmlns:r="http://schemas.openxmlformats.org/officeDocument/2006/relationships" ref="K428" r:id="rId1105"/>
    <hyperlink xmlns:r="http://schemas.openxmlformats.org/officeDocument/2006/relationships" ref="N428" r:id="rId1106"/>
    <hyperlink xmlns:r="http://schemas.openxmlformats.org/officeDocument/2006/relationships" ref="I429" r:id="rId1107"/>
    <hyperlink xmlns:r="http://schemas.openxmlformats.org/officeDocument/2006/relationships" ref="K429" r:id="rId1108"/>
    <hyperlink xmlns:r="http://schemas.openxmlformats.org/officeDocument/2006/relationships" ref="N429" r:id="rId1109"/>
    <hyperlink xmlns:r="http://schemas.openxmlformats.org/officeDocument/2006/relationships" ref="I430" r:id="rId1110"/>
    <hyperlink xmlns:r="http://schemas.openxmlformats.org/officeDocument/2006/relationships" ref="K430" r:id="rId1111"/>
    <hyperlink xmlns:r="http://schemas.openxmlformats.org/officeDocument/2006/relationships" ref="N430" r:id="rId1112"/>
    <hyperlink xmlns:r="http://schemas.openxmlformats.org/officeDocument/2006/relationships" ref="I431" r:id="rId1113"/>
    <hyperlink xmlns:r="http://schemas.openxmlformats.org/officeDocument/2006/relationships" ref="K431" r:id="rId1114"/>
    <hyperlink xmlns:r="http://schemas.openxmlformats.org/officeDocument/2006/relationships" ref="N431" r:id="rId1115"/>
    <hyperlink xmlns:r="http://schemas.openxmlformats.org/officeDocument/2006/relationships" ref="H432" r:id="rId1116"/>
    <hyperlink xmlns:r="http://schemas.openxmlformats.org/officeDocument/2006/relationships" ref="I432" r:id="rId1117"/>
    <hyperlink xmlns:r="http://schemas.openxmlformats.org/officeDocument/2006/relationships" ref="K432" r:id="rId1118"/>
    <hyperlink xmlns:r="http://schemas.openxmlformats.org/officeDocument/2006/relationships" ref="N432" r:id="rId1119"/>
    <hyperlink xmlns:r="http://schemas.openxmlformats.org/officeDocument/2006/relationships" ref="H433" r:id="rId1120"/>
    <hyperlink xmlns:r="http://schemas.openxmlformats.org/officeDocument/2006/relationships" ref="K433" r:id="rId1121"/>
    <hyperlink xmlns:r="http://schemas.openxmlformats.org/officeDocument/2006/relationships" ref="N433" r:id="rId1122"/>
    <hyperlink xmlns:r="http://schemas.openxmlformats.org/officeDocument/2006/relationships" ref="H434" r:id="rId1123"/>
    <hyperlink xmlns:r="http://schemas.openxmlformats.org/officeDocument/2006/relationships" ref="I434" r:id="rId1124"/>
    <hyperlink xmlns:r="http://schemas.openxmlformats.org/officeDocument/2006/relationships" ref="K434" r:id="rId1125"/>
    <hyperlink xmlns:r="http://schemas.openxmlformats.org/officeDocument/2006/relationships" ref="N434" r:id="rId1126"/>
    <hyperlink xmlns:r="http://schemas.openxmlformats.org/officeDocument/2006/relationships" ref="H435" r:id="rId1127"/>
    <hyperlink xmlns:r="http://schemas.openxmlformats.org/officeDocument/2006/relationships" ref="I435" r:id="rId1128"/>
    <hyperlink xmlns:r="http://schemas.openxmlformats.org/officeDocument/2006/relationships" ref="K435" r:id="rId1129"/>
    <hyperlink xmlns:r="http://schemas.openxmlformats.org/officeDocument/2006/relationships" ref="N435" r:id="rId1130"/>
    <hyperlink xmlns:r="http://schemas.openxmlformats.org/officeDocument/2006/relationships" ref="H436" r:id="rId1131"/>
    <hyperlink xmlns:r="http://schemas.openxmlformats.org/officeDocument/2006/relationships" ref="I436" r:id="rId1132"/>
    <hyperlink xmlns:r="http://schemas.openxmlformats.org/officeDocument/2006/relationships" ref="K436" r:id="rId1133"/>
    <hyperlink xmlns:r="http://schemas.openxmlformats.org/officeDocument/2006/relationships" ref="N436" r:id="rId1134"/>
    <hyperlink xmlns:r="http://schemas.openxmlformats.org/officeDocument/2006/relationships" ref="H437" r:id="rId1135"/>
    <hyperlink xmlns:r="http://schemas.openxmlformats.org/officeDocument/2006/relationships" ref="K437" r:id="rId1136"/>
    <hyperlink xmlns:r="http://schemas.openxmlformats.org/officeDocument/2006/relationships" ref="N437" r:id="rId1137"/>
    <hyperlink xmlns:r="http://schemas.openxmlformats.org/officeDocument/2006/relationships" ref="H438" r:id="rId1138"/>
    <hyperlink xmlns:r="http://schemas.openxmlformats.org/officeDocument/2006/relationships" ref="I438" r:id="rId1139"/>
    <hyperlink xmlns:r="http://schemas.openxmlformats.org/officeDocument/2006/relationships" ref="K438" r:id="rId1140"/>
    <hyperlink xmlns:r="http://schemas.openxmlformats.org/officeDocument/2006/relationships" ref="N438" r:id="rId1141"/>
    <hyperlink xmlns:r="http://schemas.openxmlformats.org/officeDocument/2006/relationships" ref="H439" r:id="rId1142"/>
    <hyperlink xmlns:r="http://schemas.openxmlformats.org/officeDocument/2006/relationships" ref="I439" r:id="rId1143"/>
    <hyperlink xmlns:r="http://schemas.openxmlformats.org/officeDocument/2006/relationships" ref="K439" r:id="rId1144"/>
    <hyperlink xmlns:r="http://schemas.openxmlformats.org/officeDocument/2006/relationships" ref="N439" r:id="rId1145"/>
    <hyperlink xmlns:r="http://schemas.openxmlformats.org/officeDocument/2006/relationships" ref="H440" r:id="rId1146"/>
    <hyperlink xmlns:r="http://schemas.openxmlformats.org/officeDocument/2006/relationships" ref="I440" r:id="rId1147"/>
    <hyperlink xmlns:r="http://schemas.openxmlformats.org/officeDocument/2006/relationships" ref="K440" r:id="rId1148"/>
    <hyperlink xmlns:r="http://schemas.openxmlformats.org/officeDocument/2006/relationships" ref="N440" r:id="rId1149"/>
    <hyperlink xmlns:r="http://schemas.openxmlformats.org/officeDocument/2006/relationships" ref="I441" r:id="rId1150"/>
    <hyperlink xmlns:r="http://schemas.openxmlformats.org/officeDocument/2006/relationships" ref="K441" r:id="rId1151"/>
    <hyperlink xmlns:r="http://schemas.openxmlformats.org/officeDocument/2006/relationships" ref="N441" r:id="rId1152"/>
    <hyperlink xmlns:r="http://schemas.openxmlformats.org/officeDocument/2006/relationships" ref="H442" r:id="rId1153"/>
    <hyperlink xmlns:r="http://schemas.openxmlformats.org/officeDocument/2006/relationships" ref="I442" r:id="rId1154"/>
    <hyperlink xmlns:r="http://schemas.openxmlformats.org/officeDocument/2006/relationships" ref="K442" r:id="rId1155"/>
    <hyperlink xmlns:r="http://schemas.openxmlformats.org/officeDocument/2006/relationships" ref="N442" r:id="rId1156"/>
    <hyperlink xmlns:r="http://schemas.openxmlformats.org/officeDocument/2006/relationships" ref="I443" r:id="rId1157"/>
    <hyperlink xmlns:r="http://schemas.openxmlformats.org/officeDocument/2006/relationships" ref="K443" r:id="rId1158"/>
    <hyperlink xmlns:r="http://schemas.openxmlformats.org/officeDocument/2006/relationships" ref="N443" r:id="rId1159"/>
    <hyperlink xmlns:r="http://schemas.openxmlformats.org/officeDocument/2006/relationships" ref="H444" r:id="rId1160"/>
    <hyperlink xmlns:r="http://schemas.openxmlformats.org/officeDocument/2006/relationships" ref="I444" r:id="rId1161"/>
    <hyperlink xmlns:r="http://schemas.openxmlformats.org/officeDocument/2006/relationships" ref="K444" r:id="rId1162"/>
    <hyperlink xmlns:r="http://schemas.openxmlformats.org/officeDocument/2006/relationships" ref="N444" r:id="rId1163"/>
    <hyperlink xmlns:r="http://schemas.openxmlformats.org/officeDocument/2006/relationships" ref="H445" r:id="rId1164"/>
    <hyperlink xmlns:r="http://schemas.openxmlformats.org/officeDocument/2006/relationships" ref="I445" r:id="rId1165"/>
    <hyperlink xmlns:r="http://schemas.openxmlformats.org/officeDocument/2006/relationships" ref="K445" r:id="rId1166"/>
    <hyperlink xmlns:r="http://schemas.openxmlformats.org/officeDocument/2006/relationships" ref="N445" r:id="rId1167"/>
    <hyperlink xmlns:r="http://schemas.openxmlformats.org/officeDocument/2006/relationships" ref="H446" r:id="rId1168"/>
    <hyperlink xmlns:r="http://schemas.openxmlformats.org/officeDocument/2006/relationships" ref="K446" r:id="rId1169"/>
    <hyperlink xmlns:r="http://schemas.openxmlformats.org/officeDocument/2006/relationships" ref="N446" r:id="rId1170"/>
    <hyperlink xmlns:r="http://schemas.openxmlformats.org/officeDocument/2006/relationships" ref="H447" r:id="rId1171"/>
    <hyperlink xmlns:r="http://schemas.openxmlformats.org/officeDocument/2006/relationships" ref="I447" r:id="rId1172"/>
    <hyperlink xmlns:r="http://schemas.openxmlformats.org/officeDocument/2006/relationships" ref="K447" r:id="rId1173"/>
    <hyperlink xmlns:r="http://schemas.openxmlformats.org/officeDocument/2006/relationships" ref="N447" r:id="rId1174"/>
    <hyperlink xmlns:r="http://schemas.openxmlformats.org/officeDocument/2006/relationships" ref="H448" r:id="rId1175"/>
    <hyperlink xmlns:r="http://schemas.openxmlformats.org/officeDocument/2006/relationships" ref="I448" r:id="rId1176"/>
    <hyperlink xmlns:r="http://schemas.openxmlformats.org/officeDocument/2006/relationships" ref="K448" r:id="rId1177"/>
    <hyperlink xmlns:r="http://schemas.openxmlformats.org/officeDocument/2006/relationships" ref="N448" r:id="rId1178"/>
    <hyperlink xmlns:r="http://schemas.openxmlformats.org/officeDocument/2006/relationships" ref="H449" r:id="rId1179"/>
    <hyperlink xmlns:r="http://schemas.openxmlformats.org/officeDocument/2006/relationships" ref="K449" r:id="rId1180"/>
    <hyperlink xmlns:r="http://schemas.openxmlformats.org/officeDocument/2006/relationships" ref="N449" r:id="rId1181"/>
    <hyperlink xmlns:r="http://schemas.openxmlformats.org/officeDocument/2006/relationships" ref="H450" r:id="rId1182"/>
    <hyperlink xmlns:r="http://schemas.openxmlformats.org/officeDocument/2006/relationships" ref="I450" r:id="rId1183"/>
    <hyperlink xmlns:r="http://schemas.openxmlformats.org/officeDocument/2006/relationships" ref="K450" r:id="rId1184"/>
    <hyperlink xmlns:r="http://schemas.openxmlformats.org/officeDocument/2006/relationships" ref="N450" r:id="rId1185"/>
    <hyperlink xmlns:r="http://schemas.openxmlformats.org/officeDocument/2006/relationships" ref="I451" r:id="rId1186"/>
    <hyperlink xmlns:r="http://schemas.openxmlformats.org/officeDocument/2006/relationships" ref="K451" r:id="rId1187"/>
    <hyperlink xmlns:r="http://schemas.openxmlformats.org/officeDocument/2006/relationships" ref="N451" r:id="rId1188"/>
    <hyperlink xmlns:r="http://schemas.openxmlformats.org/officeDocument/2006/relationships" ref="H452" r:id="rId1189"/>
    <hyperlink xmlns:r="http://schemas.openxmlformats.org/officeDocument/2006/relationships" ref="I452" r:id="rId1190"/>
    <hyperlink xmlns:r="http://schemas.openxmlformats.org/officeDocument/2006/relationships" ref="K452" r:id="rId1191"/>
    <hyperlink xmlns:r="http://schemas.openxmlformats.org/officeDocument/2006/relationships" ref="N452" r:id="rId1192"/>
    <hyperlink xmlns:r="http://schemas.openxmlformats.org/officeDocument/2006/relationships" ref="H453" r:id="rId1193"/>
    <hyperlink xmlns:r="http://schemas.openxmlformats.org/officeDocument/2006/relationships" ref="I453" r:id="rId1194"/>
    <hyperlink xmlns:r="http://schemas.openxmlformats.org/officeDocument/2006/relationships" ref="K453" r:id="rId1195"/>
    <hyperlink xmlns:r="http://schemas.openxmlformats.org/officeDocument/2006/relationships" ref="N453" r:id="rId1196"/>
    <hyperlink xmlns:r="http://schemas.openxmlformats.org/officeDocument/2006/relationships" ref="H454" r:id="rId1197"/>
    <hyperlink xmlns:r="http://schemas.openxmlformats.org/officeDocument/2006/relationships" ref="I454" r:id="rId1198"/>
    <hyperlink xmlns:r="http://schemas.openxmlformats.org/officeDocument/2006/relationships" ref="K454" r:id="rId1199"/>
    <hyperlink xmlns:r="http://schemas.openxmlformats.org/officeDocument/2006/relationships" ref="N454" r:id="rId1200"/>
    <hyperlink xmlns:r="http://schemas.openxmlformats.org/officeDocument/2006/relationships" ref="H455" r:id="rId1201"/>
    <hyperlink xmlns:r="http://schemas.openxmlformats.org/officeDocument/2006/relationships" ref="K455" r:id="rId1202"/>
    <hyperlink xmlns:r="http://schemas.openxmlformats.org/officeDocument/2006/relationships" ref="N455" r:id="rId1203"/>
    <hyperlink xmlns:r="http://schemas.openxmlformats.org/officeDocument/2006/relationships" ref="H456" r:id="rId1204"/>
    <hyperlink xmlns:r="http://schemas.openxmlformats.org/officeDocument/2006/relationships" ref="I456" r:id="rId1205"/>
    <hyperlink xmlns:r="http://schemas.openxmlformats.org/officeDocument/2006/relationships" ref="K456" r:id="rId1206"/>
    <hyperlink xmlns:r="http://schemas.openxmlformats.org/officeDocument/2006/relationships" ref="N456" r:id="rId1207"/>
    <hyperlink xmlns:r="http://schemas.openxmlformats.org/officeDocument/2006/relationships" ref="H457" r:id="rId1208"/>
    <hyperlink xmlns:r="http://schemas.openxmlformats.org/officeDocument/2006/relationships" ref="K457" r:id="rId1209"/>
    <hyperlink xmlns:r="http://schemas.openxmlformats.org/officeDocument/2006/relationships" ref="N457" r:id="rId1210"/>
    <hyperlink xmlns:r="http://schemas.openxmlformats.org/officeDocument/2006/relationships" ref="H458" r:id="rId1211"/>
    <hyperlink xmlns:r="http://schemas.openxmlformats.org/officeDocument/2006/relationships" ref="I458" r:id="rId1212"/>
    <hyperlink xmlns:r="http://schemas.openxmlformats.org/officeDocument/2006/relationships" ref="K458" r:id="rId1213"/>
    <hyperlink xmlns:r="http://schemas.openxmlformats.org/officeDocument/2006/relationships" ref="N458" r:id="rId1214"/>
    <hyperlink xmlns:r="http://schemas.openxmlformats.org/officeDocument/2006/relationships" ref="H459" r:id="rId1215"/>
    <hyperlink xmlns:r="http://schemas.openxmlformats.org/officeDocument/2006/relationships" ref="I459" r:id="rId1216"/>
    <hyperlink xmlns:r="http://schemas.openxmlformats.org/officeDocument/2006/relationships" ref="K459" r:id="rId1217"/>
    <hyperlink xmlns:r="http://schemas.openxmlformats.org/officeDocument/2006/relationships" ref="N459" r:id="rId1218"/>
    <hyperlink xmlns:r="http://schemas.openxmlformats.org/officeDocument/2006/relationships" ref="H460" r:id="rId1219"/>
    <hyperlink xmlns:r="http://schemas.openxmlformats.org/officeDocument/2006/relationships" ref="K460" r:id="rId1220"/>
    <hyperlink xmlns:r="http://schemas.openxmlformats.org/officeDocument/2006/relationships" ref="N460" r:id="rId1221"/>
    <hyperlink xmlns:r="http://schemas.openxmlformats.org/officeDocument/2006/relationships" ref="H461" r:id="rId1222"/>
    <hyperlink xmlns:r="http://schemas.openxmlformats.org/officeDocument/2006/relationships" ref="I461" r:id="rId1223"/>
    <hyperlink xmlns:r="http://schemas.openxmlformats.org/officeDocument/2006/relationships" ref="K461" r:id="rId1224"/>
    <hyperlink xmlns:r="http://schemas.openxmlformats.org/officeDocument/2006/relationships" ref="N461" r:id="rId1225"/>
    <hyperlink xmlns:r="http://schemas.openxmlformats.org/officeDocument/2006/relationships" ref="H462" r:id="rId1226"/>
    <hyperlink xmlns:r="http://schemas.openxmlformats.org/officeDocument/2006/relationships" ref="I462" r:id="rId1227"/>
    <hyperlink xmlns:r="http://schemas.openxmlformats.org/officeDocument/2006/relationships" ref="K462" r:id="rId1228"/>
    <hyperlink xmlns:r="http://schemas.openxmlformats.org/officeDocument/2006/relationships" ref="N462" r:id="rId1229"/>
    <hyperlink xmlns:r="http://schemas.openxmlformats.org/officeDocument/2006/relationships" ref="I463" r:id="rId1230"/>
    <hyperlink xmlns:r="http://schemas.openxmlformats.org/officeDocument/2006/relationships" ref="K463" r:id="rId1231"/>
    <hyperlink xmlns:r="http://schemas.openxmlformats.org/officeDocument/2006/relationships" ref="N463" r:id="rId1232"/>
    <hyperlink xmlns:r="http://schemas.openxmlformats.org/officeDocument/2006/relationships" ref="I464" r:id="rId1233"/>
    <hyperlink xmlns:r="http://schemas.openxmlformats.org/officeDocument/2006/relationships" ref="K464" r:id="rId1234"/>
    <hyperlink xmlns:r="http://schemas.openxmlformats.org/officeDocument/2006/relationships" ref="N464" r:id="rId1235"/>
    <hyperlink xmlns:r="http://schemas.openxmlformats.org/officeDocument/2006/relationships" ref="H465" r:id="rId1236"/>
    <hyperlink xmlns:r="http://schemas.openxmlformats.org/officeDocument/2006/relationships" ref="K465" r:id="rId1237"/>
    <hyperlink xmlns:r="http://schemas.openxmlformats.org/officeDocument/2006/relationships" ref="N465" r:id="rId1238"/>
    <hyperlink xmlns:r="http://schemas.openxmlformats.org/officeDocument/2006/relationships" ref="H466" r:id="rId1239"/>
    <hyperlink xmlns:r="http://schemas.openxmlformats.org/officeDocument/2006/relationships" ref="K466" r:id="rId1240"/>
    <hyperlink xmlns:r="http://schemas.openxmlformats.org/officeDocument/2006/relationships" ref="N466" r:id="rId1241"/>
    <hyperlink xmlns:r="http://schemas.openxmlformats.org/officeDocument/2006/relationships" ref="H467" r:id="rId1242"/>
    <hyperlink xmlns:r="http://schemas.openxmlformats.org/officeDocument/2006/relationships" ref="I467" r:id="rId1243"/>
    <hyperlink xmlns:r="http://schemas.openxmlformats.org/officeDocument/2006/relationships" ref="K467" r:id="rId1244"/>
    <hyperlink xmlns:r="http://schemas.openxmlformats.org/officeDocument/2006/relationships" ref="N467" r:id="rId1245"/>
    <hyperlink xmlns:r="http://schemas.openxmlformats.org/officeDocument/2006/relationships" ref="I468" r:id="rId1246"/>
    <hyperlink xmlns:r="http://schemas.openxmlformats.org/officeDocument/2006/relationships" ref="K468" r:id="rId1247"/>
    <hyperlink xmlns:r="http://schemas.openxmlformats.org/officeDocument/2006/relationships" ref="N468" r:id="rId1248"/>
    <hyperlink xmlns:r="http://schemas.openxmlformats.org/officeDocument/2006/relationships" ref="H469" r:id="rId1249"/>
    <hyperlink xmlns:r="http://schemas.openxmlformats.org/officeDocument/2006/relationships" ref="K469" r:id="rId1250"/>
    <hyperlink xmlns:r="http://schemas.openxmlformats.org/officeDocument/2006/relationships" ref="N469" r:id="rId1251"/>
    <hyperlink xmlns:r="http://schemas.openxmlformats.org/officeDocument/2006/relationships" ref="H470" r:id="rId1252"/>
    <hyperlink xmlns:r="http://schemas.openxmlformats.org/officeDocument/2006/relationships" ref="I470" r:id="rId1253"/>
    <hyperlink xmlns:r="http://schemas.openxmlformats.org/officeDocument/2006/relationships" ref="K470" r:id="rId1254"/>
    <hyperlink xmlns:r="http://schemas.openxmlformats.org/officeDocument/2006/relationships" ref="N470" r:id="rId1255"/>
    <hyperlink xmlns:r="http://schemas.openxmlformats.org/officeDocument/2006/relationships" ref="H471" r:id="rId1256"/>
    <hyperlink xmlns:r="http://schemas.openxmlformats.org/officeDocument/2006/relationships" ref="K471" r:id="rId1257"/>
    <hyperlink xmlns:r="http://schemas.openxmlformats.org/officeDocument/2006/relationships" ref="N471" r:id="rId1258"/>
    <hyperlink xmlns:r="http://schemas.openxmlformats.org/officeDocument/2006/relationships" ref="H472" r:id="rId1259"/>
    <hyperlink xmlns:r="http://schemas.openxmlformats.org/officeDocument/2006/relationships" ref="K472" r:id="rId1260"/>
    <hyperlink xmlns:r="http://schemas.openxmlformats.org/officeDocument/2006/relationships" ref="N472" r:id="rId1261"/>
    <hyperlink xmlns:r="http://schemas.openxmlformats.org/officeDocument/2006/relationships" ref="I473" r:id="rId1262"/>
    <hyperlink xmlns:r="http://schemas.openxmlformats.org/officeDocument/2006/relationships" ref="K473" r:id="rId1263"/>
    <hyperlink xmlns:r="http://schemas.openxmlformats.org/officeDocument/2006/relationships" ref="N473" r:id="rId1264"/>
    <hyperlink xmlns:r="http://schemas.openxmlformats.org/officeDocument/2006/relationships" ref="H474" r:id="rId1265"/>
    <hyperlink xmlns:r="http://schemas.openxmlformats.org/officeDocument/2006/relationships" ref="I474" r:id="rId1266"/>
    <hyperlink xmlns:r="http://schemas.openxmlformats.org/officeDocument/2006/relationships" ref="K474" r:id="rId1267"/>
    <hyperlink xmlns:r="http://schemas.openxmlformats.org/officeDocument/2006/relationships" ref="N474" r:id="rId1268"/>
    <hyperlink xmlns:r="http://schemas.openxmlformats.org/officeDocument/2006/relationships" ref="I475" r:id="rId1269"/>
    <hyperlink xmlns:r="http://schemas.openxmlformats.org/officeDocument/2006/relationships" ref="K475" r:id="rId1270"/>
    <hyperlink xmlns:r="http://schemas.openxmlformats.org/officeDocument/2006/relationships" ref="N475" r:id="rId1271"/>
    <hyperlink xmlns:r="http://schemas.openxmlformats.org/officeDocument/2006/relationships" ref="H476" r:id="rId1272"/>
    <hyperlink xmlns:r="http://schemas.openxmlformats.org/officeDocument/2006/relationships" ref="I476" r:id="rId1273"/>
    <hyperlink xmlns:r="http://schemas.openxmlformats.org/officeDocument/2006/relationships" ref="K476" r:id="rId1274"/>
    <hyperlink xmlns:r="http://schemas.openxmlformats.org/officeDocument/2006/relationships" ref="N476" r:id="rId1275"/>
    <hyperlink xmlns:r="http://schemas.openxmlformats.org/officeDocument/2006/relationships" ref="I477" r:id="rId1276"/>
    <hyperlink xmlns:r="http://schemas.openxmlformats.org/officeDocument/2006/relationships" ref="K477" r:id="rId1277"/>
    <hyperlink xmlns:r="http://schemas.openxmlformats.org/officeDocument/2006/relationships" ref="N477" r:id="rId1278"/>
    <hyperlink xmlns:r="http://schemas.openxmlformats.org/officeDocument/2006/relationships" ref="H478" r:id="rId1279"/>
    <hyperlink xmlns:r="http://schemas.openxmlformats.org/officeDocument/2006/relationships" ref="I478" r:id="rId1280"/>
    <hyperlink xmlns:r="http://schemas.openxmlformats.org/officeDocument/2006/relationships" ref="K478" r:id="rId1281"/>
    <hyperlink xmlns:r="http://schemas.openxmlformats.org/officeDocument/2006/relationships" ref="N478" r:id="rId1282"/>
    <hyperlink xmlns:r="http://schemas.openxmlformats.org/officeDocument/2006/relationships" ref="H479" r:id="rId1283"/>
    <hyperlink xmlns:r="http://schemas.openxmlformats.org/officeDocument/2006/relationships" ref="I479" r:id="rId1284"/>
    <hyperlink xmlns:r="http://schemas.openxmlformats.org/officeDocument/2006/relationships" ref="K479" r:id="rId1285"/>
    <hyperlink xmlns:r="http://schemas.openxmlformats.org/officeDocument/2006/relationships" ref="N479" r:id="rId1286"/>
    <hyperlink xmlns:r="http://schemas.openxmlformats.org/officeDocument/2006/relationships" ref="I480" r:id="rId1287"/>
    <hyperlink xmlns:r="http://schemas.openxmlformats.org/officeDocument/2006/relationships" ref="K480" r:id="rId1288"/>
    <hyperlink xmlns:r="http://schemas.openxmlformats.org/officeDocument/2006/relationships" ref="N480" r:id="rId1289"/>
    <hyperlink xmlns:r="http://schemas.openxmlformats.org/officeDocument/2006/relationships" ref="H481" r:id="rId1290"/>
    <hyperlink xmlns:r="http://schemas.openxmlformats.org/officeDocument/2006/relationships" ref="I481" r:id="rId1291"/>
    <hyperlink xmlns:r="http://schemas.openxmlformats.org/officeDocument/2006/relationships" ref="K481" r:id="rId1292"/>
    <hyperlink xmlns:r="http://schemas.openxmlformats.org/officeDocument/2006/relationships" ref="N481" r:id="rId1293"/>
    <hyperlink xmlns:r="http://schemas.openxmlformats.org/officeDocument/2006/relationships" ref="H482" r:id="rId1294"/>
    <hyperlink xmlns:r="http://schemas.openxmlformats.org/officeDocument/2006/relationships" ref="I482" r:id="rId1295"/>
    <hyperlink xmlns:r="http://schemas.openxmlformats.org/officeDocument/2006/relationships" ref="K482" r:id="rId1296"/>
    <hyperlink xmlns:r="http://schemas.openxmlformats.org/officeDocument/2006/relationships" ref="N482" r:id="rId1297"/>
    <hyperlink xmlns:r="http://schemas.openxmlformats.org/officeDocument/2006/relationships" ref="H483" r:id="rId1298"/>
    <hyperlink xmlns:r="http://schemas.openxmlformats.org/officeDocument/2006/relationships" ref="I483" r:id="rId1299"/>
    <hyperlink xmlns:r="http://schemas.openxmlformats.org/officeDocument/2006/relationships" ref="K483" r:id="rId1300"/>
    <hyperlink xmlns:r="http://schemas.openxmlformats.org/officeDocument/2006/relationships" ref="N483" r:id="rId1301"/>
    <hyperlink xmlns:r="http://schemas.openxmlformats.org/officeDocument/2006/relationships" ref="I484" r:id="rId1302"/>
    <hyperlink xmlns:r="http://schemas.openxmlformats.org/officeDocument/2006/relationships" ref="K484" r:id="rId1303"/>
    <hyperlink xmlns:r="http://schemas.openxmlformats.org/officeDocument/2006/relationships" ref="N484" r:id="rId1304"/>
    <hyperlink xmlns:r="http://schemas.openxmlformats.org/officeDocument/2006/relationships" ref="I485" r:id="rId1305"/>
    <hyperlink xmlns:r="http://schemas.openxmlformats.org/officeDocument/2006/relationships" ref="K485" r:id="rId1306"/>
    <hyperlink xmlns:r="http://schemas.openxmlformats.org/officeDocument/2006/relationships" ref="N485" r:id="rId1307"/>
    <hyperlink xmlns:r="http://schemas.openxmlformats.org/officeDocument/2006/relationships" ref="H486" r:id="rId1308"/>
    <hyperlink xmlns:r="http://schemas.openxmlformats.org/officeDocument/2006/relationships" ref="I486" r:id="rId1309"/>
    <hyperlink xmlns:r="http://schemas.openxmlformats.org/officeDocument/2006/relationships" ref="K486" r:id="rId1310"/>
    <hyperlink xmlns:r="http://schemas.openxmlformats.org/officeDocument/2006/relationships" ref="N486" r:id="rId1311"/>
    <hyperlink xmlns:r="http://schemas.openxmlformats.org/officeDocument/2006/relationships" ref="I487" r:id="rId1312"/>
    <hyperlink xmlns:r="http://schemas.openxmlformats.org/officeDocument/2006/relationships" ref="K487" r:id="rId1313"/>
    <hyperlink xmlns:r="http://schemas.openxmlformats.org/officeDocument/2006/relationships" ref="N487" r:id="rId1314"/>
    <hyperlink xmlns:r="http://schemas.openxmlformats.org/officeDocument/2006/relationships" ref="H488" r:id="rId1315"/>
    <hyperlink xmlns:r="http://schemas.openxmlformats.org/officeDocument/2006/relationships" ref="I488" r:id="rId1316"/>
    <hyperlink xmlns:r="http://schemas.openxmlformats.org/officeDocument/2006/relationships" ref="K488" r:id="rId1317"/>
    <hyperlink xmlns:r="http://schemas.openxmlformats.org/officeDocument/2006/relationships" ref="N488" r:id="rId1318"/>
    <hyperlink xmlns:r="http://schemas.openxmlformats.org/officeDocument/2006/relationships" ref="H489" r:id="rId1319"/>
    <hyperlink xmlns:r="http://schemas.openxmlformats.org/officeDocument/2006/relationships" ref="I489" r:id="rId1320"/>
    <hyperlink xmlns:r="http://schemas.openxmlformats.org/officeDocument/2006/relationships" ref="K489" r:id="rId1321"/>
    <hyperlink xmlns:r="http://schemas.openxmlformats.org/officeDocument/2006/relationships" ref="N489" r:id="rId1322"/>
    <hyperlink xmlns:r="http://schemas.openxmlformats.org/officeDocument/2006/relationships" ref="H490" r:id="rId1323"/>
    <hyperlink xmlns:r="http://schemas.openxmlformats.org/officeDocument/2006/relationships" ref="I490" r:id="rId1324"/>
    <hyperlink xmlns:r="http://schemas.openxmlformats.org/officeDocument/2006/relationships" ref="K490" r:id="rId1325"/>
    <hyperlink xmlns:r="http://schemas.openxmlformats.org/officeDocument/2006/relationships" ref="N490" r:id="rId1326"/>
    <hyperlink xmlns:r="http://schemas.openxmlformats.org/officeDocument/2006/relationships" ref="H491" r:id="rId1327"/>
    <hyperlink xmlns:r="http://schemas.openxmlformats.org/officeDocument/2006/relationships" ref="I491" r:id="rId1328"/>
    <hyperlink xmlns:r="http://schemas.openxmlformats.org/officeDocument/2006/relationships" ref="K491" r:id="rId1329"/>
    <hyperlink xmlns:r="http://schemas.openxmlformats.org/officeDocument/2006/relationships" ref="N491" r:id="rId1330"/>
    <hyperlink xmlns:r="http://schemas.openxmlformats.org/officeDocument/2006/relationships" ref="H492" r:id="rId1331"/>
    <hyperlink xmlns:r="http://schemas.openxmlformats.org/officeDocument/2006/relationships" ref="I492" r:id="rId1332"/>
    <hyperlink xmlns:r="http://schemas.openxmlformats.org/officeDocument/2006/relationships" ref="K492" r:id="rId1333"/>
    <hyperlink xmlns:r="http://schemas.openxmlformats.org/officeDocument/2006/relationships" ref="N492" r:id="rId1334"/>
    <hyperlink xmlns:r="http://schemas.openxmlformats.org/officeDocument/2006/relationships" ref="H493" r:id="rId1335"/>
    <hyperlink xmlns:r="http://schemas.openxmlformats.org/officeDocument/2006/relationships" ref="K493" r:id="rId1336"/>
    <hyperlink xmlns:r="http://schemas.openxmlformats.org/officeDocument/2006/relationships" ref="N493" r:id="rId1337"/>
    <hyperlink xmlns:r="http://schemas.openxmlformats.org/officeDocument/2006/relationships" ref="H494" r:id="rId1338"/>
    <hyperlink xmlns:r="http://schemas.openxmlformats.org/officeDocument/2006/relationships" ref="I494" r:id="rId1339"/>
    <hyperlink xmlns:r="http://schemas.openxmlformats.org/officeDocument/2006/relationships" ref="K494" r:id="rId1340"/>
    <hyperlink xmlns:r="http://schemas.openxmlformats.org/officeDocument/2006/relationships" ref="N494" r:id="rId1341"/>
    <hyperlink xmlns:r="http://schemas.openxmlformats.org/officeDocument/2006/relationships" ref="H495" r:id="rId1342"/>
    <hyperlink xmlns:r="http://schemas.openxmlformats.org/officeDocument/2006/relationships" ref="I495" r:id="rId1343"/>
    <hyperlink xmlns:r="http://schemas.openxmlformats.org/officeDocument/2006/relationships" ref="K495" r:id="rId1344"/>
    <hyperlink xmlns:r="http://schemas.openxmlformats.org/officeDocument/2006/relationships" ref="N495" r:id="rId1345"/>
    <hyperlink xmlns:r="http://schemas.openxmlformats.org/officeDocument/2006/relationships" ref="H496" r:id="rId1346"/>
    <hyperlink xmlns:r="http://schemas.openxmlformats.org/officeDocument/2006/relationships" ref="I496" r:id="rId1347"/>
    <hyperlink xmlns:r="http://schemas.openxmlformats.org/officeDocument/2006/relationships" ref="K496" r:id="rId1348"/>
    <hyperlink xmlns:r="http://schemas.openxmlformats.org/officeDocument/2006/relationships" ref="N496" r:id="rId1349"/>
    <hyperlink xmlns:r="http://schemas.openxmlformats.org/officeDocument/2006/relationships" ref="H497" r:id="rId1350"/>
    <hyperlink xmlns:r="http://schemas.openxmlformats.org/officeDocument/2006/relationships" ref="I497" r:id="rId1351"/>
    <hyperlink xmlns:r="http://schemas.openxmlformats.org/officeDocument/2006/relationships" ref="K497" r:id="rId1352"/>
    <hyperlink xmlns:r="http://schemas.openxmlformats.org/officeDocument/2006/relationships" ref="N497" r:id="rId1353"/>
    <hyperlink xmlns:r="http://schemas.openxmlformats.org/officeDocument/2006/relationships" ref="H498" r:id="rId1354"/>
    <hyperlink xmlns:r="http://schemas.openxmlformats.org/officeDocument/2006/relationships" ref="I498" r:id="rId1355"/>
    <hyperlink xmlns:r="http://schemas.openxmlformats.org/officeDocument/2006/relationships" ref="K498" r:id="rId1356"/>
    <hyperlink xmlns:r="http://schemas.openxmlformats.org/officeDocument/2006/relationships" ref="N498" r:id="rId1357"/>
    <hyperlink xmlns:r="http://schemas.openxmlformats.org/officeDocument/2006/relationships" ref="I499" r:id="rId1358"/>
    <hyperlink xmlns:r="http://schemas.openxmlformats.org/officeDocument/2006/relationships" ref="K499" r:id="rId1359"/>
    <hyperlink xmlns:r="http://schemas.openxmlformats.org/officeDocument/2006/relationships" ref="N499" r:id="rId1360"/>
    <hyperlink xmlns:r="http://schemas.openxmlformats.org/officeDocument/2006/relationships" ref="I500" r:id="rId1361"/>
    <hyperlink xmlns:r="http://schemas.openxmlformats.org/officeDocument/2006/relationships" ref="K500" r:id="rId1362"/>
    <hyperlink xmlns:r="http://schemas.openxmlformats.org/officeDocument/2006/relationships" ref="N500" r:id="rId1363"/>
    <hyperlink xmlns:r="http://schemas.openxmlformats.org/officeDocument/2006/relationships" ref="I501" r:id="rId1364"/>
    <hyperlink xmlns:r="http://schemas.openxmlformats.org/officeDocument/2006/relationships" ref="K501" r:id="rId1365"/>
    <hyperlink xmlns:r="http://schemas.openxmlformats.org/officeDocument/2006/relationships" ref="N501" r:id="rId1366"/>
    <hyperlink xmlns:r="http://schemas.openxmlformats.org/officeDocument/2006/relationships" ref="H502" r:id="rId1367"/>
    <hyperlink xmlns:r="http://schemas.openxmlformats.org/officeDocument/2006/relationships" ref="I502" r:id="rId1368"/>
    <hyperlink xmlns:r="http://schemas.openxmlformats.org/officeDocument/2006/relationships" ref="K502" r:id="rId1369"/>
    <hyperlink xmlns:r="http://schemas.openxmlformats.org/officeDocument/2006/relationships" ref="N502" r:id="rId1370"/>
    <hyperlink xmlns:r="http://schemas.openxmlformats.org/officeDocument/2006/relationships" ref="H503" r:id="rId1371"/>
    <hyperlink xmlns:r="http://schemas.openxmlformats.org/officeDocument/2006/relationships" ref="I503" r:id="rId1372"/>
    <hyperlink xmlns:r="http://schemas.openxmlformats.org/officeDocument/2006/relationships" ref="K503" r:id="rId1373"/>
    <hyperlink xmlns:r="http://schemas.openxmlformats.org/officeDocument/2006/relationships" ref="N503" r:id="rId1374"/>
    <hyperlink xmlns:r="http://schemas.openxmlformats.org/officeDocument/2006/relationships" ref="H504" r:id="rId1375"/>
    <hyperlink xmlns:r="http://schemas.openxmlformats.org/officeDocument/2006/relationships" ref="I504" r:id="rId1376"/>
    <hyperlink xmlns:r="http://schemas.openxmlformats.org/officeDocument/2006/relationships" ref="K504" r:id="rId1377"/>
    <hyperlink xmlns:r="http://schemas.openxmlformats.org/officeDocument/2006/relationships" ref="N504" r:id="rId1378"/>
    <hyperlink xmlns:r="http://schemas.openxmlformats.org/officeDocument/2006/relationships" ref="H505" r:id="rId1379"/>
    <hyperlink xmlns:r="http://schemas.openxmlformats.org/officeDocument/2006/relationships" ref="I505" r:id="rId1380"/>
    <hyperlink xmlns:r="http://schemas.openxmlformats.org/officeDocument/2006/relationships" ref="K505" r:id="rId1381"/>
    <hyperlink xmlns:r="http://schemas.openxmlformats.org/officeDocument/2006/relationships" ref="N505" r:id="rId1382"/>
    <hyperlink xmlns:r="http://schemas.openxmlformats.org/officeDocument/2006/relationships" ref="H506" r:id="rId1383"/>
    <hyperlink xmlns:r="http://schemas.openxmlformats.org/officeDocument/2006/relationships" ref="I506" r:id="rId1384"/>
    <hyperlink xmlns:r="http://schemas.openxmlformats.org/officeDocument/2006/relationships" ref="K506" r:id="rId1385"/>
    <hyperlink xmlns:r="http://schemas.openxmlformats.org/officeDocument/2006/relationships" ref="N506" r:id="rId1386"/>
    <hyperlink xmlns:r="http://schemas.openxmlformats.org/officeDocument/2006/relationships" ref="I507" r:id="rId1387"/>
    <hyperlink xmlns:r="http://schemas.openxmlformats.org/officeDocument/2006/relationships" ref="K507" r:id="rId1388"/>
    <hyperlink xmlns:r="http://schemas.openxmlformats.org/officeDocument/2006/relationships" ref="N507" r:id="rId1389"/>
    <hyperlink xmlns:r="http://schemas.openxmlformats.org/officeDocument/2006/relationships" ref="I508" r:id="rId1390"/>
    <hyperlink xmlns:r="http://schemas.openxmlformats.org/officeDocument/2006/relationships" ref="K508" r:id="rId1391"/>
    <hyperlink xmlns:r="http://schemas.openxmlformats.org/officeDocument/2006/relationships" ref="N508" r:id="rId1392"/>
    <hyperlink xmlns:r="http://schemas.openxmlformats.org/officeDocument/2006/relationships" ref="H509" r:id="rId1393"/>
    <hyperlink xmlns:r="http://schemas.openxmlformats.org/officeDocument/2006/relationships" ref="I509" r:id="rId1394"/>
    <hyperlink xmlns:r="http://schemas.openxmlformats.org/officeDocument/2006/relationships" ref="K509" r:id="rId1395"/>
    <hyperlink xmlns:r="http://schemas.openxmlformats.org/officeDocument/2006/relationships" ref="N509" r:id="rId1396"/>
    <hyperlink xmlns:r="http://schemas.openxmlformats.org/officeDocument/2006/relationships" ref="H510" r:id="rId1397"/>
    <hyperlink xmlns:r="http://schemas.openxmlformats.org/officeDocument/2006/relationships" ref="I510" r:id="rId1398"/>
    <hyperlink xmlns:r="http://schemas.openxmlformats.org/officeDocument/2006/relationships" ref="K510" r:id="rId1399"/>
    <hyperlink xmlns:r="http://schemas.openxmlformats.org/officeDocument/2006/relationships" ref="N510" r:id="rId1400"/>
    <hyperlink xmlns:r="http://schemas.openxmlformats.org/officeDocument/2006/relationships" ref="H511" r:id="rId1401"/>
    <hyperlink xmlns:r="http://schemas.openxmlformats.org/officeDocument/2006/relationships" ref="I511" r:id="rId1402"/>
    <hyperlink xmlns:r="http://schemas.openxmlformats.org/officeDocument/2006/relationships" ref="K511" r:id="rId1403"/>
    <hyperlink xmlns:r="http://schemas.openxmlformats.org/officeDocument/2006/relationships" ref="N511" r:id="rId1404"/>
    <hyperlink xmlns:r="http://schemas.openxmlformats.org/officeDocument/2006/relationships" ref="H512" r:id="rId1405"/>
    <hyperlink xmlns:r="http://schemas.openxmlformats.org/officeDocument/2006/relationships" ref="I512" r:id="rId1406"/>
    <hyperlink xmlns:r="http://schemas.openxmlformats.org/officeDocument/2006/relationships" ref="K512" r:id="rId1407"/>
    <hyperlink xmlns:r="http://schemas.openxmlformats.org/officeDocument/2006/relationships" ref="N512" r:id="rId1408"/>
    <hyperlink xmlns:r="http://schemas.openxmlformats.org/officeDocument/2006/relationships" ref="H513" r:id="rId1409"/>
    <hyperlink xmlns:r="http://schemas.openxmlformats.org/officeDocument/2006/relationships" ref="I513" r:id="rId1410"/>
    <hyperlink xmlns:r="http://schemas.openxmlformats.org/officeDocument/2006/relationships" ref="K513" r:id="rId1411"/>
    <hyperlink xmlns:r="http://schemas.openxmlformats.org/officeDocument/2006/relationships" ref="N513" r:id="rId1412"/>
    <hyperlink xmlns:r="http://schemas.openxmlformats.org/officeDocument/2006/relationships" ref="I514" r:id="rId1413"/>
    <hyperlink xmlns:r="http://schemas.openxmlformats.org/officeDocument/2006/relationships" ref="K514" r:id="rId1414"/>
    <hyperlink xmlns:r="http://schemas.openxmlformats.org/officeDocument/2006/relationships" ref="N514" r:id="rId1415"/>
    <hyperlink xmlns:r="http://schemas.openxmlformats.org/officeDocument/2006/relationships" ref="H515" r:id="rId1416"/>
    <hyperlink xmlns:r="http://schemas.openxmlformats.org/officeDocument/2006/relationships" ref="I515" r:id="rId1417"/>
    <hyperlink xmlns:r="http://schemas.openxmlformats.org/officeDocument/2006/relationships" ref="K515" r:id="rId1418"/>
    <hyperlink xmlns:r="http://schemas.openxmlformats.org/officeDocument/2006/relationships" ref="N515" r:id="rId1419"/>
    <hyperlink xmlns:r="http://schemas.openxmlformats.org/officeDocument/2006/relationships" ref="H516" r:id="rId1420"/>
    <hyperlink xmlns:r="http://schemas.openxmlformats.org/officeDocument/2006/relationships" ref="I516" r:id="rId1421"/>
    <hyperlink xmlns:r="http://schemas.openxmlformats.org/officeDocument/2006/relationships" ref="K516" r:id="rId1422"/>
    <hyperlink xmlns:r="http://schemas.openxmlformats.org/officeDocument/2006/relationships" ref="N516" r:id="rId1423"/>
    <hyperlink xmlns:r="http://schemas.openxmlformats.org/officeDocument/2006/relationships" ref="H517" r:id="rId1424"/>
    <hyperlink xmlns:r="http://schemas.openxmlformats.org/officeDocument/2006/relationships" ref="I517" r:id="rId1425"/>
    <hyperlink xmlns:r="http://schemas.openxmlformats.org/officeDocument/2006/relationships" ref="K517" r:id="rId1426"/>
    <hyperlink xmlns:r="http://schemas.openxmlformats.org/officeDocument/2006/relationships" ref="N517" r:id="rId1427"/>
    <hyperlink xmlns:r="http://schemas.openxmlformats.org/officeDocument/2006/relationships" ref="H518" r:id="rId1428"/>
    <hyperlink xmlns:r="http://schemas.openxmlformats.org/officeDocument/2006/relationships" ref="I518" r:id="rId1429"/>
    <hyperlink xmlns:r="http://schemas.openxmlformats.org/officeDocument/2006/relationships" ref="K518" r:id="rId1430"/>
    <hyperlink xmlns:r="http://schemas.openxmlformats.org/officeDocument/2006/relationships" ref="N518" r:id="rId1431"/>
    <hyperlink xmlns:r="http://schemas.openxmlformats.org/officeDocument/2006/relationships" ref="H519" r:id="rId1432"/>
    <hyperlink xmlns:r="http://schemas.openxmlformats.org/officeDocument/2006/relationships" ref="I519" r:id="rId1433"/>
    <hyperlink xmlns:r="http://schemas.openxmlformats.org/officeDocument/2006/relationships" ref="K519" r:id="rId1434"/>
    <hyperlink xmlns:r="http://schemas.openxmlformats.org/officeDocument/2006/relationships" ref="N519" r:id="rId1435"/>
    <hyperlink xmlns:r="http://schemas.openxmlformats.org/officeDocument/2006/relationships" ref="H520" r:id="rId1436"/>
    <hyperlink xmlns:r="http://schemas.openxmlformats.org/officeDocument/2006/relationships" ref="I520" r:id="rId1437"/>
    <hyperlink xmlns:r="http://schemas.openxmlformats.org/officeDocument/2006/relationships" ref="K520" r:id="rId1438"/>
    <hyperlink xmlns:r="http://schemas.openxmlformats.org/officeDocument/2006/relationships" ref="N520" r:id="rId1439"/>
    <hyperlink xmlns:r="http://schemas.openxmlformats.org/officeDocument/2006/relationships" ref="H521" r:id="rId1440"/>
    <hyperlink xmlns:r="http://schemas.openxmlformats.org/officeDocument/2006/relationships" ref="I521" r:id="rId1441"/>
    <hyperlink xmlns:r="http://schemas.openxmlformats.org/officeDocument/2006/relationships" ref="K521" r:id="rId1442"/>
    <hyperlink xmlns:r="http://schemas.openxmlformats.org/officeDocument/2006/relationships" ref="N521" r:id="rId1443"/>
    <hyperlink xmlns:r="http://schemas.openxmlformats.org/officeDocument/2006/relationships" ref="H522" r:id="rId1444"/>
    <hyperlink xmlns:r="http://schemas.openxmlformats.org/officeDocument/2006/relationships" ref="I522" r:id="rId1445"/>
    <hyperlink xmlns:r="http://schemas.openxmlformats.org/officeDocument/2006/relationships" ref="K522" r:id="rId1446"/>
    <hyperlink xmlns:r="http://schemas.openxmlformats.org/officeDocument/2006/relationships" ref="N522" r:id="rId1447"/>
    <hyperlink xmlns:r="http://schemas.openxmlformats.org/officeDocument/2006/relationships" ref="H523" r:id="rId1448"/>
    <hyperlink xmlns:r="http://schemas.openxmlformats.org/officeDocument/2006/relationships" ref="I523" r:id="rId1449"/>
    <hyperlink xmlns:r="http://schemas.openxmlformats.org/officeDocument/2006/relationships" ref="K523" r:id="rId1450"/>
    <hyperlink xmlns:r="http://schemas.openxmlformats.org/officeDocument/2006/relationships" ref="N523" r:id="rId1451"/>
    <hyperlink xmlns:r="http://schemas.openxmlformats.org/officeDocument/2006/relationships" ref="I524" r:id="rId1452"/>
    <hyperlink xmlns:r="http://schemas.openxmlformats.org/officeDocument/2006/relationships" ref="K524" r:id="rId1453"/>
    <hyperlink xmlns:r="http://schemas.openxmlformats.org/officeDocument/2006/relationships" ref="N524" r:id="rId1454"/>
    <hyperlink xmlns:r="http://schemas.openxmlformats.org/officeDocument/2006/relationships" ref="I525" r:id="rId1455"/>
    <hyperlink xmlns:r="http://schemas.openxmlformats.org/officeDocument/2006/relationships" ref="K525" r:id="rId1456"/>
    <hyperlink xmlns:r="http://schemas.openxmlformats.org/officeDocument/2006/relationships" ref="N525" r:id="rId1457"/>
    <hyperlink xmlns:r="http://schemas.openxmlformats.org/officeDocument/2006/relationships" ref="H526" r:id="rId1458"/>
    <hyperlink xmlns:r="http://schemas.openxmlformats.org/officeDocument/2006/relationships" ref="I526" r:id="rId1459"/>
    <hyperlink xmlns:r="http://schemas.openxmlformats.org/officeDocument/2006/relationships" ref="K526" r:id="rId1460"/>
    <hyperlink xmlns:r="http://schemas.openxmlformats.org/officeDocument/2006/relationships" ref="N526" r:id="rId1461"/>
    <hyperlink xmlns:r="http://schemas.openxmlformats.org/officeDocument/2006/relationships" ref="I527" r:id="rId1462"/>
    <hyperlink xmlns:r="http://schemas.openxmlformats.org/officeDocument/2006/relationships" ref="K527" r:id="rId1463"/>
    <hyperlink xmlns:r="http://schemas.openxmlformats.org/officeDocument/2006/relationships" ref="N527" r:id="rId1464"/>
    <hyperlink xmlns:r="http://schemas.openxmlformats.org/officeDocument/2006/relationships" ref="I528" r:id="rId1465"/>
    <hyperlink xmlns:r="http://schemas.openxmlformats.org/officeDocument/2006/relationships" ref="K528" r:id="rId1466"/>
    <hyperlink xmlns:r="http://schemas.openxmlformats.org/officeDocument/2006/relationships" ref="N528" r:id="rId1467"/>
    <hyperlink xmlns:r="http://schemas.openxmlformats.org/officeDocument/2006/relationships" ref="I529" r:id="rId1468"/>
    <hyperlink xmlns:r="http://schemas.openxmlformats.org/officeDocument/2006/relationships" ref="K529" r:id="rId1469"/>
    <hyperlink xmlns:r="http://schemas.openxmlformats.org/officeDocument/2006/relationships" ref="N529" r:id="rId1470"/>
    <hyperlink xmlns:r="http://schemas.openxmlformats.org/officeDocument/2006/relationships" ref="H530" r:id="rId1471"/>
    <hyperlink xmlns:r="http://schemas.openxmlformats.org/officeDocument/2006/relationships" ref="I530" r:id="rId1472"/>
    <hyperlink xmlns:r="http://schemas.openxmlformats.org/officeDocument/2006/relationships" ref="K530" r:id="rId1473"/>
    <hyperlink xmlns:r="http://schemas.openxmlformats.org/officeDocument/2006/relationships" ref="N530" r:id="rId1474"/>
    <hyperlink xmlns:r="http://schemas.openxmlformats.org/officeDocument/2006/relationships" ref="H531" r:id="rId1475"/>
    <hyperlink xmlns:r="http://schemas.openxmlformats.org/officeDocument/2006/relationships" ref="I531" r:id="rId1476"/>
    <hyperlink xmlns:r="http://schemas.openxmlformats.org/officeDocument/2006/relationships" ref="K531" r:id="rId1477"/>
    <hyperlink xmlns:r="http://schemas.openxmlformats.org/officeDocument/2006/relationships" ref="N531" r:id="rId1478"/>
    <hyperlink xmlns:r="http://schemas.openxmlformats.org/officeDocument/2006/relationships" ref="H532" r:id="rId1479"/>
    <hyperlink xmlns:r="http://schemas.openxmlformats.org/officeDocument/2006/relationships" ref="I532" r:id="rId1480"/>
    <hyperlink xmlns:r="http://schemas.openxmlformats.org/officeDocument/2006/relationships" ref="K532" r:id="rId1481"/>
    <hyperlink xmlns:r="http://schemas.openxmlformats.org/officeDocument/2006/relationships" ref="N532" r:id="rId1482"/>
    <hyperlink xmlns:r="http://schemas.openxmlformats.org/officeDocument/2006/relationships" ref="H533" r:id="rId1483"/>
    <hyperlink xmlns:r="http://schemas.openxmlformats.org/officeDocument/2006/relationships" ref="I533" r:id="rId1484"/>
    <hyperlink xmlns:r="http://schemas.openxmlformats.org/officeDocument/2006/relationships" ref="K533" r:id="rId1485"/>
    <hyperlink xmlns:r="http://schemas.openxmlformats.org/officeDocument/2006/relationships" ref="N533" r:id="rId1486"/>
    <hyperlink xmlns:r="http://schemas.openxmlformats.org/officeDocument/2006/relationships" ref="H534" r:id="rId1487"/>
    <hyperlink xmlns:r="http://schemas.openxmlformats.org/officeDocument/2006/relationships" ref="I534" r:id="rId1488"/>
    <hyperlink xmlns:r="http://schemas.openxmlformats.org/officeDocument/2006/relationships" ref="K534" r:id="rId1489"/>
    <hyperlink xmlns:r="http://schemas.openxmlformats.org/officeDocument/2006/relationships" ref="N534" r:id="rId1490"/>
    <hyperlink xmlns:r="http://schemas.openxmlformats.org/officeDocument/2006/relationships" ref="H535" r:id="rId1491"/>
    <hyperlink xmlns:r="http://schemas.openxmlformats.org/officeDocument/2006/relationships" ref="I535" r:id="rId1492"/>
    <hyperlink xmlns:r="http://schemas.openxmlformats.org/officeDocument/2006/relationships" ref="K535" r:id="rId1493"/>
    <hyperlink xmlns:r="http://schemas.openxmlformats.org/officeDocument/2006/relationships" ref="N535" r:id="rId1494"/>
    <hyperlink xmlns:r="http://schemas.openxmlformats.org/officeDocument/2006/relationships" ref="H536" r:id="rId1495"/>
    <hyperlink xmlns:r="http://schemas.openxmlformats.org/officeDocument/2006/relationships" ref="I536" r:id="rId1496"/>
    <hyperlink xmlns:r="http://schemas.openxmlformats.org/officeDocument/2006/relationships" ref="K536" r:id="rId1497"/>
    <hyperlink xmlns:r="http://schemas.openxmlformats.org/officeDocument/2006/relationships" ref="N536" r:id="rId1498"/>
    <hyperlink xmlns:r="http://schemas.openxmlformats.org/officeDocument/2006/relationships" ref="H537" r:id="rId1499"/>
    <hyperlink xmlns:r="http://schemas.openxmlformats.org/officeDocument/2006/relationships" ref="I537" r:id="rId1500"/>
    <hyperlink xmlns:r="http://schemas.openxmlformats.org/officeDocument/2006/relationships" ref="K537" r:id="rId1501"/>
    <hyperlink xmlns:r="http://schemas.openxmlformats.org/officeDocument/2006/relationships" ref="N537" r:id="rId1502"/>
    <hyperlink xmlns:r="http://schemas.openxmlformats.org/officeDocument/2006/relationships" ref="H538" r:id="rId1503"/>
    <hyperlink xmlns:r="http://schemas.openxmlformats.org/officeDocument/2006/relationships" ref="I538" r:id="rId1504"/>
    <hyperlink xmlns:r="http://schemas.openxmlformats.org/officeDocument/2006/relationships" ref="K538" r:id="rId1505"/>
    <hyperlink xmlns:r="http://schemas.openxmlformats.org/officeDocument/2006/relationships" ref="N538" r:id="rId1506"/>
    <hyperlink xmlns:r="http://schemas.openxmlformats.org/officeDocument/2006/relationships" ref="H539" r:id="rId1507"/>
    <hyperlink xmlns:r="http://schemas.openxmlformats.org/officeDocument/2006/relationships" ref="I539" r:id="rId1508"/>
    <hyperlink xmlns:r="http://schemas.openxmlformats.org/officeDocument/2006/relationships" ref="K539" r:id="rId1509"/>
    <hyperlink xmlns:r="http://schemas.openxmlformats.org/officeDocument/2006/relationships" ref="N539" r:id="rId1510"/>
    <hyperlink xmlns:r="http://schemas.openxmlformats.org/officeDocument/2006/relationships" ref="H540" r:id="rId1511"/>
    <hyperlink xmlns:r="http://schemas.openxmlformats.org/officeDocument/2006/relationships" ref="I540" r:id="rId1512"/>
    <hyperlink xmlns:r="http://schemas.openxmlformats.org/officeDocument/2006/relationships" ref="K540" r:id="rId1513"/>
    <hyperlink xmlns:r="http://schemas.openxmlformats.org/officeDocument/2006/relationships" ref="N540" r:id="rId1514"/>
    <hyperlink xmlns:r="http://schemas.openxmlformats.org/officeDocument/2006/relationships" ref="H541" r:id="rId1515"/>
    <hyperlink xmlns:r="http://schemas.openxmlformats.org/officeDocument/2006/relationships" ref="I541" r:id="rId1516"/>
    <hyperlink xmlns:r="http://schemas.openxmlformats.org/officeDocument/2006/relationships" ref="K541" r:id="rId1517"/>
    <hyperlink xmlns:r="http://schemas.openxmlformats.org/officeDocument/2006/relationships" ref="N541" r:id="rId1518"/>
    <hyperlink xmlns:r="http://schemas.openxmlformats.org/officeDocument/2006/relationships" ref="H542" r:id="rId1519"/>
    <hyperlink xmlns:r="http://schemas.openxmlformats.org/officeDocument/2006/relationships" ref="I542" r:id="rId1520"/>
    <hyperlink xmlns:r="http://schemas.openxmlformats.org/officeDocument/2006/relationships" ref="K542" r:id="rId1521"/>
    <hyperlink xmlns:r="http://schemas.openxmlformats.org/officeDocument/2006/relationships" ref="N542" r:id="rId1522"/>
    <hyperlink xmlns:r="http://schemas.openxmlformats.org/officeDocument/2006/relationships" ref="H543" r:id="rId1523"/>
    <hyperlink xmlns:r="http://schemas.openxmlformats.org/officeDocument/2006/relationships" ref="I543" r:id="rId1524"/>
    <hyperlink xmlns:r="http://schemas.openxmlformats.org/officeDocument/2006/relationships" ref="K543" r:id="rId1525"/>
    <hyperlink xmlns:r="http://schemas.openxmlformats.org/officeDocument/2006/relationships" ref="N543" r:id="rId1526"/>
    <hyperlink xmlns:r="http://schemas.openxmlformats.org/officeDocument/2006/relationships" ref="I544" r:id="rId1527"/>
    <hyperlink xmlns:r="http://schemas.openxmlformats.org/officeDocument/2006/relationships" ref="K544" r:id="rId1528"/>
    <hyperlink xmlns:r="http://schemas.openxmlformats.org/officeDocument/2006/relationships" ref="N544" r:id="rId1529"/>
    <hyperlink xmlns:r="http://schemas.openxmlformats.org/officeDocument/2006/relationships" ref="H545" r:id="rId1530"/>
    <hyperlink xmlns:r="http://schemas.openxmlformats.org/officeDocument/2006/relationships" ref="I545" r:id="rId1531"/>
    <hyperlink xmlns:r="http://schemas.openxmlformats.org/officeDocument/2006/relationships" ref="K545" r:id="rId1532"/>
    <hyperlink xmlns:r="http://schemas.openxmlformats.org/officeDocument/2006/relationships" ref="N545" r:id="rId1533"/>
    <hyperlink xmlns:r="http://schemas.openxmlformats.org/officeDocument/2006/relationships" ref="I546" r:id="rId1534"/>
    <hyperlink xmlns:r="http://schemas.openxmlformats.org/officeDocument/2006/relationships" ref="K546" r:id="rId1535"/>
    <hyperlink xmlns:r="http://schemas.openxmlformats.org/officeDocument/2006/relationships" ref="N546" r:id="rId1536"/>
    <hyperlink xmlns:r="http://schemas.openxmlformats.org/officeDocument/2006/relationships" ref="H547" r:id="rId1537"/>
    <hyperlink xmlns:r="http://schemas.openxmlformats.org/officeDocument/2006/relationships" ref="K547" r:id="rId1538"/>
    <hyperlink xmlns:r="http://schemas.openxmlformats.org/officeDocument/2006/relationships" ref="N547" r:id="rId1539"/>
    <hyperlink xmlns:r="http://schemas.openxmlformats.org/officeDocument/2006/relationships" ref="H548" r:id="rId1540"/>
    <hyperlink xmlns:r="http://schemas.openxmlformats.org/officeDocument/2006/relationships" ref="I548" r:id="rId1541"/>
    <hyperlink xmlns:r="http://schemas.openxmlformats.org/officeDocument/2006/relationships" ref="K548" r:id="rId1542"/>
    <hyperlink xmlns:r="http://schemas.openxmlformats.org/officeDocument/2006/relationships" ref="N548" r:id="rId1543"/>
    <hyperlink xmlns:r="http://schemas.openxmlformats.org/officeDocument/2006/relationships" ref="H549" r:id="rId1544"/>
    <hyperlink xmlns:r="http://schemas.openxmlformats.org/officeDocument/2006/relationships" ref="I549" r:id="rId1545"/>
    <hyperlink xmlns:r="http://schemas.openxmlformats.org/officeDocument/2006/relationships" ref="K549" r:id="rId1546"/>
    <hyperlink xmlns:r="http://schemas.openxmlformats.org/officeDocument/2006/relationships" ref="N549" r:id="rId1547"/>
    <hyperlink xmlns:r="http://schemas.openxmlformats.org/officeDocument/2006/relationships" ref="H550" r:id="rId1548"/>
    <hyperlink xmlns:r="http://schemas.openxmlformats.org/officeDocument/2006/relationships" ref="I550" r:id="rId1549"/>
    <hyperlink xmlns:r="http://schemas.openxmlformats.org/officeDocument/2006/relationships" ref="K550" r:id="rId1550"/>
    <hyperlink xmlns:r="http://schemas.openxmlformats.org/officeDocument/2006/relationships" ref="N550" r:id="rId1551"/>
    <hyperlink xmlns:r="http://schemas.openxmlformats.org/officeDocument/2006/relationships" ref="H551" r:id="rId1552"/>
    <hyperlink xmlns:r="http://schemas.openxmlformats.org/officeDocument/2006/relationships" ref="I551" r:id="rId1553"/>
    <hyperlink xmlns:r="http://schemas.openxmlformats.org/officeDocument/2006/relationships" ref="K551" r:id="rId1554"/>
    <hyperlink xmlns:r="http://schemas.openxmlformats.org/officeDocument/2006/relationships" ref="N551" r:id="rId1555"/>
    <hyperlink xmlns:r="http://schemas.openxmlformats.org/officeDocument/2006/relationships" ref="H552" r:id="rId1556"/>
    <hyperlink xmlns:r="http://schemas.openxmlformats.org/officeDocument/2006/relationships" ref="I552" r:id="rId1557"/>
    <hyperlink xmlns:r="http://schemas.openxmlformats.org/officeDocument/2006/relationships" ref="K552" r:id="rId1558"/>
    <hyperlink xmlns:r="http://schemas.openxmlformats.org/officeDocument/2006/relationships" ref="N552" r:id="rId1559"/>
    <hyperlink xmlns:r="http://schemas.openxmlformats.org/officeDocument/2006/relationships" ref="H553" r:id="rId1560"/>
    <hyperlink xmlns:r="http://schemas.openxmlformats.org/officeDocument/2006/relationships" ref="I553" r:id="rId1561"/>
    <hyperlink xmlns:r="http://schemas.openxmlformats.org/officeDocument/2006/relationships" ref="K553" r:id="rId1562"/>
    <hyperlink xmlns:r="http://schemas.openxmlformats.org/officeDocument/2006/relationships" ref="N553" r:id="rId1563"/>
    <hyperlink xmlns:r="http://schemas.openxmlformats.org/officeDocument/2006/relationships" ref="I554" r:id="rId1564"/>
    <hyperlink xmlns:r="http://schemas.openxmlformats.org/officeDocument/2006/relationships" ref="K554" r:id="rId1565"/>
    <hyperlink xmlns:r="http://schemas.openxmlformats.org/officeDocument/2006/relationships" ref="N554" r:id="rId1566"/>
    <hyperlink xmlns:r="http://schemas.openxmlformats.org/officeDocument/2006/relationships" ref="I555" r:id="rId1567"/>
    <hyperlink xmlns:r="http://schemas.openxmlformats.org/officeDocument/2006/relationships" ref="K555" r:id="rId1568"/>
    <hyperlink xmlns:r="http://schemas.openxmlformats.org/officeDocument/2006/relationships" ref="N555" r:id="rId1569"/>
    <hyperlink xmlns:r="http://schemas.openxmlformats.org/officeDocument/2006/relationships" ref="I556" r:id="rId1570"/>
    <hyperlink xmlns:r="http://schemas.openxmlformats.org/officeDocument/2006/relationships" ref="K556" r:id="rId1571"/>
    <hyperlink xmlns:r="http://schemas.openxmlformats.org/officeDocument/2006/relationships" ref="N556" r:id="rId1572"/>
    <hyperlink xmlns:r="http://schemas.openxmlformats.org/officeDocument/2006/relationships" ref="H557" r:id="rId1573"/>
    <hyperlink xmlns:r="http://schemas.openxmlformats.org/officeDocument/2006/relationships" ref="K557" r:id="rId1574"/>
    <hyperlink xmlns:r="http://schemas.openxmlformats.org/officeDocument/2006/relationships" ref="N557" r:id="rId1575"/>
    <hyperlink xmlns:r="http://schemas.openxmlformats.org/officeDocument/2006/relationships" ref="H558" r:id="rId1576"/>
    <hyperlink xmlns:r="http://schemas.openxmlformats.org/officeDocument/2006/relationships" ref="I558" r:id="rId1577"/>
    <hyperlink xmlns:r="http://schemas.openxmlformats.org/officeDocument/2006/relationships" ref="K558" r:id="rId1578"/>
    <hyperlink xmlns:r="http://schemas.openxmlformats.org/officeDocument/2006/relationships" ref="N558" r:id="rId1579"/>
    <hyperlink xmlns:r="http://schemas.openxmlformats.org/officeDocument/2006/relationships" ref="I559" r:id="rId1580"/>
    <hyperlink xmlns:r="http://schemas.openxmlformats.org/officeDocument/2006/relationships" ref="K559" r:id="rId1581"/>
    <hyperlink xmlns:r="http://schemas.openxmlformats.org/officeDocument/2006/relationships" ref="N559" r:id="rId1582"/>
    <hyperlink xmlns:r="http://schemas.openxmlformats.org/officeDocument/2006/relationships" ref="I560" r:id="rId1583"/>
    <hyperlink xmlns:r="http://schemas.openxmlformats.org/officeDocument/2006/relationships" ref="K560" r:id="rId1584"/>
    <hyperlink xmlns:r="http://schemas.openxmlformats.org/officeDocument/2006/relationships" ref="N560" r:id="rId1585"/>
    <hyperlink xmlns:r="http://schemas.openxmlformats.org/officeDocument/2006/relationships" ref="H561" r:id="rId1586"/>
    <hyperlink xmlns:r="http://schemas.openxmlformats.org/officeDocument/2006/relationships" ref="I561" r:id="rId1587"/>
    <hyperlink xmlns:r="http://schemas.openxmlformats.org/officeDocument/2006/relationships" ref="K561" r:id="rId1588"/>
    <hyperlink xmlns:r="http://schemas.openxmlformats.org/officeDocument/2006/relationships" ref="N561" r:id="rId1589"/>
    <hyperlink xmlns:r="http://schemas.openxmlformats.org/officeDocument/2006/relationships" ref="I562" r:id="rId1590"/>
    <hyperlink xmlns:r="http://schemas.openxmlformats.org/officeDocument/2006/relationships" ref="K562" r:id="rId1591"/>
    <hyperlink xmlns:r="http://schemas.openxmlformats.org/officeDocument/2006/relationships" ref="N562" r:id="rId1592"/>
    <hyperlink xmlns:r="http://schemas.openxmlformats.org/officeDocument/2006/relationships" ref="H563" r:id="rId1593"/>
    <hyperlink xmlns:r="http://schemas.openxmlformats.org/officeDocument/2006/relationships" ref="I563" r:id="rId1594"/>
    <hyperlink xmlns:r="http://schemas.openxmlformats.org/officeDocument/2006/relationships" ref="K563" r:id="rId1595"/>
    <hyperlink xmlns:r="http://schemas.openxmlformats.org/officeDocument/2006/relationships" ref="N563" r:id="rId1596"/>
    <hyperlink xmlns:r="http://schemas.openxmlformats.org/officeDocument/2006/relationships" ref="H564" r:id="rId1597"/>
    <hyperlink xmlns:r="http://schemas.openxmlformats.org/officeDocument/2006/relationships" ref="I564" r:id="rId1598"/>
    <hyperlink xmlns:r="http://schemas.openxmlformats.org/officeDocument/2006/relationships" ref="K564" r:id="rId1599"/>
    <hyperlink xmlns:r="http://schemas.openxmlformats.org/officeDocument/2006/relationships" ref="N564" r:id="rId1600"/>
    <hyperlink xmlns:r="http://schemas.openxmlformats.org/officeDocument/2006/relationships" ref="I565" r:id="rId1601"/>
    <hyperlink xmlns:r="http://schemas.openxmlformats.org/officeDocument/2006/relationships" ref="K565" r:id="rId1602"/>
    <hyperlink xmlns:r="http://schemas.openxmlformats.org/officeDocument/2006/relationships" ref="N565" r:id="rId1603"/>
    <hyperlink xmlns:r="http://schemas.openxmlformats.org/officeDocument/2006/relationships" ref="I566" r:id="rId1604"/>
    <hyperlink xmlns:r="http://schemas.openxmlformats.org/officeDocument/2006/relationships" ref="K566" r:id="rId1605"/>
    <hyperlink xmlns:r="http://schemas.openxmlformats.org/officeDocument/2006/relationships" ref="N566" r:id="rId1606"/>
    <hyperlink xmlns:r="http://schemas.openxmlformats.org/officeDocument/2006/relationships" ref="H567" r:id="rId1607"/>
    <hyperlink xmlns:r="http://schemas.openxmlformats.org/officeDocument/2006/relationships" ref="I567" r:id="rId1608"/>
    <hyperlink xmlns:r="http://schemas.openxmlformats.org/officeDocument/2006/relationships" ref="K567" r:id="rId1609"/>
    <hyperlink xmlns:r="http://schemas.openxmlformats.org/officeDocument/2006/relationships" ref="N567" r:id="rId1610"/>
    <hyperlink xmlns:r="http://schemas.openxmlformats.org/officeDocument/2006/relationships" ref="I568" r:id="rId1611"/>
    <hyperlink xmlns:r="http://schemas.openxmlformats.org/officeDocument/2006/relationships" ref="K568" r:id="rId1612"/>
    <hyperlink xmlns:r="http://schemas.openxmlformats.org/officeDocument/2006/relationships" ref="N568" r:id="rId1613"/>
    <hyperlink xmlns:r="http://schemas.openxmlformats.org/officeDocument/2006/relationships" ref="I569" r:id="rId1614"/>
    <hyperlink xmlns:r="http://schemas.openxmlformats.org/officeDocument/2006/relationships" ref="K569" r:id="rId1615"/>
    <hyperlink xmlns:r="http://schemas.openxmlformats.org/officeDocument/2006/relationships" ref="N569" r:id="rId1616"/>
    <hyperlink xmlns:r="http://schemas.openxmlformats.org/officeDocument/2006/relationships" ref="H570" r:id="rId1617"/>
    <hyperlink xmlns:r="http://schemas.openxmlformats.org/officeDocument/2006/relationships" ref="K570" r:id="rId1618"/>
    <hyperlink xmlns:r="http://schemas.openxmlformats.org/officeDocument/2006/relationships" ref="N570" r:id="rId1619"/>
    <hyperlink xmlns:r="http://schemas.openxmlformats.org/officeDocument/2006/relationships" ref="H571" r:id="rId1620"/>
    <hyperlink xmlns:r="http://schemas.openxmlformats.org/officeDocument/2006/relationships" ref="I571" r:id="rId1621"/>
    <hyperlink xmlns:r="http://schemas.openxmlformats.org/officeDocument/2006/relationships" ref="K571" r:id="rId1622"/>
    <hyperlink xmlns:r="http://schemas.openxmlformats.org/officeDocument/2006/relationships" ref="N571" r:id="rId1623"/>
    <hyperlink xmlns:r="http://schemas.openxmlformats.org/officeDocument/2006/relationships" ref="I572" r:id="rId1624"/>
    <hyperlink xmlns:r="http://schemas.openxmlformats.org/officeDocument/2006/relationships" ref="K572" r:id="rId1625"/>
    <hyperlink xmlns:r="http://schemas.openxmlformats.org/officeDocument/2006/relationships" ref="N572" r:id="rId1626"/>
    <hyperlink xmlns:r="http://schemas.openxmlformats.org/officeDocument/2006/relationships" ref="I573" r:id="rId1627"/>
    <hyperlink xmlns:r="http://schemas.openxmlformats.org/officeDocument/2006/relationships" ref="K573" r:id="rId1628"/>
    <hyperlink xmlns:r="http://schemas.openxmlformats.org/officeDocument/2006/relationships" ref="N573" r:id="rId1629"/>
    <hyperlink xmlns:r="http://schemas.openxmlformats.org/officeDocument/2006/relationships" ref="H574" r:id="rId1630"/>
    <hyperlink xmlns:r="http://schemas.openxmlformats.org/officeDocument/2006/relationships" ref="I574" r:id="rId1631"/>
    <hyperlink xmlns:r="http://schemas.openxmlformats.org/officeDocument/2006/relationships" ref="K574" r:id="rId1632"/>
    <hyperlink xmlns:r="http://schemas.openxmlformats.org/officeDocument/2006/relationships" ref="N574" r:id="rId1633"/>
    <hyperlink xmlns:r="http://schemas.openxmlformats.org/officeDocument/2006/relationships" ref="H575" r:id="rId1634"/>
    <hyperlink xmlns:r="http://schemas.openxmlformats.org/officeDocument/2006/relationships" ref="I575" r:id="rId1635"/>
    <hyperlink xmlns:r="http://schemas.openxmlformats.org/officeDocument/2006/relationships" ref="K575" r:id="rId1636"/>
    <hyperlink xmlns:r="http://schemas.openxmlformats.org/officeDocument/2006/relationships" ref="N575" r:id="rId1637"/>
    <hyperlink xmlns:r="http://schemas.openxmlformats.org/officeDocument/2006/relationships" ref="I576" r:id="rId1638"/>
    <hyperlink xmlns:r="http://schemas.openxmlformats.org/officeDocument/2006/relationships" ref="K576" r:id="rId1639"/>
    <hyperlink xmlns:r="http://schemas.openxmlformats.org/officeDocument/2006/relationships" ref="N576" r:id="rId1640"/>
    <hyperlink xmlns:r="http://schemas.openxmlformats.org/officeDocument/2006/relationships" ref="I577" r:id="rId1641"/>
    <hyperlink xmlns:r="http://schemas.openxmlformats.org/officeDocument/2006/relationships" ref="K577" r:id="rId1642"/>
    <hyperlink xmlns:r="http://schemas.openxmlformats.org/officeDocument/2006/relationships" ref="N577" r:id="rId1643"/>
    <hyperlink xmlns:r="http://schemas.openxmlformats.org/officeDocument/2006/relationships" ref="H578" r:id="rId1644"/>
    <hyperlink xmlns:r="http://schemas.openxmlformats.org/officeDocument/2006/relationships" ref="I578" r:id="rId1645"/>
    <hyperlink xmlns:r="http://schemas.openxmlformats.org/officeDocument/2006/relationships" ref="K578" r:id="rId1646"/>
    <hyperlink xmlns:r="http://schemas.openxmlformats.org/officeDocument/2006/relationships" ref="N578" r:id="rId1647"/>
    <hyperlink xmlns:r="http://schemas.openxmlformats.org/officeDocument/2006/relationships" ref="H579" r:id="rId1648"/>
    <hyperlink xmlns:r="http://schemas.openxmlformats.org/officeDocument/2006/relationships" ref="I579" r:id="rId1649"/>
    <hyperlink xmlns:r="http://schemas.openxmlformats.org/officeDocument/2006/relationships" ref="K579" r:id="rId1650"/>
    <hyperlink xmlns:r="http://schemas.openxmlformats.org/officeDocument/2006/relationships" ref="N579" r:id="rId1651"/>
    <hyperlink xmlns:r="http://schemas.openxmlformats.org/officeDocument/2006/relationships" ref="I580" r:id="rId1652"/>
    <hyperlink xmlns:r="http://schemas.openxmlformats.org/officeDocument/2006/relationships" ref="K580" r:id="rId1653"/>
    <hyperlink xmlns:r="http://schemas.openxmlformats.org/officeDocument/2006/relationships" ref="N580" r:id="rId1654"/>
    <hyperlink xmlns:r="http://schemas.openxmlformats.org/officeDocument/2006/relationships" ref="H581" r:id="rId1655"/>
    <hyperlink xmlns:r="http://schemas.openxmlformats.org/officeDocument/2006/relationships" ref="I581" r:id="rId1656"/>
    <hyperlink xmlns:r="http://schemas.openxmlformats.org/officeDocument/2006/relationships" ref="K581" r:id="rId1657"/>
    <hyperlink xmlns:r="http://schemas.openxmlformats.org/officeDocument/2006/relationships" ref="N581" r:id="rId1658"/>
    <hyperlink xmlns:r="http://schemas.openxmlformats.org/officeDocument/2006/relationships" ref="H582" r:id="rId1659"/>
    <hyperlink xmlns:r="http://schemas.openxmlformats.org/officeDocument/2006/relationships" ref="I582" r:id="rId1660"/>
    <hyperlink xmlns:r="http://schemas.openxmlformats.org/officeDocument/2006/relationships" ref="K582" r:id="rId1661"/>
    <hyperlink xmlns:r="http://schemas.openxmlformats.org/officeDocument/2006/relationships" ref="N582" r:id="rId1662"/>
    <hyperlink xmlns:r="http://schemas.openxmlformats.org/officeDocument/2006/relationships" ref="I583" r:id="rId1663"/>
    <hyperlink xmlns:r="http://schemas.openxmlformats.org/officeDocument/2006/relationships" ref="K583" r:id="rId1664"/>
    <hyperlink xmlns:r="http://schemas.openxmlformats.org/officeDocument/2006/relationships" ref="N583" r:id="rId1665"/>
    <hyperlink xmlns:r="http://schemas.openxmlformats.org/officeDocument/2006/relationships" ref="H584" r:id="rId1666"/>
    <hyperlink xmlns:r="http://schemas.openxmlformats.org/officeDocument/2006/relationships" ref="I584" r:id="rId1667"/>
    <hyperlink xmlns:r="http://schemas.openxmlformats.org/officeDocument/2006/relationships" ref="K584" r:id="rId1668"/>
    <hyperlink xmlns:r="http://schemas.openxmlformats.org/officeDocument/2006/relationships" ref="N584" r:id="rId1669"/>
    <hyperlink xmlns:r="http://schemas.openxmlformats.org/officeDocument/2006/relationships" ref="I585" r:id="rId1670"/>
    <hyperlink xmlns:r="http://schemas.openxmlformats.org/officeDocument/2006/relationships" ref="K585" r:id="rId1671"/>
    <hyperlink xmlns:r="http://schemas.openxmlformats.org/officeDocument/2006/relationships" ref="N585" r:id="rId1672"/>
    <hyperlink xmlns:r="http://schemas.openxmlformats.org/officeDocument/2006/relationships" ref="I586" r:id="rId1673"/>
    <hyperlink xmlns:r="http://schemas.openxmlformats.org/officeDocument/2006/relationships" ref="K586" r:id="rId1674"/>
    <hyperlink xmlns:r="http://schemas.openxmlformats.org/officeDocument/2006/relationships" ref="N586" r:id="rId1675"/>
    <hyperlink xmlns:r="http://schemas.openxmlformats.org/officeDocument/2006/relationships" ref="I587" r:id="rId1676"/>
    <hyperlink xmlns:r="http://schemas.openxmlformats.org/officeDocument/2006/relationships" ref="K587" r:id="rId1677"/>
    <hyperlink xmlns:r="http://schemas.openxmlformats.org/officeDocument/2006/relationships" ref="N587" r:id="rId1678"/>
    <hyperlink xmlns:r="http://schemas.openxmlformats.org/officeDocument/2006/relationships" ref="H588" r:id="rId1679"/>
    <hyperlink xmlns:r="http://schemas.openxmlformats.org/officeDocument/2006/relationships" ref="I588" r:id="rId1680"/>
    <hyperlink xmlns:r="http://schemas.openxmlformats.org/officeDocument/2006/relationships" ref="K588" r:id="rId1681"/>
    <hyperlink xmlns:r="http://schemas.openxmlformats.org/officeDocument/2006/relationships" ref="N588" r:id="rId1682"/>
    <hyperlink xmlns:r="http://schemas.openxmlformats.org/officeDocument/2006/relationships" ref="H589" r:id="rId1683"/>
    <hyperlink xmlns:r="http://schemas.openxmlformats.org/officeDocument/2006/relationships" ref="I589" r:id="rId1684"/>
    <hyperlink xmlns:r="http://schemas.openxmlformats.org/officeDocument/2006/relationships" ref="K589" r:id="rId1685"/>
    <hyperlink xmlns:r="http://schemas.openxmlformats.org/officeDocument/2006/relationships" ref="N589" r:id="rId1686"/>
    <hyperlink xmlns:r="http://schemas.openxmlformats.org/officeDocument/2006/relationships" ref="H590" r:id="rId1687"/>
    <hyperlink xmlns:r="http://schemas.openxmlformats.org/officeDocument/2006/relationships" ref="I590" r:id="rId1688"/>
    <hyperlink xmlns:r="http://schemas.openxmlformats.org/officeDocument/2006/relationships" ref="K590" r:id="rId1689"/>
    <hyperlink xmlns:r="http://schemas.openxmlformats.org/officeDocument/2006/relationships" ref="N590" r:id="rId1690"/>
    <hyperlink xmlns:r="http://schemas.openxmlformats.org/officeDocument/2006/relationships" ref="H591" r:id="rId1691"/>
    <hyperlink xmlns:r="http://schemas.openxmlformats.org/officeDocument/2006/relationships" ref="I591" r:id="rId1692"/>
    <hyperlink xmlns:r="http://schemas.openxmlformats.org/officeDocument/2006/relationships" ref="K591" r:id="rId1693"/>
    <hyperlink xmlns:r="http://schemas.openxmlformats.org/officeDocument/2006/relationships" ref="N591" r:id="rId1694"/>
    <hyperlink xmlns:r="http://schemas.openxmlformats.org/officeDocument/2006/relationships" ref="H592" r:id="rId1695"/>
    <hyperlink xmlns:r="http://schemas.openxmlformats.org/officeDocument/2006/relationships" ref="I592" r:id="rId1696"/>
    <hyperlink xmlns:r="http://schemas.openxmlformats.org/officeDocument/2006/relationships" ref="K592" r:id="rId1697"/>
    <hyperlink xmlns:r="http://schemas.openxmlformats.org/officeDocument/2006/relationships" ref="N592" r:id="rId1698"/>
    <hyperlink xmlns:r="http://schemas.openxmlformats.org/officeDocument/2006/relationships" ref="H593" r:id="rId1699"/>
    <hyperlink xmlns:r="http://schemas.openxmlformats.org/officeDocument/2006/relationships" ref="I593" r:id="rId1700"/>
    <hyperlink xmlns:r="http://schemas.openxmlformats.org/officeDocument/2006/relationships" ref="K593" r:id="rId1701"/>
    <hyperlink xmlns:r="http://schemas.openxmlformats.org/officeDocument/2006/relationships" ref="N593" r:id="rId1702"/>
    <hyperlink xmlns:r="http://schemas.openxmlformats.org/officeDocument/2006/relationships" ref="I594" r:id="rId1703"/>
    <hyperlink xmlns:r="http://schemas.openxmlformats.org/officeDocument/2006/relationships" ref="K594" r:id="rId1704"/>
    <hyperlink xmlns:r="http://schemas.openxmlformats.org/officeDocument/2006/relationships" ref="N594" r:id="rId1705"/>
    <hyperlink xmlns:r="http://schemas.openxmlformats.org/officeDocument/2006/relationships" ref="I595" r:id="rId1706"/>
    <hyperlink xmlns:r="http://schemas.openxmlformats.org/officeDocument/2006/relationships" ref="K595" r:id="rId1707"/>
    <hyperlink xmlns:r="http://schemas.openxmlformats.org/officeDocument/2006/relationships" ref="N595" r:id="rId1708"/>
    <hyperlink xmlns:r="http://schemas.openxmlformats.org/officeDocument/2006/relationships" ref="H596" r:id="rId1709"/>
    <hyperlink xmlns:r="http://schemas.openxmlformats.org/officeDocument/2006/relationships" ref="I596" r:id="rId1710"/>
    <hyperlink xmlns:r="http://schemas.openxmlformats.org/officeDocument/2006/relationships" ref="K596" r:id="rId1711"/>
    <hyperlink xmlns:r="http://schemas.openxmlformats.org/officeDocument/2006/relationships" ref="N596" r:id="rId1712"/>
    <hyperlink xmlns:r="http://schemas.openxmlformats.org/officeDocument/2006/relationships" ref="I597" r:id="rId1713"/>
    <hyperlink xmlns:r="http://schemas.openxmlformats.org/officeDocument/2006/relationships" ref="K597" r:id="rId1714"/>
    <hyperlink xmlns:r="http://schemas.openxmlformats.org/officeDocument/2006/relationships" ref="N597" r:id="rId1715"/>
    <hyperlink xmlns:r="http://schemas.openxmlformats.org/officeDocument/2006/relationships" ref="I598" r:id="rId1716"/>
    <hyperlink xmlns:r="http://schemas.openxmlformats.org/officeDocument/2006/relationships" ref="K598" r:id="rId1717"/>
    <hyperlink xmlns:r="http://schemas.openxmlformats.org/officeDocument/2006/relationships" ref="N598" r:id="rId1718"/>
    <hyperlink xmlns:r="http://schemas.openxmlformats.org/officeDocument/2006/relationships" ref="H599" r:id="rId1719"/>
    <hyperlink xmlns:r="http://schemas.openxmlformats.org/officeDocument/2006/relationships" ref="I599" r:id="rId1720"/>
    <hyperlink xmlns:r="http://schemas.openxmlformats.org/officeDocument/2006/relationships" ref="K599" r:id="rId1721"/>
    <hyperlink xmlns:r="http://schemas.openxmlformats.org/officeDocument/2006/relationships" ref="N599" r:id="rId1722"/>
    <hyperlink xmlns:r="http://schemas.openxmlformats.org/officeDocument/2006/relationships" ref="H600" r:id="rId1723"/>
    <hyperlink xmlns:r="http://schemas.openxmlformats.org/officeDocument/2006/relationships" ref="I600" r:id="rId1724"/>
    <hyperlink xmlns:r="http://schemas.openxmlformats.org/officeDocument/2006/relationships" ref="K600" r:id="rId1725"/>
    <hyperlink xmlns:r="http://schemas.openxmlformats.org/officeDocument/2006/relationships" ref="N600" r:id="rId1726"/>
    <hyperlink xmlns:r="http://schemas.openxmlformats.org/officeDocument/2006/relationships" ref="H601" r:id="rId1727"/>
    <hyperlink xmlns:r="http://schemas.openxmlformats.org/officeDocument/2006/relationships" ref="I601" r:id="rId1728"/>
    <hyperlink xmlns:r="http://schemas.openxmlformats.org/officeDocument/2006/relationships" ref="K601" r:id="rId1729"/>
    <hyperlink xmlns:r="http://schemas.openxmlformats.org/officeDocument/2006/relationships" ref="N601" r:id="rId1730"/>
    <hyperlink xmlns:r="http://schemas.openxmlformats.org/officeDocument/2006/relationships" ref="H602" r:id="rId1731"/>
    <hyperlink xmlns:r="http://schemas.openxmlformats.org/officeDocument/2006/relationships" ref="I602" r:id="rId1732"/>
    <hyperlink xmlns:r="http://schemas.openxmlformats.org/officeDocument/2006/relationships" ref="K602" r:id="rId1733"/>
    <hyperlink xmlns:r="http://schemas.openxmlformats.org/officeDocument/2006/relationships" ref="N602" r:id="rId1734"/>
    <hyperlink xmlns:r="http://schemas.openxmlformats.org/officeDocument/2006/relationships" ref="I603" r:id="rId1735"/>
    <hyperlink xmlns:r="http://schemas.openxmlformats.org/officeDocument/2006/relationships" ref="K603" r:id="rId1736"/>
    <hyperlink xmlns:r="http://schemas.openxmlformats.org/officeDocument/2006/relationships" ref="N603" r:id="rId1737"/>
    <hyperlink xmlns:r="http://schemas.openxmlformats.org/officeDocument/2006/relationships" ref="H604" r:id="rId1738"/>
    <hyperlink xmlns:r="http://schemas.openxmlformats.org/officeDocument/2006/relationships" ref="I604" r:id="rId1739"/>
    <hyperlink xmlns:r="http://schemas.openxmlformats.org/officeDocument/2006/relationships" ref="K604" r:id="rId1740"/>
    <hyperlink xmlns:r="http://schemas.openxmlformats.org/officeDocument/2006/relationships" ref="N604" r:id="rId1741"/>
    <hyperlink xmlns:r="http://schemas.openxmlformats.org/officeDocument/2006/relationships" ref="H605" r:id="rId1742"/>
    <hyperlink xmlns:r="http://schemas.openxmlformats.org/officeDocument/2006/relationships" ref="I605" r:id="rId1743"/>
    <hyperlink xmlns:r="http://schemas.openxmlformats.org/officeDocument/2006/relationships" ref="K605" r:id="rId1744"/>
    <hyperlink xmlns:r="http://schemas.openxmlformats.org/officeDocument/2006/relationships" ref="N605" r:id="rId1745"/>
    <hyperlink xmlns:r="http://schemas.openxmlformats.org/officeDocument/2006/relationships" ref="H606" r:id="rId1746"/>
    <hyperlink xmlns:r="http://schemas.openxmlformats.org/officeDocument/2006/relationships" ref="I606" r:id="rId1747"/>
    <hyperlink xmlns:r="http://schemas.openxmlformats.org/officeDocument/2006/relationships" ref="K606" r:id="rId1748"/>
    <hyperlink xmlns:r="http://schemas.openxmlformats.org/officeDocument/2006/relationships" ref="N606" r:id="rId1749"/>
    <hyperlink xmlns:r="http://schemas.openxmlformats.org/officeDocument/2006/relationships" ref="H607" r:id="rId1750"/>
    <hyperlink xmlns:r="http://schemas.openxmlformats.org/officeDocument/2006/relationships" ref="K607" r:id="rId1751"/>
    <hyperlink xmlns:r="http://schemas.openxmlformats.org/officeDocument/2006/relationships" ref="N607" r:id="rId1752"/>
    <hyperlink xmlns:r="http://schemas.openxmlformats.org/officeDocument/2006/relationships" ref="H608" r:id="rId1753"/>
    <hyperlink xmlns:r="http://schemas.openxmlformats.org/officeDocument/2006/relationships" ref="I608" r:id="rId1754"/>
    <hyperlink xmlns:r="http://schemas.openxmlformats.org/officeDocument/2006/relationships" ref="K608" r:id="rId1755"/>
    <hyperlink xmlns:r="http://schemas.openxmlformats.org/officeDocument/2006/relationships" ref="N608" r:id="rId1756"/>
    <hyperlink xmlns:r="http://schemas.openxmlformats.org/officeDocument/2006/relationships" ref="H609" r:id="rId1757"/>
    <hyperlink xmlns:r="http://schemas.openxmlformats.org/officeDocument/2006/relationships" ref="I609" r:id="rId1758"/>
    <hyperlink xmlns:r="http://schemas.openxmlformats.org/officeDocument/2006/relationships" ref="K609" r:id="rId1759"/>
    <hyperlink xmlns:r="http://schemas.openxmlformats.org/officeDocument/2006/relationships" ref="N609" r:id="rId1760"/>
    <hyperlink xmlns:r="http://schemas.openxmlformats.org/officeDocument/2006/relationships" ref="I610" r:id="rId1761"/>
    <hyperlink xmlns:r="http://schemas.openxmlformats.org/officeDocument/2006/relationships" ref="K610" r:id="rId1762"/>
    <hyperlink xmlns:r="http://schemas.openxmlformats.org/officeDocument/2006/relationships" ref="N610" r:id="rId1763"/>
    <hyperlink xmlns:r="http://schemas.openxmlformats.org/officeDocument/2006/relationships" ref="I611" r:id="rId1764"/>
    <hyperlink xmlns:r="http://schemas.openxmlformats.org/officeDocument/2006/relationships" ref="K611" r:id="rId1765"/>
    <hyperlink xmlns:r="http://schemas.openxmlformats.org/officeDocument/2006/relationships" ref="N611" r:id="rId1766"/>
    <hyperlink xmlns:r="http://schemas.openxmlformats.org/officeDocument/2006/relationships" ref="I612" r:id="rId1767"/>
    <hyperlink xmlns:r="http://schemas.openxmlformats.org/officeDocument/2006/relationships" ref="K612" r:id="rId1768"/>
    <hyperlink xmlns:r="http://schemas.openxmlformats.org/officeDocument/2006/relationships" ref="N612" r:id="rId1769"/>
    <hyperlink xmlns:r="http://schemas.openxmlformats.org/officeDocument/2006/relationships" ref="H613" r:id="rId1770"/>
    <hyperlink xmlns:r="http://schemas.openxmlformats.org/officeDocument/2006/relationships" ref="I613" r:id="rId1771"/>
    <hyperlink xmlns:r="http://schemas.openxmlformats.org/officeDocument/2006/relationships" ref="K613" r:id="rId1772"/>
    <hyperlink xmlns:r="http://schemas.openxmlformats.org/officeDocument/2006/relationships" ref="N613" r:id="rId1773"/>
    <hyperlink xmlns:r="http://schemas.openxmlformats.org/officeDocument/2006/relationships" ref="H614" r:id="rId1774"/>
    <hyperlink xmlns:r="http://schemas.openxmlformats.org/officeDocument/2006/relationships" ref="I614" r:id="rId1775"/>
    <hyperlink xmlns:r="http://schemas.openxmlformats.org/officeDocument/2006/relationships" ref="K614" r:id="rId1776"/>
    <hyperlink xmlns:r="http://schemas.openxmlformats.org/officeDocument/2006/relationships" ref="N614" r:id="rId1777"/>
    <hyperlink xmlns:r="http://schemas.openxmlformats.org/officeDocument/2006/relationships" ref="H615" r:id="rId1778"/>
    <hyperlink xmlns:r="http://schemas.openxmlformats.org/officeDocument/2006/relationships" ref="I615" r:id="rId1779"/>
    <hyperlink xmlns:r="http://schemas.openxmlformats.org/officeDocument/2006/relationships" ref="K615" r:id="rId1780"/>
    <hyperlink xmlns:r="http://schemas.openxmlformats.org/officeDocument/2006/relationships" ref="N615" r:id="rId1781"/>
    <hyperlink xmlns:r="http://schemas.openxmlformats.org/officeDocument/2006/relationships" ref="H616" r:id="rId1782"/>
    <hyperlink xmlns:r="http://schemas.openxmlformats.org/officeDocument/2006/relationships" ref="I616" r:id="rId1783"/>
    <hyperlink xmlns:r="http://schemas.openxmlformats.org/officeDocument/2006/relationships" ref="K616" r:id="rId1784"/>
    <hyperlink xmlns:r="http://schemas.openxmlformats.org/officeDocument/2006/relationships" ref="N616" r:id="rId1785"/>
    <hyperlink xmlns:r="http://schemas.openxmlformats.org/officeDocument/2006/relationships" ref="H617" r:id="rId1786"/>
    <hyperlink xmlns:r="http://schemas.openxmlformats.org/officeDocument/2006/relationships" ref="I617" r:id="rId1787"/>
    <hyperlink xmlns:r="http://schemas.openxmlformats.org/officeDocument/2006/relationships" ref="K617" r:id="rId1788"/>
    <hyperlink xmlns:r="http://schemas.openxmlformats.org/officeDocument/2006/relationships" ref="N617" r:id="rId1789"/>
    <hyperlink xmlns:r="http://schemas.openxmlformats.org/officeDocument/2006/relationships" ref="H618" r:id="rId1790"/>
    <hyperlink xmlns:r="http://schemas.openxmlformats.org/officeDocument/2006/relationships" ref="I618" r:id="rId1791"/>
    <hyperlink xmlns:r="http://schemas.openxmlformats.org/officeDocument/2006/relationships" ref="K618" r:id="rId1792"/>
    <hyperlink xmlns:r="http://schemas.openxmlformats.org/officeDocument/2006/relationships" ref="N618" r:id="rId1793"/>
    <hyperlink xmlns:r="http://schemas.openxmlformats.org/officeDocument/2006/relationships" ref="H619" r:id="rId1794"/>
    <hyperlink xmlns:r="http://schemas.openxmlformats.org/officeDocument/2006/relationships" ref="I619" r:id="rId1795"/>
    <hyperlink xmlns:r="http://schemas.openxmlformats.org/officeDocument/2006/relationships" ref="K619" r:id="rId1796"/>
    <hyperlink xmlns:r="http://schemas.openxmlformats.org/officeDocument/2006/relationships" ref="N619" r:id="rId1797"/>
    <hyperlink xmlns:r="http://schemas.openxmlformats.org/officeDocument/2006/relationships" ref="H620" r:id="rId1798"/>
    <hyperlink xmlns:r="http://schemas.openxmlformats.org/officeDocument/2006/relationships" ref="I620" r:id="rId1799"/>
    <hyperlink xmlns:r="http://schemas.openxmlformats.org/officeDocument/2006/relationships" ref="K620" r:id="rId1800"/>
    <hyperlink xmlns:r="http://schemas.openxmlformats.org/officeDocument/2006/relationships" ref="N620" r:id="rId1801"/>
    <hyperlink xmlns:r="http://schemas.openxmlformats.org/officeDocument/2006/relationships" ref="H621" r:id="rId1802"/>
    <hyperlink xmlns:r="http://schemas.openxmlformats.org/officeDocument/2006/relationships" ref="I621" r:id="rId1803"/>
    <hyperlink xmlns:r="http://schemas.openxmlformats.org/officeDocument/2006/relationships" ref="K621" r:id="rId1804"/>
    <hyperlink xmlns:r="http://schemas.openxmlformats.org/officeDocument/2006/relationships" ref="N621" r:id="rId1805"/>
    <hyperlink xmlns:r="http://schemas.openxmlformats.org/officeDocument/2006/relationships" ref="I622" r:id="rId1806"/>
    <hyperlink xmlns:r="http://schemas.openxmlformats.org/officeDocument/2006/relationships" ref="K622" r:id="rId1807"/>
    <hyperlink xmlns:r="http://schemas.openxmlformats.org/officeDocument/2006/relationships" ref="N622" r:id="rId1808"/>
    <hyperlink xmlns:r="http://schemas.openxmlformats.org/officeDocument/2006/relationships" ref="H623" r:id="rId1809"/>
    <hyperlink xmlns:r="http://schemas.openxmlformats.org/officeDocument/2006/relationships" ref="I623" r:id="rId1810"/>
    <hyperlink xmlns:r="http://schemas.openxmlformats.org/officeDocument/2006/relationships" ref="K623" r:id="rId1811"/>
    <hyperlink xmlns:r="http://schemas.openxmlformats.org/officeDocument/2006/relationships" ref="N623" r:id="rId1812"/>
    <hyperlink xmlns:r="http://schemas.openxmlformats.org/officeDocument/2006/relationships" ref="H624" r:id="rId1813"/>
    <hyperlink xmlns:r="http://schemas.openxmlformats.org/officeDocument/2006/relationships" ref="K624" r:id="rId1814"/>
    <hyperlink xmlns:r="http://schemas.openxmlformats.org/officeDocument/2006/relationships" ref="N624" r:id="rId1815"/>
    <hyperlink xmlns:r="http://schemas.openxmlformats.org/officeDocument/2006/relationships" ref="H625" r:id="rId1816"/>
    <hyperlink xmlns:r="http://schemas.openxmlformats.org/officeDocument/2006/relationships" ref="I625" r:id="rId1817"/>
    <hyperlink xmlns:r="http://schemas.openxmlformats.org/officeDocument/2006/relationships" ref="K625" r:id="rId1818"/>
    <hyperlink xmlns:r="http://schemas.openxmlformats.org/officeDocument/2006/relationships" ref="N625" r:id="rId1819"/>
    <hyperlink xmlns:r="http://schemas.openxmlformats.org/officeDocument/2006/relationships" ref="H626" r:id="rId1820"/>
    <hyperlink xmlns:r="http://schemas.openxmlformats.org/officeDocument/2006/relationships" ref="I626" r:id="rId1821"/>
    <hyperlink xmlns:r="http://schemas.openxmlformats.org/officeDocument/2006/relationships" ref="K626" r:id="rId1822"/>
    <hyperlink xmlns:r="http://schemas.openxmlformats.org/officeDocument/2006/relationships" ref="N626" r:id="rId1823"/>
    <hyperlink xmlns:r="http://schemas.openxmlformats.org/officeDocument/2006/relationships" ref="H627" r:id="rId1824"/>
    <hyperlink xmlns:r="http://schemas.openxmlformats.org/officeDocument/2006/relationships" ref="I627" r:id="rId1825"/>
    <hyperlink xmlns:r="http://schemas.openxmlformats.org/officeDocument/2006/relationships" ref="K627" r:id="rId1826"/>
    <hyperlink xmlns:r="http://schemas.openxmlformats.org/officeDocument/2006/relationships" ref="N627" r:id="rId1827"/>
    <hyperlink xmlns:r="http://schemas.openxmlformats.org/officeDocument/2006/relationships" ref="H628" r:id="rId1828"/>
    <hyperlink xmlns:r="http://schemas.openxmlformats.org/officeDocument/2006/relationships" ref="I628" r:id="rId1829"/>
    <hyperlink xmlns:r="http://schemas.openxmlformats.org/officeDocument/2006/relationships" ref="K628" r:id="rId1830"/>
    <hyperlink xmlns:r="http://schemas.openxmlformats.org/officeDocument/2006/relationships" ref="N628" r:id="rId1831"/>
    <hyperlink xmlns:r="http://schemas.openxmlformats.org/officeDocument/2006/relationships" ref="H629" r:id="rId1832"/>
    <hyperlink xmlns:r="http://schemas.openxmlformats.org/officeDocument/2006/relationships" ref="I629" r:id="rId1833"/>
    <hyperlink xmlns:r="http://schemas.openxmlformats.org/officeDocument/2006/relationships" ref="K629" r:id="rId1834"/>
    <hyperlink xmlns:r="http://schemas.openxmlformats.org/officeDocument/2006/relationships" ref="N629" r:id="rId1835"/>
    <hyperlink xmlns:r="http://schemas.openxmlformats.org/officeDocument/2006/relationships" ref="H630" r:id="rId1836"/>
    <hyperlink xmlns:r="http://schemas.openxmlformats.org/officeDocument/2006/relationships" ref="I630" r:id="rId1837"/>
    <hyperlink xmlns:r="http://schemas.openxmlformats.org/officeDocument/2006/relationships" ref="K630" r:id="rId1838"/>
    <hyperlink xmlns:r="http://schemas.openxmlformats.org/officeDocument/2006/relationships" ref="N630" r:id="rId1839"/>
    <hyperlink xmlns:r="http://schemas.openxmlformats.org/officeDocument/2006/relationships" ref="H631" r:id="rId1840"/>
    <hyperlink xmlns:r="http://schemas.openxmlformats.org/officeDocument/2006/relationships" ref="I631" r:id="rId1841"/>
    <hyperlink xmlns:r="http://schemas.openxmlformats.org/officeDocument/2006/relationships" ref="K631" r:id="rId1842"/>
    <hyperlink xmlns:r="http://schemas.openxmlformats.org/officeDocument/2006/relationships" ref="N631" r:id="rId1843"/>
    <hyperlink xmlns:r="http://schemas.openxmlformats.org/officeDocument/2006/relationships" ref="H632" r:id="rId1844"/>
    <hyperlink xmlns:r="http://schemas.openxmlformats.org/officeDocument/2006/relationships" ref="I632" r:id="rId1845"/>
    <hyperlink xmlns:r="http://schemas.openxmlformats.org/officeDocument/2006/relationships" ref="K632" r:id="rId1846"/>
    <hyperlink xmlns:r="http://schemas.openxmlformats.org/officeDocument/2006/relationships" ref="N632" r:id="rId1847"/>
    <hyperlink xmlns:r="http://schemas.openxmlformats.org/officeDocument/2006/relationships" ref="H633" r:id="rId1848"/>
    <hyperlink xmlns:r="http://schemas.openxmlformats.org/officeDocument/2006/relationships" ref="I633" r:id="rId1849"/>
    <hyperlink xmlns:r="http://schemas.openxmlformats.org/officeDocument/2006/relationships" ref="K633" r:id="rId1850"/>
    <hyperlink xmlns:r="http://schemas.openxmlformats.org/officeDocument/2006/relationships" ref="N633" r:id="rId1851"/>
    <hyperlink xmlns:r="http://schemas.openxmlformats.org/officeDocument/2006/relationships" ref="H634" r:id="rId1852"/>
    <hyperlink xmlns:r="http://schemas.openxmlformats.org/officeDocument/2006/relationships" ref="I634" r:id="rId1853"/>
    <hyperlink xmlns:r="http://schemas.openxmlformats.org/officeDocument/2006/relationships" ref="K634" r:id="rId1854"/>
    <hyperlink xmlns:r="http://schemas.openxmlformats.org/officeDocument/2006/relationships" ref="N634" r:id="rId1855"/>
    <hyperlink xmlns:r="http://schemas.openxmlformats.org/officeDocument/2006/relationships" ref="H635" r:id="rId1856"/>
    <hyperlink xmlns:r="http://schemas.openxmlformats.org/officeDocument/2006/relationships" ref="K635" r:id="rId1857"/>
    <hyperlink xmlns:r="http://schemas.openxmlformats.org/officeDocument/2006/relationships" ref="N635" r:id="rId1858"/>
    <hyperlink xmlns:r="http://schemas.openxmlformats.org/officeDocument/2006/relationships" ref="H636" r:id="rId1859"/>
    <hyperlink xmlns:r="http://schemas.openxmlformats.org/officeDocument/2006/relationships" ref="I636" r:id="rId1860"/>
    <hyperlink xmlns:r="http://schemas.openxmlformats.org/officeDocument/2006/relationships" ref="K636" r:id="rId1861"/>
    <hyperlink xmlns:r="http://schemas.openxmlformats.org/officeDocument/2006/relationships" ref="N636" r:id="rId1862"/>
    <hyperlink xmlns:r="http://schemas.openxmlformats.org/officeDocument/2006/relationships" ref="H637" r:id="rId1863"/>
    <hyperlink xmlns:r="http://schemas.openxmlformats.org/officeDocument/2006/relationships" ref="I637" r:id="rId1864"/>
    <hyperlink xmlns:r="http://schemas.openxmlformats.org/officeDocument/2006/relationships" ref="K637" r:id="rId1865"/>
    <hyperlink xmlns:r="http://schemas.openxmlformats.org/officeDocument/2006/relationships" ref="N637" r:id="rId1866"/>
    <hyperlink xmlns:r="http://schemas.openxmlformats.org/officeDocument/2006/relationships" ref="H638" r:id="rId1867"/>
    <hyperlink xmlns:r="http://schemas.openxmlformats.org/officeDocument/2006/relationships" ref="I638" r:id="rId1868"/>
    <hyperlink xmlns:r="http://schemas.openxmlformats.org/officeDocument/2006/relationships" ref="K638" r:id="rId1869"/>
    <hyperlink xmlns:r="http://schemas.openxmlformats.org/officeDocument/2006/relationships" ref="N638" r:id="rId1870"/>
    <hyperlink xmlns:r="http://schemas.openxmlformats.org/officeDocument/2006/relationships" ref="H639" r:id="rId1871"/>
    <hyperlink xmlns:r="http://schemas.openxmlformats.org/officeDocument/2006/relationships" ref="I639" r:id="rId1872"/>
    <hyperlink xmlns:r="http://schemas.openxmlformats.org/officeDocument/2006/relationships" ref="K639" r:id="rId1873"/>
    <hyperlink xmlns:r="http://schemas.openxmlformats.org/officeDocument/2006/relationships" ref="N639" r:id="rId1874"/>
    <hyperlink xmlns:r="http://schemas.openxmlformats.org/officeDocument/2006/relationships" ref="H640" r:id="rId1875"/>
    <hyperlink xmlns:r="http://schemas.openxmlformats.org/officeDocument/2006/relationships" ref="I640" r:id="rId1876"/>
    <hyperlink xmlns:r="http://schemas.openxmlformats.org/officeDocument/2006/relationships" ref="K640" r:id="rId1877"/>
    <hyperlink xmlns:r="http://schemas.openxmlformats.org/officeDocument/2006/relationships" ref="N640" r:id="rId1878"/>
    <hyperlink xmlns:r="http://schemas.openxmlformats.org/officeDocument/2006/relationships" ref="H641" r:id="rId1879"/>
    <hyperlink xmlns:r="http://schemas.openxmlformats.org/officeDocument/2006/relationships" ref="I641" r:id="rId1880"/>
    <hyperlink xmlns:r="http://schemas.openxmlformats.org/officeDocument/2006/relationships" ref="K641" r:id="rId1881"/>
    <hyperlink xmlns:r="http://schemas.openxmlformats.org/officeDocument/2006/relationships" ref="N641" r:id="rId1882"/>
    <hyperlink xmlns:r="http://schemas.openxmlformats.org/officeDocument/2006/relationships" ref="I642" r:id="rId1883"/>
    <hyperlink xmlns:r="http://schemas.openxmlformats.org/officeDocument/2006/relationships" ref="K642" r:id="rId1884"/>
    <hyperlink xmlns:r="http://schemas.openxmlformats.org/officeDocument/2006/relationships" ref="N642" r:id="rId1885"/>
    <hyperlink xmlns:r="http://schemas.openxmlformats.org/officeDocument/2006/relationships" ref="H643" r:id="rId1886"/>
    <hyperlink xmlns:r="http://schemas.openxmlformats.org/officeDocument/2006/relationships" ref="I643" r:id="rId1887"/>
    <hyperlink xmlns:r="http://schemas.openxmlformats.org/officeDocument/2006/relationships" ref="K643" r:id="rId1888"/>
    <hyperlink xmlns:r="http://schemas.openxmlformats.org/officeDocument/2006/relationships" ref="N643" r:id="rId1889"/>
    <hyperlink xmlns:r="http://schemas.openxmlformats.org/officeDocument/2006/relationships" ref="H644" r:id="rId1890"/>
    <hyperlink xmlns:r="http://schemas.openxmlformats.org/officeDocument/2006/relationships" ref="I644" r:id="rId1891"/>
    <hyperlink xmlns:r="http://schemas.openxmlformats.org/officeDocument/2006/relationships" ref="K644" r:id="rId1892"/>
    <hyperlink xmlns:r="http://schemas.openxmlformats.org/officeDocument/2006/relationships" ref="N644" r:id="rId1893"/>
    <hyperlink xmlns:r="http://schemas.openxmlformats.org/officeDocument/2006/relationships" ref="H645" r:id="rId1894"/>
    <hyperlink xmlns:r="http://schemas.openxmlformats.org/officeDocument/2006/relationships" ref="I645" r:id="rId1895"/>
    <hyperlink xmlns:r="http://schemas.openxmlformats.org/officeDocument/2006/relationships" ref="K645" r:id="rId1896"/>
    <hyperlink xmlns:r="http://schemas.openxmlformats.org/officeDocument/2006/relationships" ref="N645" r:id="rId1897"/>
    <hyperlink xmlns:r="http://schemas.openxmlformats.org/officeDocument/2006/relationships" ref="H646" r:id="rId1898"/>
    <hyperlink xmlns:r="http://schemas.openxmlformats.org/officeDocument/2006/relationships" ref="I646" r:id="rId1899"/>
    <hyperlink xmlns:r="http://schemas.openxmlformats.org/officeDocument/2006/relationships" ref="K646" r:id="rId1900"/>
    <hyperlink xmlns:r="http://schemas.openxmlformats.org/officeDocument/2006/relationships" ref="N646" r:id="rId1901"/>
    <hyperlink xmlns:r="http://schemas.openxmlformats.org/officeDocument/2006/relationships" ref="H647" r:id="rId1902"/>
    <hyperlink xmlns:r="http://schemas.openxmlformats.org/officeDocument/2006/relationships" ref="I647" r:id="rId1903"/>
    <hyperlink xmlns:r="http://schemas.openxmlformats.org/officeDocument/2006/relationships" ref="K647" r:id="rId1904"/>
    <hyperlink xmlns:r="http://schemas.openxmlformats.org/officeDocument/2006/relationships" ref="N647" r:id="rId1905"/>
    <hyperlink xmlns:r="http://schemas.openxmlformats.org/officeDocument/2006/relationships" ref="H648" r:id="rId1906"/>
    <hyperlink xmlns:r="http://schemas.openxmlformats.org/officeDocument/2006/relationships" ref="I648" r:id="rId1907"/>
    <hyperlink xmlns:r="http://schemas.openxmlformats.org/officeDocument/2006/relationships" ref="K648" r:id="rId1908"/>
    <hyperlink xmlns:r="http://schemas.openxmlformats.org/officeDocument/2006/relationships" ref="N648" r:id="rId1909"/>
    <hyperlink xmlns:r="http://schemas.openxmlformats.org/officeDocument/2006/relationships" ref="I649" r:id="rId1910"/>
    <hyperlink xmlns:r="http://schemas.openxmlformats.org/officeDocument/2006/relationships" ref="K649" r:id="rId1911"/>
    <hyperlink xmlns:r="http://schemas.openxmlformats.org/officeDocument/2006/relationships" ref="N649" r:id="rId1912"/>
    <hyperlink xmlns:r="http://schemas.openxmlformats.org/officeDocument/2006/relationships" ref="H650" r:id="rId1913"/>
    <hyperlink xmlns:r="http://schemas.openxmlformats.org/officeDocument/2006/relationships" ref="I650" r:id="rId1914"/>
    <hyperlink xmlns:r="http://schemas.openxmlformats.org/officeDocument/2006/relationships" ref="K650" r:id="rId1915"/>
    <hyperlink xmlns:r="http://schemas.openxmlformats.org/officeDocument/2006/relationships" ref="N650" r:id="rId1916"/>
    <hyperlink xmlns:r="http://schemas.openxmlformats.org/officeDocument/2006/relationships" ref="H651" r:id="rId1917"/>
    <hyperlink xmlns:r="http://schemas.openxmlformats.org/officeDocument/2006/relationships" ref="I651" r:id="rId1918"/>
    <hyperlink xmlns:r="http://schemas.openxmlformats.org/officeDocument/2006/relationships" ref="K651" r:id="rId1919"/>
    <hyperlink xmlns:r="http://schemas.openxmlformats.org/officeDocument/2006/relationships" ref="N651" r:id="rId1920"/>
    <hyperlink xmlns:r="http://schemas.openxmlformats.org/officeDocument/2006/relationships" ref="I652" r:id="rId1921"/>
    <hyperlink xmlns:r="http://schemas.openxmlformats.org/officeDocument/2006/relationships" ref="K652" r:id="rId1922"/>
    <hyperlink xmlns:r="http://schemas.openxmlformats.org/officeDocument/2006/relationships" ref="N652" r:id="rId1923"/>
    <hyperlink xmlns:r="http://schemas.openxmlformats.org/officeDocument/2006/relationships" ref="H653" r:id="rId1924"/>
    <hyperlink xmlns:r="http://schemas.openxmlformats.org/officeDocument/2006/relationships" ref="I653" r:id="rId1925"/>
    <hyperlink xmlns:r="http://schemas.openxmlformats.org/officeDocument/2006/relationships" ref="K653" r:id="rId1926"/>
    <hyperlink xmlns:r="http://schemas.openxmlformats.org/officeDocument/2006/relationships" ref="N653" r:id="rId1927"/>
    <hyperlink xmlns:r="http://schemas.openxmlformats.org/officeDocument/2006/relationships" ref="H654" r:id="rId1928"/>
    <hyperlink xmlns:r="http://schemas.openxmlformats.org/officeDocument/2006/relationships" ref="I654" r:id="rId1929"/>
    <hyperlink xmlns:r="http://schemas.openxmlformats.org/officeDocument/2006/relationships" ref="K654" r:id="rId1930"/>
    <hyperlink xmlns:r="http://schemas.openxmlformats.org/officeDocument/2006/relationships" ref="N654" r:id="rId1931"/>
    <hyperlink xmlns:r="http://schemas.openxmlformats.org/officeDocument/2006/relationships" ref="H655" r:id="rId1932"/>
    <hyperlink xmlns:r="http://schemas.openxmlformats.org/officeDocument/2006/relationships" ref="I655" r:id="rId1933"/>
    <hyperlink xmlns:r="http://schemas.openxmlformats.org/officeDocument/2006/relationships" ref="K655" r:id="rId1934"/>
    <hyperlink xmlns:r="http://schemas.openxmlformats.org/officeDocument/2006/relationships" ref="N655" r:id="rId1935"/>
    <hyperlink xmlns:r="http://schemas.openxmlformats.org/officeDocument/2006/relationships" ref="H656" r:id="rId1936"/>
    <hyperlink xmlns:r="http://schemas.openxmlformats.org/officeDocument/2006/relationships" ref="I656" r:id="rId1937"/>
    <hyperlink xmlns:r="http://schemas.openxmlformats.org/officeDocument/2006/relationships" ref="K656" r:id="rId1938"/>
    <hyperlink xmlns:r="http://schemas.openxmlformats.org/officeDocument/2006/relationships" ref="N656" r:id="rId1939"/>
    <hyperlink xmlns:r="http://schemas.openxmlformats.org/officeDocument/2006/relationships" ref="H657" r:id="rId1940"/>
    <hyperlink xmlns:r="http://schemas.openxmlformats.org/officeDocument/2006/relationships" ref="I657" r:id="rId1941"/>
    <hyperlink xmlns:r="http://schemas.openxmlformats.org/officeDocument/2006/relationships" ref="K657" r:id="rId1942"/>
    <hyperlink xmlns:r="http://schemas.openxmlformats.org/officeDocument/2006/relationships" ref="N657" r:id="rId1943"/>
    <hyperlink xmlns:r="http://schemas.openxmlformats.org/officeDocument/2006/relationships" ref="H658" r:id="rId1944"/>
    <hyperlink xmlns:r="http://schemas.openxmlformats.org/officeDocument/2006/relationships" ref="I658" r:id="rId1945"/>
    <hyperlink xmlns:r="http://schemas.openxmlformats.org/officeDocument/2006/relationships" ref="K658" r:id="rId1946"/>
    <hyperlink xmlns:r="http://schemas.openxmlformats.org/officeDocument/2006/relationships" ref="N658" r:id="rId1947"/>
    <hyperlink xmlns:r="http://schemas.openxmlformats.org/officeDocument/2006/relationships" ref="H659" r:id="rId1948"/>
    <hyperlink xmlns:r="http://schemas.openxmlformats.org/officeDocument/2006/relationships" ref="I659" r:id="rId1949"/>
    <hyperlink xmlns:r="http://schemas.openxmlformats.org/officeDocument/2006/relationships" ref="K659" r:id="rId1950"/>
    <hyperlink xmlns:r="http://schemas.openxmlformats.org/officeDocument/2006/relationships" ref="N659" r:id="rId1951"/>
    <hyperlink xmlns:r="http://schemas.openxmlformats.org/officeDocument/2006/relationships" ref="H660" r:id="rId1952"/>
    <hyperlink xmlns:r="http://schemas.openxmlformats.org/officeDocument/2006/relationships" ref="I660" r:id="rId1953"/>
    <hyperlink xmlns:r="http://schemas.openxmlformats.org/officeDocument/2006/relationships" ref="K660" r:id="rId1954"/>
    <hyperlink xmlns:r="http://schemas.openxmlformats.org/officeDocument/2006/relationships" ref="N660" r:id="rId1955"/>
    <hyperlink xmlns:r="http://schemas.openxmlformats.org/officeDocument/2006/relationships" ref="I661" r:id="rId1956"/>
    <hyperlink xmlns:r="http://schemas.openxmlformats.org/officeDocument/2006/relationships" ref="K661" r:id="rId1957"/>
    <hyperlink xmlns:r="http://schemas.openxmlformats.org/officeDocument/2006/relationships" ref="N661" r:id="rId1958"/>
    <hyperlink xmlns:r="http://schemas.openxmlformats.org/officeDocument/2006/relationships" ref="H662" r:id="rId1959"/>
    <hyperlink xmlns:r="http://schemas.openxmlformats.org/officeDocument/2006/relationships" ref="I662" r:id="rId1960"/>
    <hyperlink xmlns:r="http://schemas.openxmlformats.org/officeDocument/2006/relationships" ref="K662" r:id="rId1961"/>
    <hyperlink xmlns:r="http://schemas.openxmlformats.org/officeDocument/2006/relationships" ref="N662" r:id="rId1962"/>
    <hyperlink xmlns:r="http://schemas.openxmlformats.org/officeDocument/2006/relationships" ref="H663" r:id="rId1963"/>
    <hyperlink xmlns:r="http://schemas.openxmlformats.org/officeDocument/2006/relationships" ref="I663" r:id="rId1964"/>
    <hyperlink xmlns:r="http://schemas.openxmlformats.org/officeDocument/2006/relationships" ref="K663" r:id="rId1965"/>
    <hyperlink xmlns:r="http://schemas.openxmlformats.org/officeDocument/2006/relationships" ref="N663" r:id="rId1966"/>
    <hyperlink xmlns:r="http://schemas.openxmlformats.org/officeDocument/2006/relationships" ref="H664" r:id="rId1967"/>
    <hyperlink xmlns:r="http://schemas.openxmlformats.org/officeDocument/2006/relationships" ref="I664" r:id="rId1968"/>
    <hyperlink xmlns:r="http://schemas.openxmlformats.org/officeDocument/2006/relationships" ref="K664" r:id="rId1969"/>
    <hyperlink xmlns:r="http://schemas.openxmlformats.org/officeDocument/2006/relationships" ref="N664" r:id="rId1970"/>
    <hyperlink xmlns:r="http://schemas.openxmlformats.org/officeDocument/2006/relationships" ref="H665" r:id="rId1971"/>
    <hyperlink xmlns:r="http://schemas.openxmlformats.org/officeDocument/2006/relationships" ref="I665" r:id="rId1972"/>
    <hyperlink xmlns:r="http://schemas.openxmlformats.org/officeDocument/2006/relationships" ref="K665" r:id="rId1973"/>
    <hyperlink xmlns:r="http://schemas.openxmlformats.org/officeDocument/2006/relationships" ref="N665" r:id="rId1974"/>
    <hyperlink xmlns:r="http://schemas.openxmlformats.org/officeDocument/2006/relationships" ref="H666" r:id="rId1975"/>
    <hyperlink xmlns:r="http://schemas.openxmlformats.org/officeDocument/2006/relationships" ref="I666" r:id="rId1976"/>
    <hyperlink xmlns:r="http://schemas.openxmlformats.org/officeDocument/2006/relationships" ref="K666" r:id="rId1977"/>
    <hyperlink xmlns:r="http://schemas.openxmlformats.org/officeDocument/2006/relationships" ref="N666" r:id="rId1978"/>
    <hyperlink xmlns:r="http://schemas.openxmlformats.org/officeDocument/2006/relationships" ref="I667" r:id="rId1979"/>
    <hyperlink xmlns:r="http://schemas.openxmlformats.org/officeDocument/2006/relationships" ref="K667" r:id="rId1980"/>
    <hyperlink xmlns:r="http://schemas.openxmlformats.org/officeDocument/2006/relationships" ref="N667" r:id="rId1981"/>
    <hyperlink xmlns:r="http://schemas.openxmlformats.org/officeDocument/2006/relationships" ref="H668" r:id="rId1982"/>
    <hyperlink xmlns:r="http://schemas.openxmlformats.org/officeDocument/2006/relationships" ref="I668" r:id="rId1983"/>
    <hyperlink xmlns:r="http://schemas.openxmlformats.org/officeDocument/2006/relationships" ref="K668" r:id="rId1984"/>
    <hyperlink xmlns:r="http://schemas.openxmlformats.org/officeDocument/2006/relationships" ref="N668" r:id="rId1985"/>
    <hyperlink xmlns:r="http://schemas.openxmlformats.org/officeDocument/2006/relationships" ref="I669" r:id="rId1986"/>
    <hyperlink xmlns:r="http://schemas.openxmlformats.org/officeDocument/2006/relationships" ref="K669" r:id="rId1987"/>
    <hyperlink xmlns:r="http://schemas.openxmlformats.org/officeDocument/2006/relationships" ref="N669" r:id="rId1988"/>
    <hyperlink xmlns:r="http://schemas.openxmlformats.org/officeDocument/2006/relationships" ref="H670" r:id="rId1989"/>
    <hyperlink xmlns:r="http://schemas.openxmlformats.org/officeDocument/2006/relationships" ref="I670" r:id="rId1990"/>
    <hyperlink xmlns:r="http://schemas.openxmlformats.org/officeDocument/2006/relationships" ref="K670" r:id="rId1991"/>
    <hyperlink xmlns:r="http://schemas.openxmlformats.org/officeDocument/2006/relationships" ref="N670" r:id="rId1992"/>
    <hyperlink xmlns:r="http://schemas.openxmlformats.org/officeDocument/2006/relationships" ref="H671" r:id="rId1993"/>
    <hyperlink xmlns:r="http://schemas.openxmlformats.org/officeDocument/2006/relationships" ref="I671" r:id="rId1994"/>
    <hyperlink xmlns:r="http://schemas.openxmlformats.org/officeDocument/2006/relationships" ref="K671" r:id="rId1995"/>
    <hyperlink xmlns:r="http://schemas.openxmlformats.org/officeDocument/2006/relationships" ref="N671" r:id="rId1996"/>
    <hyperlink xmlns:r="http://schemas.openxmlformats.org/officeDocument/2006/relationships" ref="H672" r:id="rId1997"/>
    <hyperlink xmlns:r="http://schemas.openxmlformats.org/officeDocument/2006/relationships" ref="I672" r:id="rId1998"/>
    <hyperlink xmlns:r="http://schemas.openxmlformats.org/officeDocument/2006/relationships" ref="K672" r:id="rId1999"/>
    <hyperlink xmlns:r="http://schemas.openxmlformats.org/officeDocument/2006/relationships" ref="N672" r:id="rId2000"/>
    <hyperlink xmlns:r="http://schemas.openxmlformats.org/officeDocument/2006/relationships" ref="H673" r:id="rId2001"/>
    <hyperlink xmlns:r="http://schemas.openxmlformats.org/officeDocument/2006/relationships" ref="I673" r:id="rId2002"/>
    <hyperlink xmlns:r="http://schemas.openxmlformats.org/officeDocument/2006/relationships" ref="K673" r:id="rId2003"/>
    <hyperlink xmlns:r="http://schemas.openxmlformats.org/officeDocument/2006/relationships" ref="N673" r:id="rId2004"/>
    <hyperlink xmlns:r="http://schemas.openxmlformats.org/officeDocument/2006/relationships" ref="H674" r:id="rId2005"/>
    <hyperlink xmlns:r="http://schemas.openxmlformats.org/officeDocument/2006/relationships" ref="I674" r:id="rId2006"/>
    <hyperlink xmlns:r="http://schemas.openxmlformats.org/officeDocument/2006/relationships" ref="K674" r:id="rId2007"/>
    <hyperlink xmlns:r="http://schemas.openxmlformats.org/officeDocument/2006/relationships" ref="N674" r:id="rId2008"/>
    <hyperlink xmlns:r="http://schemas.openxmlformats.org/officeDocument/2006/relationships" ref="H675" r:id="rId2009"/>
    <hyperlink xmlns:r="http://schemas.openxmlformats.org/officeDocument/2006/relationships" ref="I675" r:id="rId2010"/>
    <hyperlink xmlns:r="http://schemas.openxmlformats.org/officeDocument/2006/relationships" ref="K675" r:id="rId2011"/>
    <hyperlink xmlns:r="http://schemas.openxmlformats.org/officeDocument/2006/relationships" ref="N675" r:id="rId2012"/>
    <hyperlink xmlns:r="http://schemas.openxmlformats.org/officeDocument/2006/relationships" ref="H676" r:id="rId2013"/>
    <hyperlink xmlns:r="http://schemas.openxmlformats.org/officeDocument/2006/relationships" ref="I676" r:id="rId2014"/>
    <hyperlink xmlns:r="http://schemas.openxmlformats.org/officeDocument/2006/relationships" ref="K676" r:id="rId2015"/>
    <hyperlink xmlns:r="http://schemas.openxmlformats.org/officeDocument/2006/relationships" ref="N676" r:id="rId2016"/>
    <hyperlink xmlns:r="http://schemas.openxmlformats.org/officeDocument/2006/relationships" ref="I677" r:id="rId2017"/>
    <hyperlink xmlns:r="http://schemas.openxmlformats.org/officeDocument/2006/relationships" ref="K677" r:id="rId2018"/>
    <hyperlink xmlns:r="http://schemas.openxmlformats.org/officeDocument/2006/relationships" ref="N677" r:id="rId2019"/>
    <hyperlink xmlns:r="http://schemas.openxmlformats.org/officeDocument/2006/relationships" ref="H678" r:id="rId2020"/>
    <hyperlink xmlns:r="http://schemas.openxmlformats.org/officeDocument/2006/relationships" ref="I678" r:id="rId2021"/>
    <hyperlink xmlns:r="http://schemas.openxmlformats.org/officeDocument/2006/relationships" ref="K678" r:id="rId2022"/>
    <hyperlink xmlns:r="http://schemas.openxmlformats.org/officeDocument/2006/relationships" ref="N678" r:id="rId2023"/>
    <hyperlink xmlns:r="http://schemas.openxmlformats.org/officeDocument/2006/relationships" ref="I679" r:id="rId2024"/>
    <hyperlink xmlns:r="http://schemas.openxmlformats.org/officeDocument/2006/relationships" ref="K679" r:id="rId2025"/>
    <hyperlink xmlns:r="http://schemas.openxmlformats.org/officeDocument/2006/relationships" ref="N679" r:id="rId2026"/>
    <hyperlink xmlns:r="http://schemas.openxmlformats.org/officeDocument/2006/relationships" ref="H680" r:id="rId2027"/>
    <hyperlink xmlns:r="http://schemas.openxmlformats.org/officeDocument/2006/relationships" ref="I680" r:id="rId2028"/>
    <hyperlink xmlns:r="http://schemas.openxmlformats.org/officeDocument/2006/relationships" ref="K680" r:id="rId2029"/>
    <hyperlink xmlns:r="http://schemas.openxmlformats.org/officeDocument/2006/relationships" ref="N680" r:id="rId2030"/>
    <hyperlink xmlns:r="http://schemas.openxmlformats.org/officeDocument/2006/relationships" ref="H681" r:id="rId2031"/>
    <hyperlink xmlns:r="http://schemas.openxmlformats.org/officeDocument/2006/relationships" ref="I681" r:id="rId2032"/>
    <hyperlink xmlns:r="http://schemas.openxmlformats.org/officeDocument/2006/relationships" ref="K681" r:id="rId2033"/>
    <hyperlink xmlns:r="http://schemas.openxmlformats.org/officeDocument/2006/relationships" ref="N681" r:id="rId2034"/>
    <hyperlink xmlns:r="http://schemas.openxmlformats.org/officeDocument/2006/relationships" ref="H682" r:id="rId2035"/>
    <hyperlink xmlns:r="http://schemas.openxmlformats.org/officeDocument/2006/relationships" ref="I682" r:id="rId2036"/>
    <hyperlink xmlns:r="http://schemas.openxmlformats.org/officeDocument/2006/relationships" ref="K682" r:id="rId2037"/>
    <hyperlink xmlns:r="http://schemas.openxmlformats.org/officeDocument/2006/relationships" ref="N682" r:id="rId2038"/>
    <hyperlink xmlns:r="http://schemas.openxmlformats.org/officeDocument/2006/relationships" ref="I683" r:id="rId2039"/>
    <hyperlink xmlns:r="http://schemas.openxmlformats.org/officeDocument/2006/relationships" ref="K683" r:id="rId2040"/>
    <hyperlink xmlns:r="http://schemas.openxmlformats.org/officeDocument/2006/relationships" ref="N683" r:id="rId2041"/>
    <hyperlink xmlns:r="http://schemas.openxmlformats.org/officeDocument/2006/relationships" ref="H684" r:id="rId2042"/>
    <hyperlink xmlns:r="http://schemas.openxmlformats.org/officeDocument/2006/relationships" ref="I684" r:id="rId2043"/>
    <hyperlink xmlns:r="http://schemas.openxmlformats.org/officeDocument/2006/relationships" ref="K684" r:id="rId2044"/>
    <hyperlink xmlns:r="http://schemas.openxmlformats.org/officeDocument/2006/relationships" ref="N684" r:id="rId2045"/>
    <hyperlink xmlns:r="http://schemas.openxmlformats.org/officeDocument/2006/relationships" ref="H685" r:id="rId2046"/>
    <hyperlink xmlns:r="http://schemas.openxmlformats.org/officeDocument/2006/relationships" ref="I685" r:id="rId2047"/>
    <hyperlink xmlns:r="http://schemas.openxmlformats.org/officeDocument/2006/relationships" ref="K685" r:id="rId2048"/>
    <hyperlink xmlns:r="http://schemas.openxmlformats.org/officeDocument/2006/relationships" ref="N685" r:id="rId2049"/>
    <hyperlink xmlns:r="http://schemas.openxmlformats.org/officeDocument/2006/relationships" ref="H686" r:id="rId2050"/>
    <hyperlink xmlns:r="http://schemas.openxmlformats.org/officeDocument/2006/relationships" ref="I686" r:id="rId2051"/>
    <hyperlink xmlns:r="http://schemas.openxmlformats.org/officeDocument/2006/relationships" ref="K686" r:id="rId2052"/>
    <hyperlink xmlns:r="http://schemas.openxmlformats.org/officeDocument/2006/relationships" ref="N686" r:id="rId2053"/>
    <hyperlink xmlns:r="http://schemas.openxmlformats.org/officeDocument/2006/relationships" ref="H687" r:id="rId2054"/>
    <hyperlink xmlns:r="http://schemas.openxmlformats.org/officeDocument/2006/relationships" ref="I687" r:id="rId2055"/>
    <hyperlink xmlns:r="http://schemas.openxmlformats.org/officeDocument/2006/relationships" ref="K687" r:id="rId2056"/>
    <hyperlink xmlns:r="http://schemas.openxmlformats.org/officeDocument/2006/relationships" ref="N687" r:id="rId2057"/>
    <hyperlink xmlns:r="http://schemas.openxmlformats.org/officeDocument/2006/relationships" ref="H688" r:id="rId2058"/>
    <hyperlink xmlns:r="http://schemas.openxmlformats.org/officeDocument/2006/relationships" ref="K688" r:id="rId2059"/>
    <hyperlink xmlns:r="http://schemas.openxmlformats.org/officeDocument/2006/relationships" ref="N688" r:id="rId2060"/>
    <hyperlink xmlns:r="http://schemas.openxmlformats.org/officeDocument/2006/relationships" ref="I689" r:id="rId2061"/>
    <hyperlink xmlns:r="http://schemas.openxmlformats.org/officeDocument/2006/relationships" ref="K689" r:id="rId2062"/>
    <hyperlink xmlns:r="http://schemas.openxmlformats.org/officeDocument/2006/relationships" ref="N689" r:id="rId2063"/>
    <hyperlink xmlns:r="http://schemas.openxmlformats.org/officeDocument/2006/relationships" ref="H690" r:id="rId2064"/>
    <hyperlink xmlns:r="http://schemas.openxmlformats.org/officeDocument/2006/relationships" ref="I690" r:id="rId2065"/>
    <hyperlink xmlns:r="http://schemas.openxmlformats.org/officeDocument/2006/relationships" ref="K690" r:id="rId2066"/>
    <hyperlink xmlns:r="http://schemas.openxmlformats.org/officeDocument/2006/relationships" ref="N690" r:id="rId2067"/>
    <hyperlink xmlns:r="http://schemas.openxmlformats.org/officeDocument/2006/relationships" ref="H691" r:id="rId2068"/>
    <hyperlink xmlns:r="http://schemas.openxmlformats.org/officeDocument/2006/relationships" ref="I691" r:id="rId2069"/>
    <hyperlink xmlns:r="http://schemas.openxmlformats.org/officeDocument/2006/relationships" ref="K691" r:id="rId2070"/>
    <hyperlink xmlns:r="http://schemas.openxmlformats.org/officeDocument/2006/relationships" ref="N691" r:id="rId2071"/>
    <hyperlink xmlns:r="http://schemas.openxmlformats.org/officeDocument/2006/relationships" ref="I692" r:id="rId2072"/>
    <hyperlink xmlns:r="http://schemas.openxmlformats.org/officeDocument/2006/relationships" ref="K692" r:id="rId2073"/>
    <hyperlink xmlns:r="http://schemas.openxmlformats.org/officeDocument/2006/relationships" ref="N692" r:id="rId2074"/>
    <hyperlink xmlns:r="http://schemas.openxmlformats.org/officeDocument/2006/relationships" ref="H693" r:id="rId2075"/>
    <hyperlink xmlns:r="http://schemas.openxmlformats.org/officeDocument/2006/relationships" ref="K693" r:id="rId2076"/>
    <hyperlink xmlns:r="http://schemas.openxmlformats.org/officeDocument/2006/relationships" ref="N693" r:id="rId2077"/>
    <hyperlink xmlns:r="http://schemas.openxmlformats.org/officeDocument/2006/relationships" ref="H694" r:id="rId2078"/>
    <hyperlink xmlns:r="http://schemas.openxmlformats.org/officeDocument/2006/relationships" ref="I694" r:id="rId2079"/>
    <hyperlink xmlns:r="http://schemas.openxmlformats.org/officeDocument/2006/relationships" ref="K694" r:id="rId2080"/>
    <hyperlink xmlns:r="http://schemas.openxmlformats.org/officeDocument/2006/relationships" ref="N694" r:id="rId2081"/>
    <hyperlink xmlns:r="http://schemas.openxmlformats.org/officeDocument/2006/relationships" ref="H695" r:id="rId2082"/>
    <hyperlink xmlns:r="http://schemas.openxmlformats.org/officeDocument/2006/relationships" ref="I695" r:id="rId2083"/>
    <hyperlink xmlns:r="http://schemas.openxmlformats.org/officeDocument/2006/relationships" ref="K695" r:id="rId2084"/>
    <hyperlink xmlns:r="http://schemas.openxmlformats.org/officeDocument/2006/relationships" ref="N695" r:id="rId2085"/>
    <hyperlink xmlns:r="http://schemas.openxmlformats.org/officeDocument/2006/relationships" ref="H696" r:id="rId2086"/>
    <hyperlink xmlns:r="http://schemas.openxmlformats.org/officeDocument/2006/relationships" ref="I696" r:id="rId2087"/>
    <hyperlink xmlns:r="http://schemas.openxmlformats.org/officeDocument/2006/relationships" ref="K696" r:id="rId2088"/>
    <hyperlink xmlns:r="http://schemas.openxmlformats.org/officeDocument/2006/relationships" ref="N696" r:id="rId2089"/>
    <hyperlink xmlns:r="http://schemas.openxmlformats.org/officeDocument/2006/relationships" ref="H697" r:id="rId2090"/>
    <hyperlink xmlns:r="http://schemas.openxmlformats.org/officeDocument/2006/relationships" ref="I697" r:id="rId2091"/>
    <hyperlink xmlns:r="http://schemas.openxmlformats.org/officeDocument/2006/relationships" ref="K697" r:id="rId2092"/>
    <hyperlink xmlns:r="http://schemas.openxmlformats.org/officeDocument/2006/relationships" ref="N697" r:id="rId2093"/>
    <hyperlink xmlns:r="http://schemas.openxmlformats.org/officeDocument/2006/relationships" ref="H698" r:id="rId2094"/>
    <hyperlink xmlns:r="http://schemas.openxmlformats.org/officeDocument/2006/relationships" ref="I698" r:id="rId2095"/>
    <hyperlink xmlns:r="http://schemas.openxmlformats.org/officeDocument/2006/relationships" ref="K698" r:id="rId2096"/>
    <hyperlink xmlns:r="http://schemas.openxmlformats.org/officeDocument/2006/relationships" ref="N698" r:id="rId2097"/>
    <hyperlink xmlns:r="http://schemas.openxmlformats.org/officeDocument/2006/relationships" ref="H699" r:id="rId2098"/>
    <hyperlink xmlns:r="http://schemas.openxmlformats.org/officeDocument/2006/relationships" ref="K699" r:id="rId2099"/>
    <hyperlink xmlns:r="http://schemas.openxmlformats.org/officeDocument/2006/relationships" ref="N699" r:id="rId2100"/>
    <hyperlink xmlns:r="http://schemas.openxmlformats.org/officeDocument/2006/relationships" ref="H700" r:id="rId2101"/>
    <hyperlink xmlns:r="http://schemas.openxmlformats.org/officeDocument/2006/relationships" ref="K700" r:id="rId2102"/>
    <hyperlink xmlns:r="http://schemas.openxmlformats.org/officeDocument/2006/relationships" ref="N700" r:id="rId2103"/>
    <hyperlink xmlns:r="http://schemas.openxmlformats.org/officeDocument/2006/relationships" ref="H701" r:id="rId2104"/>
    <hyperlink xmlns:r="http://schemas.openxmlformats.org/officeDocument/2006/relationships" ref="I701" r:id="rId2105"/>
    <hyperlink xmlns:r="http://schemas.openxmlformats.org/officeDocument/2006/relationships" ref="K701" r:id="rId2106"/>
    <hyperlink xmlns:r="http://schemas.openxmlformats.org/officeDocument/2006/relationships" ref="N701" r:id="rId2107"/>
    <hyperlink xmlns:r="http://schemas.openxmlformats.org/officeDocument/2006/relationships" ref="I702" r:id="rId2108"/>
    <hyperlink xmlns:r="http://schemas.openxmlformats.org/officeDocument/2006/relationships" ref="K702" r:id="rId2109"/>
    <hyperlink xmlns:r="http://schemas.openxmlformats.org/officeDocument/2006/relationships" ref="N702" r:id="rId2110"/>
    <hyperlink xmlns:r="http://schemas.openxmlformats.org/officeDocument/2006/relationships" ref="H703" r:id="rId2111"/>
    <hyperlink xmlns:r="http://schemas.openxmlformats.org/officeDocument/2006/relationships" ref="I703" r:id="rId2112"/>
    <hyperlink xmlns:r="http://schemas.openxmlformats.org/officeDocument/2006/relationships" ref="K703" r:id="rId2113"/>
    <hyperlink xmlns:r="http://schemas.openxmlformats.org/officeDocument/2006/relationships" ref="N703" r:id="rId2114"/>
    <hyperlink xmlns:r="http://schemas.openxmlformats.org/officeDocument/2006/relationships" ref="H704" r:id="rId2115"/>
    <hyperlink xmlns:r="http://schemas.openxmlformats.org/officeDocument/2006/relationships" ref="I704" r:id="rId2116"/>
    <hyperlink xmlns:r="http://schemas.openxmlformats.org/officeDocument/2006/relationships" ref="K704" r:id="rId2117"/>
    <hyperlink xmlns:r="http://schemas.openxmlformats.org/officeDocument/2006/relationships" ref="N704" r:id="rId2118"/>
    <hyperlink xmlns:r="http://schemas.openxmlformats.org/officeDocument/2006/relationships" ref="H705" r:id="rId2119"/>
    <hyperlink xmlns:r="http://schemas.openxmlformats.org/officeDocument/2006/relationships" ref="I705" r:id="rId2120"/>
    <hyperlink xmlns:r="http://schemas.openxmlformats.org/officeDocument/2006/relationships" ref="K705" r:id="rId2121"/>
    <hyperlink xmlns:r="http://schemas.openxmlformats.org/officeDocument/2006/relationships" ref="N705" r:id="rId2122"/>
    <hyperlink xmlns:r="http://schemas.openxmlformats.org/officeDocument/2006/relationships" ref="H706" r:id="rId2123"/>
    <hyperlink xmlns:r="http://schemas.openxmlformats.org/officeDocument/2006/relationships" ref="I706" r:id="rId2124"/>
    <hyperlink xmlns:r="http://schemas.openxmlformats.org/officeDocument/2006/relationships" ref="K706" r:id="rId2125"/>
    <hyperlink xmlns:r="http://schemas.openxmlformats.org/officeDocument/2006/relationships" ref="N706" r:id="rId2126"/>
    <hyperlink xmlns:r="http://schemas.openxmlformats.org/officeDocument/2006/relationships" ref="H707" r:id="rId2127"/>
    <hyperlink xmlns:r="http://schemas.openxmlformats.org/officeDocument/2006/relationships" ref="I707" r:id="rId2128"/>
    <hyperlink xmlns:r="http://schemas.openxmlformats.org/officeDocument/2006/relationships" ref="K707" r:id="rId2129"/>
    <hyperlink xmlns:r="http://schemas.openxmlformats.org/officeDocument/2006/relationships" ref="N707" r:id="rId2130"/>
    <hyperlink xmlns:r="http://schemas.openxmlformats.org/officeDocument/2006/relationships" ref="H708" r:id="rId2131"/>
    <hyperlink xmlns:r="http://schemas.openxmlformats.org/officeDocument/2006/relationships" ref="K708" r:id="rId2132"/>
    <hyperlink xmlns:r="http://schemas.openxmlformats.org/officeDocument/2006/relationships" ref="N708" r:id="rId2133"/>
    <hyperlink xmlns:r="http://schemas.openxmlformats.org/officeDocument/2006/relationships" ref="H709" r:id="rId2134"/>
    <hyperlink xmlns:r="http://schemas.openxmlformats.org/officeDocument/2006/relationships" ref="I709" r:id="rId2135"/>
    <hyperlink xmlns:r="http://schemas.openxmlformats.org/officeDocument/2006/relationships" ref="K709" r:id="rId2136"/>
    <hyperlink xmlns:r="http://schemas.openxmlformats.org/officeDocument/2006/relationships" ref="N709" r:id="rId2137"/>
    <hyperlink xmlns:r="http://schemas.openxmlformats.org/officeDocument/2006/relationships" ref="I710" r:id="rId2138"/>
    <hyperlink xmlns:r="http://schemas.openxmlformats.org/officeDocument/2006/relationships" ref="K710" r:id="rId2139"/>
    <hyperlink xmlns:r="http://schemas.openxmlformats.org/officeDocument/2006/relationships" ref="N710" r:id="rId2140"/>
    <hyperlink xmlns:r="http://schemas.openxmlformats.org/officeDocument/2006/relationships" ref="H711" r:id="rId2141"/>
    <hyperlink xmlns:r="http://schemas.openxmlformats.org/officeDocument/2006/relationships" ref="K711" r:id="rId2142"/>
    <hyperlink xmlns:r="http://schemas.openxmlformats.org/officeDocument/2006/relationships" ref="N711" r:id="rId2143"/>
    <hyperlink xmlns:r="http://schemas.openxmlformats.org/officeDocument/2006/relationships" ref="H712" r:id="rId2144"/>
    <hyperlink xmlns:r="http://schemas.openxmlformats.org/officeDocument/2006/relationships" ref="I712" r:id="rId2145"/>
    <hyperlink xmlns:r="http://schemas.openxmlformats.org/officeDocument/2006/relationships" ref="K712" r:id="rId2146"/>
    <hyperlink xmlns:r="http://schemas.openxmlformats.org/officeDocument/2006/relationships" ref="N712" r:id="rId2147"/>
    <hyperlink xmlns:r="http://schemas.openxmlformats.org/officeDocument/2006/relationships" ref="H713" r:id="rId2148"/>
    <hyperlink xmlns:r="http://schemas.openxmlformats.org/officeDocument/2006/relationships" ref="I713" r:id="rId2149"/>
    <hyperlink xmlns:r="http://schemas.openxmlformats.org/officeDocument/2006/relationships" ref="K713" r:id="rId2150"/>
    <hyperlink xmlns:r="http://schemas.openxmlformats.org/officeDocument/2006/relationships" ref="N713" r:id="rId2151"/>
    <hyperlink xmlns:r="http://schemas.openxmlformats.org/officeDocument/2006/relationships" ref="H714" r:id="rId2152"/>
    <hyperlink xmlns:r="http://schemas.openxmlformats.org/officeDocument/2006/relationships" ref="I714" r:id="rId2153"/>
    <hyperlink xmlns:r="http://schemas.openxmlformats.org/officeDocument/2006/relationships" ref="K714" r:id="rId2154"/>
    <hyperlink xmlns:r="http://schemas.openxmlformats.org/officeDocument/2006/relationships" ref="N714" r:id="rId2155"/>
    <hyperlink xmlns:r="http://schemas.openxmlformats.org/officeDocument/2006/relationships" ref="H715" r:id="rId2156"/>
    <hyperlink xmlns:r="http://schemas.openxmlformats.org/officeDocument/2006/relationships" ref="I715" r:id="rId2157"/>
    <hyperlink xmlns:r="http://schemas.openxmlformats.org/officeDocument/2006/relationships" ref="K715" r:id="rId2158"/>
    <hyperlink xmlns:r="http://schemas.openxmlformats.org/officeDocument/2006/relationships" ref="N715" r:id="rId2159"/>
    <hyperlink xmlns:r="http://schemas.openxmlformats.org/officeDocument/2006/relationships" ref="H716" r:id="rId2160"/>
    <hyperlink xmlns:r="http://schemas.openxmlformats.org/officeDocument/2006/relationships" ref="I716" r:id="rId2161"/>
    <hyperlink xmlns:r="http://schemas.openxmlformats.org/officeDocument/2006/relationships" ref="K716" r:id="rId2162"/>
    <hyperlink xmlns:r="http://schemas.openxmlformats.org/officeDocument/2006/relationships" ref="N716" r:id="rId2163"/>
    <hyperlink xmlns:r="http://schemas.openxmlformats.org/officeDocument/2006/relationships" ref="H717" r:id="rId2164"/>
    <hyperlink xmlns:r="http://schemas.openxmlformats.org/officeDocument/2006/relationships" ref="I717" r:id="rId2165"/>
    <hyperlink xmlns:r="http://schemas.openxmlformats.org/officeDocument/2006/relationships" ref="K717" r:id="rId2166"/>
    <hyperlink xmlns:r="http://schemas.openxmlformats.org/officeDocument/2006/relationships" ref="N717" r:id="rId2167"/>
    <hyperlink xmlns:r="http://schemas.openxmlformats.org/officeDocument/2006/relationships" ref="H718" r:id="rId2168"/>
    <hyperlink xmlns:r="http://schemas.openxmlformats.org/officeDocument/2006/relationships" ref="I718" r:id="rId2169"/>
    <hyperlink xmlns:r="http://schemas.openxmlformats.org/officeDocument/2006/relationships" ref="K718" r:id="rId2170"/>
    <hyperlink xmlns:r="http://schemas.openxmlformats.org/officeDocument/2006/relationships" ref="N718" r:id="rId2171"/>
    <hyperlink xmlns:r="http://schemas.openxmlformats.org/officeDocument/2006/relationships" ref="I719" r:id="rId2172"/>
    <hyperlink xmlns:r="http://schemas.openxmlformats.org/officeDocument/2006/relationships" ref="K719" r:id="rId2173"/>
    <hyperlink xmlns:r="http://schemas.openxmlformats.org/officeDocument/2006/relationships" ref="N719" r:id="rId2174"/>
    <hyperlink xmlns:r="http://schemas.openxmlformats.org/officeDocument/2006/relationships" ref="I720" r:id="rId2175"/>
    <hyperlink xmlns:r="http://schemas.openxmlformats.org/officeDocument/2006/relationships" ref="K720" r:id="rId2176"/>
    <hyperlink xmlns:r="http://schemas.openxmlformats.org/officeDocument/2006/relationships" ref="N720" r:id="rId2177"/>
    <hyperlink xmlns:r="http://schemas.openxmlformats.org/officeDocument/2006/relationships" ref="I721" r:id="rId2178"/>
    <hyperlink xmlns:r="http://schemas.openxmlformats.org/officeDocument/2006/relationships" ref="K721" r:id="rId2179"/>
    <hyperlink xmlns:r="http://schemas.openxmlformats.org/officeDocument/2006/relationships" ref="N721" r:id="rId2180"/>
    <hyperlink xmlns:r="http://schemas.openxmlformats.org/officeDocument/2006/relationships" ref="I722" r:id="rId2181"/>
    <hyperlink xmlns:r="http://schemas.openxmlformats.org/officeDocument/2006/relationships" ref="K722" r:id="rId2182"/>
    <hyperlink xmlns:r="http://schemas.openxmlformats.org/officeDocument/2006/relationships" ref="N722" r:id="rId2183"/>
    <hyperlink xmlns:r="http://schemas.openxmlformats.org/officeDocument/2006/relationships" ref="H723" r:id="rId2184"/>
    <hyperlink xmlns:r="http://schemas.openxmlformats.org/officeDocument/2006/relationships" ref="K723" r:id="rId2185"/>
    <hyperlink xmlns:r="http://schemas.openxmlformats.org/officeDocument/2006/relationships" ref="N723" r:id="rId2186"/>
    <hyperlink xmlns:r="http://schemas.openxmlformats.org/officeDocument/2006/relationships" ref="H724" r:id="rId2187"/>
    <hyperlink xmlns:r="http://schemas.openxmlformats.org/officeDocument/2006/relationships" ref="I724" r:id="rId2188"/>
    <hyperlink xmlns:r="http://schemas.openxmlformats.org/officeDocument/2006/relationships" ref="K724" r:id="rId2189"/>
    <hyperlink xmlns:r="http://schemas.openxmlformats.org/officeDocument/2006/relationships" ref="N724" r:id="rId2190"/>
    <hyperlink xmlns:r="http://schemas.openxmlformats.org/officeDocument/2006/relationships" ref="H725" r:id="rId2191"/>
    <hyperlink xmlns:r="http://schemas.openxmlformats.org/officeDocument/2006/relationships" ref="I725" r:id="rId2192"/>
    <hyperlink xmlns:r="http://schemas.openxmlformats.org/officeDocument/2006/relationships" ref="K725" r:id="rId2193"/>
    <hyperlink xmlns:r="http://schemas.openxmlformats.org/officeDocument/2006/relationships" ref="N725" r:id="rId2194"/>
    <hyperlink xmlns:r="http://schemas.openxmlformats.org/officeDocument/2006/relationships" ref="I726" r:id="rId2195"/>
    <hyperlink xmlns:r="http://schemas.openxmlformats.org/officeDocument/2006/relationships" ref="K726" r:id="rId2196"/>
    <hyperlink xmlns:r="http://schemas.openxmlformats.org/officeDocument/2006/relationships" ref="N726" r:id="rId2197"/>
    <hyperlink xmlns:r="http://schemas.openxmlformats.org/officeDocument/2006/relationships" ref="H727" r:id="rId2198"/>
    <hyperlink xmlns:r="http://schemas.openxmlformats.org/officeDocument/2006/relationships" ref="I727" r:id="rId2199"/>
    <hyperlink xmlns:r="http://schemas.openxmlformats.org/officeDocument/2006/relationships" ref="K727" r:id="rId2200"/>
    <hyperlink xmlns:r="http://schemas.openxmlformats.org/officeDocument/2006/relationships" ref="N727" r:id="rId2201"/>
    <hyperlink xmlns:r="http://schemas.openxmlformats.org/officeDocument/2006/relationships" ref="H728" r:id="rId2202"/>
    <hyperlink xmlns:r="http://schemas.openxmlformats.org/officeDocument/2006/relationships" ref="I728" r:id="rId2203"/>
    <hyperlink xmlns:r="http://schemas.openxmlformats.org/officeDocument/2006/relationships" ref="K728" r:id="rId2204"/>
    <hyperlink xmlns:r="http://schemas.openxmlformats.org/officeDocument/2006/relationships" ref="N728" r:id="rId2205"/>
    <hyperlink xmlns:r="http://schemas.openxmlformats.org/officeDocument/2006/relationships" ref="H729" r:id="rId2206"/>
    <hyperlink xmlns:r="http://schemas.openxmlformats.org/officeDocument/2006/relationships" ref="I729" r:id="rId2207"/>
    <hyperlink xmlns:r="http://schemas.openxmlformats.org/officeDocument/2006/relationships" ref="K729" r:id="rId2208"/>
    <hyperlink xmlns:r="http://schemas.openxmlformats.org/officeDocument/2006/relationships" ref="N729" r:id="rId2209"/>
    <hyperlink xmlns:r="http://schemas.openxmlformats.org/officeDocument/2006/relationships" ref="H730" r:id="rId2210"/>
    <hyperlink xmlns:r="http://schemas.openxmlformats.org/officeDocument/2006/relationships" ref="I730" r:id="rId2211"/>
    <hyperlink xmlns:r="http://schemas.openxmlformats.org/officeDocument/2006/relationships" ref="K730" r:id="rId2212"/>
    <hyperlink xmlns:r="http://schemas.openxmlformats.org/officeDocument/2006/relationships" ref="N730" r:id="rId2213"/>
    <hyperlink xmlns:r="http://schemas.openxmlformats.org/officeDocument/2006/relationships" ref="H731" r:id="rId2214"/>
    <hyperlink xmlns:r="http://schemas.openxmlformats.org/officeDocument/2006/relationships" ref="I731" r:id="rId2215"/>
    <hyperlink xmlns:r="http://schemas.openxmlformats.org/officeDocument/2006/relationships" ref="K731" r:id="rId2216"/>
    <hyperlink xmlns:r="http://schemas.openxmlformats.org/officeDocument/2006/relationships" ref="N731" r:id="rId2217"/>
    <hyperlink xmlns:r="http://schemas.openxmlformats.org/officeDocument/2006/relationships" ref="H732" r:id="rId2218"/>
    <hyperlink xmlns:r="http://schemas.openxmlformats.org/officeDocument/2006/relationships" ref="I732" r:id="rId2219"/>
    <hyperlink xmlns:r="http://schemas.openxmlformats.org/officeDocument/2006/relationships" ref="K732" r:id="rId2220"/>
    <hyperlink xmlns:r="http://schemas.openxmlformats.org/officeDocument/2006/relationships" ref="N732" r:id="rId2221"/>
    <hyperlink xmlns:r="http://schemas.openxmlformats.org/officeDocument/2006/relationships" ref="H733" r:id="rId2222"/>
    <hyperlink xmlns:r="http://schemas.openxmlformats.org/officeDocument/2006/relationships" ref="I733" r:id="rId2223"/>
    <hyperlink xmlns:r="http://schemas.openxmlformats.org/officeDocument/2006/relationships" ref="K733" r:id="rId2224"/>
    <hyperlink xmlns:r="http://schemas.openxmlformats.org/officeDocument/2006/relationships" ref="N733" r:id="rId2225"/>
    <hyperlink xmlns:r="http://schemas.openxmlformats.org/officeDocument/2006/relationships" ref="I734" r:id="rId2226"/>
    <hyperlink xmlns:r="http://schemas.openxmlformats.org/officeDocument/2006/relationships" ref="K734" r:id="rId2227"/>
    <hyperlink xmlns:r="http://schemas.openxmlformats.org/officeDocument/2006/relationships" ref="N734" r:id="rId2228"/>
    <hyperlink xmlns:r="http://schemas.openxmlformats.org/officeDocument/2006/relationships" ref="I735" r:id="rId2229"/>
    <hyperlink xmlns:r="http://schemas.openxmlformats.org/officeDocument/2006/relationships" ref="K735" r:id="rId2230"/>
    <hyperlink xmlns:r="http://schemas.openxmlformats.org/officeDocument/2006/relationships" ref="N735" r:id="rId2231"/>
    <hyperlink xmlns:r="http://schemas.openxmlformats.org/officeDocument/2006/relationships" ref="I736" r:id="rId2232"/>
    <hyperlink xmlns:r="http://schemas.openxmlformats.org/officeDocument/2006/relationships" ref="K736" r:id="rId2233"/>
    <hyperlink xmlns:r="http://schemas.openxmlformats.org/officeDocument/2006/relationships" ref="N736" r:id="rId2234"/>
    <hyperlink xmlns:r="http://schemas.openxmlformats.org/officeDocument/2006/relationships" ref="H737" r:id="rId2235"/>
    <hyperlink xmlns:r="http://schemas.openxmlformats.org/officeDocument/2006/relationships" ref="I737" r:id="rId2236"/>
    <hyperlink xmlns:r="http://schemas.openxmlformats.org/officeDocument/2006/relationships" ref="K737" r:id="rId2237"/>
    <hyperlink xmlns:r="http://schemas.openxmlformats.org/officeDocument/2006/relationships" ref="N737" r:id="rId2238"/>
    <hyperlink xmlns:r="http://schemas.openxmlformats.org/officeDocument/2006/relationships" ref="H738" r:id="rId2239"/>
    <hyperlink xmlns:r="http://schemas.openxmlformats.org/officeDocument/2006/relationships" ref="I738" r:id="rId2240"/>
    <hyperlink xmlns:r="http://schemas.openxmlformats.org/officeDocument/2006/relationships" ref="K738" r:id="rId2241"/>
    <hyperlink xmlns:r="http://schemas.openxmlformats.org/officeDocument/2006/relationships" ref="N738" r:id="rId2242"/>
    <hyperlink xmlns:r="http://schemas.openxmlformats.org/officeDocument/2006/relationships" ref="H739" r:id="rId2243"/>
    <hyperlink xmlns:r="http://schemas.openxmlformats.org/officeDocument/2006/relationships" ref="I739" r:id="rId2244"/>
    <hyperlink xmlns:r="http://schemas.openxmlformats.org/officeDocument/2006/relationships" ref="K739" r:id="rId2245"/>
    <hyperlink xmlns:r="http://schemas.openxmlformats.org/officeDocument/2006/relationships" ref="N739" r:id="rId2246"/>
    <hyperlink xmlns:r="http://schemas.openxmlformats.org/officeDocument/2006/relationships" ref="H740" r:id="rId2247"/>
    <hyperlink xmlns:r="http://schemas.openxmlformats.org/officeDocument/2006/relationships" ref="I740" r:id="rId2248"/>
    <hyperlink xmlns:r="http://schemas.openxmlformats.org/officeDocument/2006/relationships" ref="K740" r:id="rId2249"/>
    <hyperlink xmlns:r="http://schemas.openxmlformats.org/officeDocument/2006/relationships" ref="N740" r:id="rId2250"/>
    <hyperlink xmlns:r="http://schemas.openxmlformats.org/officeDocument/2006/relationships" ref="H741" r:id="rId2251"/>
    <hyperlink xmlns:r="http://schemas.openxmlformats.org/officeDocument/2006/relationships" ref="I741" r:id="rId2252"/>
    <hyperlink xmlns:r="http://schemas.openxmlformats.org/officeDocument/2006/relationships" ref="K741" r:id="rId2253"/>
    <hyperlink xmlns:r="http://schemas.openxmlformats.org/officeDocument/2006/relationships" ref="N741" r:id="rId2254"/>
    <hyperlink xmlns:r="http://schemas.openxmlformats.org/officeDocument/2006/relationships" ref="I742" r:id="rId2255"/>
    <hyperlink xmlns:r="http://schemas.openxmlformats.org/officeDocument/2006/relationships" ref="K742" r:id="rId2256"/>
    <hyperlink xmlns:r="http://schemas.openxmlformats.org/officeDocument/2006/relationships" ref="N742" r:id="rId2257"/>
    <hyperlink xmlns:r="http://schemas.openxmlformats.org/officeDocument/2006/relationships" ref="H743" r:id="rId2258"/>
    <hyperlink xmlns:r="http://schemas.openxmlformats.org/officeDocument/2006/relationships" ref="I743" r:id="rId2259"/>
    <hyperlink xmlns:r="http://schemas.openxmlformats.org/officeDocument/2006/relationships" ref="K743" r:id="rId2260"/>
    <hyperlink xmlns:r="http://schemas.openxmlformats.org/officeDocument/2006/relationships" ref="N743" r:id="rId2261"/>
    <hyperlink xmlns:r="http://schemas.openxmlformats.org/officeDocument/2006/relationships" ref="H744" r:id="rId2262"/>
    <hyperlink xmlns:r="http://schemas.openxmlformats.org/officeDocument/2006/relationships" ref="I744" r:id="rId2263"/>
    <hyperlink xmlns:r="http://schemas.openxmlformats.org/officeDocument/2006/relationships" ref="K744" r:id="rId2264"/>
    <hyperlink xmlns:r="http://schemas.openxmlformats.org/officeDocument/2006/relationships" ref="N744" r:id="rId2265"/>
    <hyperlink xmlns:r="http://schemas.openxmlformats.org/officeDocument/2006/relationships" ref="H745" r:id="rId2266"/>
    <hyperlink xmlns:r="http://schemas.openxmlformats.org/officeDocument/2006/relationships" ref="I745" r:id="rId2267"/>
    <hyperlink xmlns:r="http://schemas.openxmlformats.org/officeDocument/2006/relationships" ref="K745" r:id="rId2268"/>
    <hyperlink xmlns:r="http://schemas.openxmlformats.org/officeDocument/2006/relationships" ref="N745" r:id="rId2269"/>
    <hyperlink xmlns:r="http://schemas.openxmlformats.org/officeDocument/2006/relationships" ref="H746" r:id="rId2270"/>
    <hyperlink xmlns:r="http://schemas.openxmlformats.org/officeDocument/2006/relationships" ref="I746" r:id="rId2271"/>
    <hyperlink xmlns:r="http://schemas.openxmlformats.org/officeDocument/2006/relationships" ref="K746" r:id="rId2272"/>
    <hyperlink xmlns:r="http://schemas.openxmlformats.org/officeDocument/2006/relationships" ref="N746" r:id="rId2273"/>
    <hyperlink xmlns:r="http://schemas.openxmlformats.org/officeDocument/2006/relationships" ref="H747" r:id="rId2274"/>
    <hyperlink xmlns:r="http://schemas.openxmlformats.org/officeDocument/2006/relationships" ref="I747" r:id="rId2275"/>
    <hyperlink xmlns:r="http://schemas.openxmlformats.org/officeDocument/2006/relationships" ref="K747" r:id="rId2276"/>
    <hyperlink xmlns:r="http://schemas.openxmlformats.org/officeDocument/2006/relationships" ref="N747" r:id="rId2277"/>
    <hyperlink xmlns:r="http://schemas.openxmlformats.org/officeDocument/2006/relationships" ref="H748" r:id="rId2278"/>
    <hyperlink xmlns:r="http://schemas.openxmlformats.org/officeDocument/2006/relationships" ref="I748" r:id="rId2279"/>
    <hyperlink xmlns:r="http://schemas.openxmlformats.org/officeDocument/2006/relationships" ref="K748" r:id="rId2280"/>
    <hyperlink xmlns:r="http://schemas.openxmlformats.org/officeDocument/2006/relationships" ref="N748" r:id="rId2281"/>
    <hyperlink xmlns:r="http://schemas.openxmlformats.org/officeDocument/2006/relationships" ref="H749" r:id="rId2282"/>
    <hyperlink xmlns:r="http://schemas.openxmlformats.org/officeDocument/2006/relationships" ref="I749" r:id="rId2283"/>
    <hyperlink xmlns:r="http://schemas.openxmlformats.org/officeDocument/2006/relationships" ref="K749" r:id="rId2284"/>
    <hyperlink xmlns:r="http://schemas.openxmlformats.org/officeDocument/2006/relationships" ref="N749" r:id="rId2285"/>
    <hyperlink xmlns:r="http://schemas.openxmlformats.org/officeDocument/2006/relationships" ref="H750" r:id="rId2286"/>
    <hyperlink xmlns:r="http://schemas.openxmlformats.org/officeDocument/2006/relationships" ref="I750" r:id="rId2287"/>
    <hyperlink xmlns:r="http://schemas.openxmlformats.org/officeDocument/2006/relationships" ref="K750" r:id="rId2288"/>
    <hyperlink xmlns:r="http://schemas.openxmlformats.org/officeDocument/2006/relationships" ref="N750" r:id="rId2289"/>
    <hyperlink xmlns:r="http://schemas.openxmlformats.org/officeDocument/2006/relationships" ref="H751" r:id="rId2290"/>
    <hyperlink xmlns:r="http://schemas.openxmlformats.org/officeDocument/2006/relationships" ref="I751" r:id="rId2291"/>
    <hyperlink xmlns:r="http://schemas.openxmlformats.org/officeDocument/2006/relationships" ref="K751" r:id="rId2292"/>
    <hyperlink xmlns:r="http://schemas.openxmlformats.org/officeDocument/2006/relationships" ref="N751" r:id="rId2293"/>
    <hyperlink xmlns:r="http://schemas.openxmlformats.org/officeDocument/2006/relationships" ref="H752" r:id="rId2294"/>
    <hyperlink xmlns:r="http://schemas.openxmlformats.org/officeDocument/2006/relationships" ref="I752" r:id="rId2295"/>
    <hyperlink xmlns:r="http://schemas.openxmlformats.org/officeDocument/2006/relationships" ref="K752" r:id="rId2296"/>
    <hyperlink xmlns:r="http://schemas.openxmlformats.org/officeDocument/2006/relationships" ref="N752" r:id="rId2297"/>
    <hyperlink xmlns:r="http://schemas.openxmlformats.org/officeDocument/2006/relationships" ref="H753" r:id="rId2298"/>
    <hyperlink xmlns:r="http://schemas.openxmlformats.org/officeDocument/2006/relationships" ref="I753" r:id="rId2299"/>
    <hyperlink xmlns:r="http://schemas.openxmlformats.org/officeDocument/2006/relationships" ref="K753" r:id="rId2300"/>
    <hyperlink xmlns:r="http://schemas.openxmlformats.org/officeDocument/2006/relationships" ref="N753" r:id="rId2301"/>
    <hyperlink xmlns:r="http://schemas.openxmlformats.org/officeDocument/2006/relationships" ref="H754" r:id="rId2302"/>
    <hyperlink xmlns:r="http://schemas.openxmlformats.org/officeDocument/2006/relationships" ref="I754" r:id="rId2303"/>
    <hyperlink xmlns:r="http://schemas.openxmlformats.org/officeDocument/2006/relationships" ref="K754" r:id="rId2304"/>
    <hyperlink xmlns:r="http://schemas.openxmlformats.org/officeDocument/2006/relationships" ref="N754" r:id="rId2305"/>
    <hyperlink xmlns:r="http://schemas.openxmlformats.org/officeDocument/2006/relationships" ref="H755" r:id="rId2306"/>
    <hyperlink xmlns:r="http://schemas.openxmlformats.org/officeDocument/2006/relationships" ref="I755" r:id="rId2307"/>
    <hyperlink xmlns:r="http://schemas.openxmlformats.org/officeDocument/2006/relationships" ref="K755" r:id="rId2308"/>
    <hyperlink xmlns:r="http://schemas.openxmlformats.org/officeDocument/2006/relationships" ref="N755" r:id="rId2309"/>
    <hyperlink xmlns:r="http://schemas.openxmlformats.org/officeDocument/2006/relationships" ref="H756" r:id="rId2310"/>
    <hyperlink xmlns:r="http://schemas.openxmlformats.org/officeDocument/2006/relationships" ref="I756" r:id="rId2311"/>
    <hyperlink xmlns:r="http://schemas.openxmlformats.org/officeDocument/2006/relationships" ref="K756" r:id="rId2312"/>
    <hyperlink xmlns:r="http://schemas.openxmlformats.org/officeDocument/2006/relationships" ref="N756" r:id="rId2313"/>
    <hyperlink xmlns:r="http://schemas.openxmlformats.org/officeDocument/2006/relationships" ref="H757" r:id="rId2314"/>
    <hyperlink xmlns:r="http://schemas.openxmlformats.org/officeDocument/2006/relationships" ref="I757" r:id="rId2315"/>
    <hyperlink xmlns:r="http://schemas.openxmlformats.org/officeDocument/2006/relationships" ref="K757" r:id="rId2316"/>
    <hyperlink xmlns:r="http://schemas.openxmlformats.org/officeDocument/2006/relationships" ref="N757" r:id="rId2317"/>
    <hyperlink xmlns:r="http://schemas.openxmlformats.org/officeDocument/2006/relationships" ref="H758" r:id="rId2318"/>
    <hyperlink xmlns:r="http://schemas.openxmlformats.org/officeDocument/2006/relationships" ref="I758" r:id="rId2319"/>
    <hyperlink xmlns:r="http://schemas.openxmlformats.org/officeDocument/2006/relationships" ref="K758" r:id="rId2320"/>
    <hyperlink xmlns:r="http://schemas.openxmlformats.org/officeDocument/2006/relationships" ref="N758" r:id="rId2321"/>
    <hyperlink xmlns:r="http://schemas.openxmlformats.org/officeDocument/2006/relationships" ref="H759" r:id="rId2322"/>
    <hyperlink xmlns:r="http://schemas.openxmlformats.org/officeDocument/2006/relationships" ref="I759" r:id="rId2323"/>
    <hyperlink xmlns:r="http://schemas.openxmlformats.org/officeDocument/2006/relationships" ref="K759" r:id="rId2324"/>
    <hyperlink xmlns:r="http://schemas.openxmlformats.org/officeDocument/2006/relationships" ref="N759" r:id="rId2325"/>
    <hyperlink xmlns:r="http://schemas.openxmlformats.org/officeDocument/2006/relationships" ref="H760" r:id="rId2326"/>
    <hyperlink xmlns:r="http://schemas.openxmlformats.org/officeDocument/2006/relationships" ref="I760" r:id="rId2327"/>
    <hyperlink xmlns:r="http://schemas.openxmlformats.org/officeDocument/2006/relationships" ref="K760" r:id="rId2328"/>
    <hyperlink xmlns:r="http://schemas.openxmlformats.org/officeDocument/2006/relationships" ref="N760" r:id="rId2329"/>
    <hyperlink xmlns:r="http://schemas.openxmlformats.org/officeDocument/2006/relationships" ref="H761" r:id="rId2330"/>
    <hyperlink xmlns:r="http://schemas.openxmlformats.org/officeDocument/2006/relationships" ref="I761" r:id="rId2331"/>
    <hyperlink xmlns:r="http://schemas.openxmlformats.org/officeDocument/2006/relationships" ref="K761" r:id="rId2332"/>
    <hyperlink xmlns:r="http://schemas.openxmlformats.org/officeDocument/2006/relationships" ref="N761" r:id="rId2333"/>
    <hyperlink xmlns:r="http://schemas.openxmlformats.org/officeDocument/2006/relationships" ref="H762" r:id="rId2334"/>
    <hyperlink xmlns:r="http://schemas.openxmlformats.org/officeDocument/2006/relationships" ref="I762" r:id="rId2335"/>
    <hyperlink xmlns:r="http://schemas.openxmlformats.org/officeDocument/2006/relationships" ref="K762" r:id="rId2336"/>
    <hyperlink xmlns:r="http://schemas.openxmlformats.org/officeDocument/2006/relationships" ref="N762" r:id="rId2337"/>
    <hyperlink xmlns:r="http://schemas.openxmlformats.org/officeDocument/2006/relationships" ref="H763" r:id="rId2338"/>
    <hyperlink xmlns:r="http://schemas.openxmlformats.org/officeDocument/2006/relationships" ref="I763" r:id="rId2339"/>
    <hyperlink xmlns:r="http://schemas.openxmlformats.org/officeDocument/2006/relationships" ref="K763" r:id="rId2340"/>
    <hyperlink xmlns:r="http://schemas.openxmlformats.org/officeDocument/2006/relationships" ref="N763" r:id="rId2341"/>
    <hyperlink xmlns:r="http://schemas.openxmlformats.org/officeDocument/2006/relationships" ref="H764" r:id="rId2342"/>
    <hyperlink xmlns:r="http://schemas.openxmlformats.org/officeDocument/2006/relationships" ref="I764" r:id="rId2343"/>
    <hyperlink xmlns:r="http://schemas.openxmlformats.org/officeDocument/2006/relationships" ref="K764" r:id="rId2344"/>
    <hyperlink xmlns:r="http://schemas.openxmlformats.org/officeDocument/2006/relationships" ref="N764" r:id="rId2345"/>
    <hyperlink xmlns:r="http://schemas.openxmlformats.org/officeDocument/2006/relationships" ref="H765" r:id="rId2346"/>
    <hyperlink xmlns:r="http://schemas.openxmlformats.org/officeDocument/2006/relationships" ref="K765" r:id="rId2347"/>
    <hyperlink xmlns:r="http://schemas.openxmlformats.org/officeDocument/2006/relationships" ref="N765" r:id="rId2348"/>
    <hyperlink xmlns:r="http://schemas.openxmlformats.org/officeDocument/2006/relationships" ref="H766" r:id="rId2349"/>
    <hyperlink xmlns:r="http://schemas.openxmlformats.org/officeDocument/2006/relationships" ref="I766" r:id="rId2350"/>
    <hyperlink xmlns:r="http://schemas.openxmlformats.org/officeDocument/2006/relationships" ref="K766" r:id="rId2351"/>
    <hyperlink xmlns:r="http://schemas.openxmlformats.org/officeDocument/2006/relationships" ref="N766" r:id="rId2352"/>
    <hyperlink xmlns:r="http://schemas.openxmlformats.org/officeDocument/2006/relationships" ref="H767" r:id="rId2353"/>
    <hyperlink xmlns:r="http://schemas.openxmlformats.org/officeDocument/2006/relationships" ref="K767" r:id="rId2354"/>
    <hyperlink xmlns:r="http://schemas.openxmlformats.org/officeDocument/2006/relationships" ref="N767" r:id="rId2355"/>
    <hyperlink xmlns:r="http://schemas.openxmlformats.org/officeDocument/2006/relationships" ref="H768" r:id="rId2356"/>
    <hyperlink xmlns:r="http://schemas.openxmlformats.org/officeDocument/2006/relationships" ref="I768" r:id="rId2357"/>
    <hyperlink xmlns:r="http://schemas.openxmlformats.org/officeDocument/2006/relationships" ref="K768" r:id="rId2358"/>
    <hyperlink xmlns:r="http://schemas.openxmlformats.org/officeDocument/2006/relationships" ref="N768" r:id="rId2359"/>
    <hyperlink xmlns:r="http://schemas.openxmlformats.org/officeDocument/2006/relationships" ref="H769" r:id="rId2360"/>
    <hyperlink xmlns:r="http://schemas.openxmlformats.org/officeDocument/2006/relationships" ref="I769" r:id="rId2361"/>
    <hyperlink xmlns:r="http://schemas.openxmlformats.org/officeDocument/2006/relationships" ref="K769" r:id="rId2362"/>
    <hyperlink xmlns:r="http://schemas.openxmlformats.org/officeDocument/2006/relationships" ref="N769" r:id="rId2363"/>
    <hyperlink xmlns:r="http://schemas.openxmlformats.org/officeDocument/2006/relationships" ref="H770" r:id="rId2364"/>
    <hyperlink xmlns:r="http://schemas.openxmlformats.org/officeDocument/2006/relationships" ref="I770" r:id="rId2365"/>
    <hyperlink xmlns:r="http://schemas.openxmlformats.org/officeDocument/2006/relationships" ref="K770" r:id="rId2366"/>
    <hyperlink xmlns:r="http://schemas.openxmlformats.org/officeDocument/2006/relationships" ref="N770" r:id="rId2367"/>
    <hyperlink xmlns:r="http://schemas.openxmlformats.org/officeDocument/2006/relationships" ref="H771" r:id="rId2368"/>
    <hyperlink xmlns:r="http://schemas.openxmlformats.org/officeDocument/2006/relationships" ref="I771" r:id="rId2369"/>
    <hyperlink xmlns:r="http://schemas.openxmlformats.org/officeDocument/2006/relationships" ref="K771" r:id="rId2370"/>
    <hyperlink xmlns:r="http://schemas.openxmlformats.org/officeDocument/2006/relationships" ref="N771" r:id="rId2371"/>
    <hyperlink xmlns:r="http://schemas.openxmlformats.org/officeDocument/2006/relationships" ref="H772" r:id="rId2372"/>
    <hyperlink xmlns:r="http://schemas.openxmlformats.org/officeDocument/2006/relationships" ref="I772" r:id="rId2373"/>
    <hyperlink xmlns:r="http://schemas.openxmlformats.org/officeDocument/2006/relationships" ref="K772" r:id="rId2374"/>
    <hyperlink xmlns:r="http://schemas.openxmlformats.org/officeDocument/2006/relationships" ref="N772" r:id="rId2375"/>
    <hyperlink xmlns:r="http://schemas.openxmlformats.org/officeDocument/2006/relationships" ref="I773" r:id="rId2376"/>
    <hyperlink xmlns:r="http://schemas.openxmlformats.org/officeDocument/2006/relationships" ref="K773" r:id="rId2377"/>
    <hyperlink xmlns:r="http://schemas.openxmlformats.org/officeDocument/2006/relationships" ref="N773" r:id="rId2378"/>
    <hyperlink xmlns:r="http://schemas.openxmlformats.org/officeDocument/2006/relationships" ref="I774" r:id="rId2379"/>
    <hyperlink xmlns:r="http://schemas.openxmlformats.org/officeDocument/2006/relationships" ref="K774" r:id="rId2380"/>
    <hyperlink xmlns:r="http://schemas.openxmlformats.org/officeDocument/2006/relationships" ref="N774" r:id="rId2381"/>
    <hyperlink xmlns:r="http://schemas.openxmlformats.org/officeDocument/2006/relationships" ref="H775" r:id="rId2382"/>
    <hyperlink xmlns:r="http://schemas.openxmlformats.org/officeDocument/2006/relationships" ref="I775" r:id="rId2383"/>
    <hyperlink xmlns:r="http://schemas.openxmlformats.org/officeDocument/2006/relationships" ref="K775" r:id="rId2384"/>
    <hyperlink xmlns:r="http://schemas.openxmlformats.org/officeDocument/2006/relationships" ref="N775" r:id="rId2385"/>
    <hyperlink xmlns:r="http://schemas.openxmlformats.org/officeDocument/2006/relationships" ref="H776" r:id="rId2386"/>
    <hyperlink xmlns:r="http://schemas.openxmlformats.org/officeDocument/2006/relationships" ref="I776" r:id="rId2387"/>
    <hyperlink xmlns:r="http://schemas.openxmlformats.org/officeDocument/2006/relationships" ref="K776" r:id="rId2388"/>
    <hyperlink xmlns:r="http://schemas.openxmlformats.org/officeDocument/2006/relationships" ref="N776" r:id="rId2389"/>
    <hyperlink xmlns:r="http://schemas.openxmlformats.org/officeDocument/2006/relationships" ref="H777" r:id="rId2390"/>
    <hyperlink xmlns:r="http://schemas.openxmlformats.org/officeDocument/2006/relationships" ref="I777" r:id="rId2391"/>
    <hyperlink xmlns:r="http://schemas.openxmlformats.org/officeDocument/2006/relationships" ref="K777" r:id="rId2392"/>
    <hyperlink xmlns:r="http://schemas.openxmlformats.org/officeDocument/2006/relationships" ref="N777" r:id="rId2393"/>
    <hyperlink xmlns:r="http://schemas.openxmlformats.org/officeDocument/2006/relationships" ref="H778" r:id="rId2394"/>
    <hyperlink xmlns:r="http://schemas.openxmlformats.org/officeDocument/2006/relationships" ref="I778" r:id="rId2395"/>
    <hyperlink xmlns:r="http://schemas.openxmlformats.org/officeDocument/2006/relationships" ref="K778" r:id="rId2396"/>
    <hyperlink xmlns:r="http://schemas.openxmlformats.org/officeDocument/2006/relationships" ref="N778" r:id="rId2397"/>
    <hyperlink xmlns:r="http://schemas.openxmlformats.org/officeDocument/2006/relationships" ref="H779" r:id="rId2398"/>
    <hyperlink xmlns:r="http://schemas.openxmlformats.org/officeDocument/2006/relationships" ref="I779" r:id="rId2399"/>
    <hyperlink xmlns:r="http://schemas.openxmlformats.org/officeDocument/2006/relationships" ref="K779" r:id="rId2400"/>
    <hyperlink xmlns:r="http://schemas.openxmlformats.org/officeDocument/2006/relationships" ref="N779" r:id="rId2401"/>
    <hyperlink xmlns:r="http://schemas.openxmlformats.org/officeDocument/2006/relationships" ref="H780" r:id="rId2402"/>
    <hyperlink xmlns:r="http://schemas.openxmlformats.org/officeDocument/2006/relationships" ref="I780" r:id="rId2403"/>
    <hyperlink xmlns:r="http://schemas.openxmlformats.org/officeDocument/2006/relationships" ref="K780" r:id="rId2404"/>
    <hyperlink xmlns:r="http://schemas.openxmlformats.org/officeDocument/2006/relationships" ref="N780" r:id="rId2405"/>
    <hyperlink xmlns:r="http://schemas.openxmlformats.org/officeDocument/2006/relationships" ref="H781" r:id="rId2406"/>
    <hyperlink xmlns:r="http://schemas.openxmlformats.org/officeDocument/2006/relationships" ref="I781" r:id="rId2407"/>
    <hyperlink xmlns:r="http://schemas.openxmlformats.org/officeDocument/2006/relationships" ref="K781" r:id="rId2408"/>
    <hyperlink xmlns:r="http://schemas.openxmlformats.org/officeDocument/2006/relationships" ref="N781" r:id="rId2409"/>
    <hyperlink xmlns:r="http://schemas.openxmlformats.org/officeDocument/2006/relationships" ref="I782" r:id="rId2410"/>
    <hyperlink xmlns:r="http://schemas.openxmlformats.org/officeDocument/2006/relationships" ref="K782" r:id="rId2411"/>
    <hyperlink xmlns:r="http://schemas.openxmlformats.org/officeDocument/2006/relationships" ref="N782" r:id="rId2412"/>
    <hyperlink xmlns:r="http://schemas.openxmlformats.org/officeDocument/2006/relationships" ref="H783" r:id="rId2413"/>
    <hyperlink xmlns:r="http://schemas.openxmlformats.org/officeDocument/2006/relationships" ref="I783" r:id="rId2414"/>
    <hyperlink xmlns:r="http://schemas.openxmlformats.org/officeDocument/2006/relationships" ref="K783" r:id="rId2415"/>
    <hyperlink xmlns:r="http://schemas.openxmlformats.org/officeDocument/2006/relationships" ref="N783" r:id="rId2416"/>
    <hyperlink xmlns:r="http://schemas.openxmlformats.org/officeDocument/2006/relationships" ref="H784" r:id="rId2417"/>
    <hyperlink xmlns:r="http://schemas.openxmlformats.org/officeDocument/2006/relationships" ref="I784" r:id="rId2418"/>
    <hyperlink xmlns:r="http://schemas.openxmlformats.org/officeDocument/2006/relationships" ref="K784" r:id="rId2419"/>
    <hyperlink xmlns:r="http://schemas.openxmlformats.org/officeDocument/2006/relationships" ref="N784" r:id="rId2420"/>
    <hyperlink xmlns:r="http://schemas.openxmlformats.org/officeDocument/2006/relationships" ref="H785" r:id="rId2421"/>
    <hyperlink xmlns:r="http://schemas.openxmlformats.org/officeDocument/2006/relationships" ref="I785" r:id="rId2422"/>
    <hyperlink xmlns:r="http://schemas.openxmlformats.org/officeDocument/2006/relationships" ref="K785" r:id="rId2423"/>
    <hyperlink xmlns:r="http://schemas.openxmlformats.org/officeDocument/2006/relationships" ref="N785" r:id="rId2424"/>
    <hyperlink xmlns:r="http://schemas.openxmlformats.org/officeDocument/2006/relationships" ref="H786" r:id="rId2425"/>
    <hyperlink xmlns:r="http://schemas.openxmlformats.org/officeDocument/2006/relationships" ref="I786" r:id="rId2426"/>
    <hyperlink xmlns:r="http://schemas.openxmlformats.org/officeDocument/2006/relationships" ref="K786" r:id="rId2427"/>
    <hyperlink xmlns:r="http://schemas.openxmlformats.org/officeDocument/2006/relationships" ref="N786" r:id="rId2428"/>
    <hyperlink xmlns:r="http://schemas.openxmlformats.org/officeDocument/2006/relationships" ref="H787" r:id="rId2429"/>
    <hyperlink xmlns:r="http://schemas.openxmlformats.org/officeDocument/2006/relationships" ref="I787" r:id="rId2430"/>
    <hyperlink xmlns:r="http://schemas.openxmlformats.org/officeDocument/2006/relationships" ref="K787" r:id="rId2431"/>
    <hyperlink xmlns:r="http://schemas.openxmlformats.org/officeDocument/2006/relationships" ref="N787" r:id="rId2432"/>
    <hyperlink xmlns:r="http://schemas.openxmlformats.org/officeDocument/2006/relationships" ref="H788" r:id="rId2433"/>
    <hyperlink xmlns:r="http://schemas.openxmlformats.org/officeDocument/2006/relationships" ref="I788" r:id="rId2434"/>
    <hyperlink xmlns:r="http://schemas.openxmlformats.org/officeDocument/2006/relationships" ref="K788" r:id="rId2435"/>
    <hyperlink xmlns:r="http://schemas.openxmlformats.org/officeDocument/2006/relationships" ref="N788" r:id="rId2436"/>
    <hyperlink xmlns:r="http://schemas.openxmlformats.org/officeDocument/2006/relationships" ref="H789" r:id="rId2437"/>
    <hyperlink xmlns:r="http://schemas.openxmlformats.org/officeDocument/2006/relationships" ref="I789" r:id="rId2438"/>
    <hyperlink xmlns:r="http://schemas.openxmlformats.org/officeDocument/2006/relationships" ref="K789" r:id="rId2439"/>
    <hyperlink xmlns:r="http://schemas.openxmlformats.org/officeDocument/2006/relationships" ref="N789" r:id="rId2440"/>
    <hyperlink xmlns:r="http://schemas.openxmlformats.org/officeDocument/2006/relationships" ref="H790" r:id="rId2441"/>
    <hyperlink xmlns:r="http://schemas.openxmlformats.org/officeDocument/2006/relationships" ref="I790" r:id="rId2442"/>
    <hyperlink xmlns:r="http://schemas.openxmlformats.org/officeDocument/2006/relationships" ref="K790" r:id="rId2443"/>
    <hyperlink xmlns:r="http://schemas.openxmlformats.org/officeDocument/2006/relationships" ref="N790" r:id="rId2444"/>
    <hyperlink xmlns:r="http://schemas.openxmlformats.org/officeDocument/2006/relationships" ref="H791" r:id="rId2445"/>
    <hyperlink xmlns:r="http://schemas.openxmlformats.org/officeDocument/2006/relationships" ref="I791" r:id="rId2446"/>
    <hyperlink xmlns:r="http://schemas.openxmlformats.org/officeDocument/2006/relationships" ref="K791" r:id="rId2447"/>
    <hyperlink xmlns:r="http://schemas.openxmlformats.org/officeDocument/2006/relationships" ref="N791" r:id="rId2448"/>
    <hyperlink xmlns:r="http://schemas.openxmlformats.org/officeDocument/2006/relationships" ref="H792" r:id="rId2449"/>
    <hyperlink xmlns:r="http://schemas.openxmlformats.org/officeDocument/2006/relationships" ref="I792" r:id="rId2450"/>
    <hyperlink xmlns:r="http://schemas.openxmlformats.org/officeDocument/2006/relationships" ref="K792" r:id="rId2451"/>
    <hyperlink xmlns:r="http://schemas.openxmlformats.org/officeDocument/2006/relationships" ref="N792" r:id="rId2452"/>
    <hyperlink xmlns:r="http://schemas.openxmlformats.org/officeDocument/2006/relationships" ref="H793" r:id="rId2453"/>
    <hyperlink xmlns:r="http://schemas.openxmlformats.org/officeDocument/2006/relationships" ref="I793" r:id="rId2454"/>
    <hyperlink xmlns:r="http://schemas.openxmlformats.org/officeDocument/2006/relationships" ref="K793" r:id="rId2455"/>
    <hyperlink xmlns:r="http://schemas.openxmlformats.org/officeDocument/2006/relationships" ref="N793" r:id="rId2456"/>
    <hyperlink xmlns:r="http://schemas.openxmlformats.org/officeDocument/2006/relationships" ref="H794" r:id="rId2457"/>
    <hyperlink xmlns:r="http://schemas.openxmlformats.org/officeDocument/2006/relationships" ref="I794" r:id="rId2458"/>
    <hyperlink xmlns:r="http://schemas.openxmlformats.org/officeDocument/2006/relationships" ref="K794" r:id="rId2459"/>
    <hyperlink xmlns:r="http://schemas.openxmlformats.org/officeDocument/2006/relationships" ref="N794" r:id="rId2460"/>
    <hyperlink xmlns:r="http://schemas.openxmlformats.org/officeDocument/2006/relationships" ref="H795" r:id="rId2461"/>
    <hyperlink xmlns:r="http://schemas.openxmlformats.org/officeDocument/2006/relationships" ref="I795" r:id="rId2462"/>
    <hyperlink xmlns:r="http://schemas.openxmlformats.org/officeDocument/2006/relationships" ref="K795" r:id="rId2463"/>
    <hyperlink xmlns:r="http://schemas.openxmlformats.org/officeDocument/2006/relationships" ref="N795" r:id="rId2464"/>
    <hyperlink xmlns:r="http://schemas.openxmlformats.org/officeDocument/2006/relationships" ref="H796" r:id="rId2465"/>
    <hyperlink xmlns:r="http://schemas.openxmlformats.org/officeDocument/2006/relationships" ref="I796" r:id="rId2466"/>
    <hyperlink xmlns:r="http://schemas.openxmlformats.org/officeDocument/2006/relationships" ref="K796" r:id="rId2467"/>
    <hyperlink xmlns:r="http://schemas.openxmlformats.org/officeDocument/2006/relationships" ref="N796" r:id="rId2468"/>
    <hyperlink xmlns:r="http://schemas.openxmlformats.org/officeDocument/2006/relationships" ref="H797" r:id="rId2469"/>
    <hyperlink xmlns:r="http://schemas.openxmlformats.org/officeDocument/2006/relationships" ref="I797" r:id="rId2470"/>
    <hyperlink xmlns:r="http://schemas.openxmlformats.org/officeDocument/2006/relationships" ref="K797" r:id="rId2471"/>
    <hyperlink xmlns:r="http://schemas.openxmlformats.org/officeDocument/2006/relationships" ref="N797" r:id="rId2472"/>
    <hyperlink xmlns:r="http://schemas.openxmlformats.org/officeDocument/2006/relationships" ref="H798" r:id="rId2473"/>
    <hyperlink xmlns:r="http://schemas.openxmlformats.org/officeDocument/2006/relationships" ref="I798" r:id="rId2474"/>
    <hyperlink xmlns:r="http://schemas.openxmlformats.org/officeDocument/2006/relationships" ref="K798" r:id="rId2475"/>
    <hyperlink xmlns:r="http://schemas.openxmlformats.org/officeDocument/2006/relationships" ref="N798" r:id="rId2476"/>
    <hyperlink xmlns:r="http://schemas.openxmlformats.org/officeDocument/2006/relationships" ref="H799" r:id="rId2477"/>
    <hyperlink xmlns:r="http://schemas.openxmlformats.org/officeDocument/2006/relationships" ref="I799" r:id="rId2478"/>
    <hyperlink xmlns:r="http://schemas.openxmlformats.org/officeDocument/2006/relationships" ref="K799" r:id="rId2479"/>
    <hyperlink xmlns:r="http://schemas.openxmlformats.org/officeDocument/2006/relationships" ref="N799" r:id="rId2480"/>
    <hyperlink xmlns:r="http://schemas.openxmlformats.org/officeDocument/2006/relationships" ref="H800" r:id="rId2481"/>
    <hyperlink xmlns:r="http://schemas.openxmlformats.org/officeDocument/2006/relationships" ref="I800" r:id="rId2482"/>
    <hyperlink xmlns:r="http://schemas.openxmlformats.org/officeDocument/2006/relationships" ref="K800" r:id="rId2483"/>
    <hyperlink xmlns:r="http://schemas.openxmlformats.org/officeDocument/2006/relationships" ref="N800" r:id="rId2484"/>
    <hyperlink xmlns:r="http://schemas.openxmlformats.org/officeDocument/2006/relationships" ref="H801" r:id="rId2485"/>
    <hyperlink xmlns:r="http://schemas.openxmlformats.org/officeDocument/2006/relationships" ref="I801" r:id="rId2486"/>
    <hyperlink xmlns:r="http://schemas.openxmlformats.org/officeDocument/2006/relationships" ref="K801" r:id="rId2487"/>
    <hyperlink xmlns:r="http://schemas.openxmlformats.org/officeDocument/2006/relationships" ref="N801" r:id="rId2488"/>
    <hyperlink xmlns:r="http://schemas.openxmlformats.org/officeDocument/2006/relationships" ref="I802" r:id="rId2489"/>
    <hyperlink xmlns:r="http://schemas.openxmlformats.org/officeDocument/2006/relationships" ref="K802" r:id="rId2490"/>
    <hyperlink xmlns:r="http://schemas.openxmlformats.org/officeDocument/2006/relationships" ref="N802" r:id="rId2491"/>
    <hyperlink xmlns:r="http://schemas.openxmlformats.org/officeDocument/2006/relationships" ref="H803" r:id="rId2492"/>
    <hyperlink xmlns:r="http://schemas.openxmlformats.org/officeDocument/2006/relationships" ref="I803" r:id="rId2493"/>
    <hyperlink xmlns:r="http://schemas.openxmlformats.org/officeDocument/2006/relationships" ref="K803" r:id="rId2494"/>
    <hyperlink xmlns:r="http://schemas.openxmlformats.org/officeDocument/2006/relationships" ref="N803" r:id="rId2495"/>
    <hyperlink xmlns:r="http://schemas.openxmlformats.org/officeDocument/2006/relationships" ref="H804" r:id="rId2496"/>
    <hyperlink xmlns:r="http://schemas.openxmlformats.org/officeDocument/2006/relationships" ref="I804" r:id="rId2497"/>
    <hyperlink xmlns:r="http://schemas.openxmlformats.org/officeDocument/2006/relationships" ref="K804" r:id="rId2498"/>
    <hyperlink xmlns:r="http://schemas.openxmlformats.org/officeDocument/2006/relationships" ref="N804" r:id="rId2499"/>
    <hyperlink xmlns:r="http://schemas.openxmlformats.org/officeDocument/2006/relationships" ref="H805" r:id="rId2500"/>
    <hyperlink xmlns:r="http://schemas.openxmlformats.org/officeDocument/2006/relationships" ref="I805" r:id="rId2501"/>
    <hyperlink xmlns:r="http://schemas.openxmlformats.org/officeDocument/2006/relationships" ref="K805" r:id="rId2502"/>
    <hyperlink xmlns:r="http://schemas.openxmlformats.org/officeDocument/2006/relationships" ref="N805" r:id="rId2503"/>
    <hyperlink xmlns:r="http://schemas.openxmlformats.org/officeDocument/2006/relationships" ref="I806" r:id="rId2504"/>
    <hyperlink xmlns:r="http://schemas.openxmlformats.org/officeDocument/2006/relationships" ref="K806" r:id="rId2505"/>
    <hyperlink xmlns:r="http://schemas.openxmlformats.org/officeDocument/2006/relationships" ref="N806" r:id="rId2506"/>
    <hyperlink xmlns:r="http://schemas.openxmlformats.org/officeDocument/2006/relationships" ref="H807" r:id="rId2507"/>
    <hyperlink xmlns:r="http://schemas.openxmlformats.org/officeDocument/2006/relationships" ref="I807" r:id="rId2508"/>
    <hyperlink xmlns:r="http://schemas.openxmlformats.org/officeDocument/2006/relationships" ref="K807" r:id="rId2509"/>
    <hyperlink xmlns:r="http://schemas.openxmlformats.org/officeDocument/2006/relationships" ref="N807" r:id="rId2510"/>
    <hyperlink xmlns:r="http://schemas.openxmlformats.org/officeDocument/2006/relationships" ref="H808" r:id="rId2511"/>
    <hyperlink xmlns:r="http://schemas.openxmlformats.org/officeDocument/2006/relationships" ref="I808" r:id="rId2512"/>
    <hyperlink xmlns:r="http://schemas.openxmlformats.org/officeDocument/2006/relationships" ref="K808" r:id="rId2513"/>
    <hyperlink xmlns:r="http://schemas.openxmlformats.org/officeDocument/2006/relationships" ref="N808" r:id="rId2514"/>
    <hyperlink xmlns:r="http://schemas.openxmlformats.org/officeDocument/2006/relationships" ref="H809" r:id="rId2515"/>
    <hyperlink xmlns:r="http://schemas.openxmlformats.org/officeDocument/2006/relationships" ref="I809" r:id="rId2516"/>
    <hyperlink xmlns:r="http://schemas.openxmlformats.org/officeDocument/2006/relationships" ref="K809" r:id="rId2517"/>
    <hyperlink xmlns:r="http://schemas.openxmlformats.org/officeDocument/2006/relationships" ref="N809" r:id="rId2518"/>
    <hyperlink xmlns:r="http://schemas.openxmlformats.org/officeDocument/2006/relationships" ref="H810" r:id="rId2519"/>
    <hyperlink xmlns:r="http://schemas.openxmlformats.org/officeDocument/2006/relationships" ref="I810" r:id="rId2520"/>
    <hyperlink xmlns:r="http://schemas.openxmlformats.org/officeDocument/2006/relationships" ref="K810" r:id="rId2521"/>
    <hyperlink xmlns:r="http://schemas.openxmlformats.org/officeDocument/2006/relationships" ref="N810" r:id="rId2522"/>
    <hyperlink xmlns:r="http://schemas.openxmlformats.org/officeDocument/2006/relationships" ref="I811" r:id="rId2523"/>
    <hyperlink xmlns:r="http://schemas.openxmlformats.org/officeDocument/2006/relationships" ref="K811" r:id="rId2524"/>
    <hyperlink xmlns:r="http://schemas.openxmlformats.org/officeDocument/2006/relationships" ref="N811" r:id="rId2525"/>
    <hyperlink xmlns:r="http://schemas.openxmlformats.org/officeDocument/2006/relationships" ref="I812" r:id="rId2526"/>
    <hyperlink xmlns:r="http://schemas.openxmlformats.org/officeDocument/2006/relationships" ref="K812" r:id="rId2527"/>
    <hyperlink xmlns:r="http://schemas.openxmlformats.org/officeDocument/2006/relationships" ref="N812" r:id="rId2528"/>
    <hyperlink xmlns:r="http://schemas.openxmlformats.org/officeDocument/2006/relationships" ref="H813" r:id="rId2529"/>
    <hyperlink xmlns:r="http://schemas.openxmlformats.org/officeDocument/2006/relationships" ref="I813" r:id="rId2530"/>
    <hyperlink xmlns:r="http://schemas.openxmlformats.org/officeDocument/2006/relationships" ref="K813" r:id="rId2531"/>
    <hyperlink xmlns:r="http://schemas.openxmlformats.org/officeDocument/2006/relationships" ref="N813" r:id="rId2532"/>
    <hyperlink xmlns:r="http://schemas.openxmlformats.org/officeDocument/2006/relationships" ref="I814" r:id="rId2533"/>
    <hyperlink xmlns:r="http://schemas.openxmlformats.org/officeDocument/2006/relationships" ref="K814" r:id="rId2534"/>
    <hyperlink xmlns:r="http://schemas.openxmlformats.org/officeDocument/2006/relationships" ref="N814" r:id="rId2535"/>
    <hyperlink xmlns:r="http://schemas.openxmlformats.org/officeDocument/2006/relationships" ref="I815" r:id="rId2536"/>
    <hyperlink xmlns:r="http://schemas.openxmlformats.org/officeDocument/2006/relationships" ref="K815" r:id="rId2537"/>
    <hyperlink xmlns:r="http://schemas.openxmlformats.org/officeDocument/2006/relationships" ref="N815" r:id="rId2538"/>
    <hyperlink xmlns:r="http://schemas.openxmlformats.org/officeDocument/2006/relationships" ref="I816" r:id="rId2539"/>
    <hyperlink xmlns:r="http://schemas.openxmlformats.org/officeDocument/2006/relationships" ref="K816" r:id="rId2540"/>
    <hyperlink xmlns:r="http://schemas.openxmlformats.org/officeDocument/2006/relationships" ref="N816" r:id="rId2541"/>
    <hyperlink xmlns:r="http://schemas.openxmlformats.org/officeDocument/2006/relationships" ref="I817" r:id="rId2542"/>
    <hyperlink xmlns:r="http://schemas.openxmlformats.org/officeDocument/2006/relationships" ref="K817" r:id="rId2543"/>
    <hyperlink xmlns:r="http://schemas.openxmlformats.org/officeDocument/2006/relationships" ref="N817" r:id="rId2544"/>
    <hyperlink xmlns:r="http://schemas.openxmlformats.org/officeDocument/2006/relationships" ref="H818" r:id="rId2545"/>
    <hyperlink xmlns:r="http://schemas.openxmlformats.org/officeDocument/2006/relationships" ref="I818" r:id="rId2546"/>
    <hyperlink xmlns:r="http://schemas.openxmlformats.org/officeDocument/2006/relationships" ref="K818" r:id="rId2547"/>
    <hyperlink xmlns:r="http://schemas.openxmlformats.org/officeDocument/2006/relationships" ref="N818" r:id="rId2548"/>
    <hyperlink xmlns:r="http://schemas.openxmlformats.org/officeDocument/2006/relationships" ref="H819" r:id="rId2549"/>
    <hyperlink xmlns:r="http://schemas.openxmlformats.org/officeDocument/2006/relationships" ref="I819" r:id="rId2550"/>
    <hyperlink xmlns:r="http://schemas.openxmlformats.org/officeDocument/2006/relationships" ref="K819" r:id="rId2551"/>
    <hyperlink xmlns:r="http://schemas.openxmlformats.org/officeDocument/2006/relationships" ref="N819" r:id="rId2552"/>
    <hyperlink xmlns:r="http://schemas.openxmlformats.org/officeDocument/2006/relationships" ref="H820" r:id="rId2553"/>
    <hyperlink xmlns:r="http://schemas.openxmlformats.org/officeDocument/2006/relationships" ref="I820" r:id="rId2554"/>
    <hyperlink xmlns:r="http://schemas.openxmlformats.org/officeDocument/2006/relationships" ref="K820" r:id="rId2555"/>
    <hyperlink xmlns:r="http://schemas.openxmlformats.org/officeDocument/2006/relationships" ref="N820" r:id="rId2556"/>
    <hyperlink xmlns:r="http://schemas.openxmlformats.org/officeDocument/2006/relationships" ref="H821" r:id="rId2557"/>
    <hyperlink xmlns:r="http://schemas.openxmlformats.org/officeDocument/2006/relationships" ref="I821" r:id="rId2558"/>
    <hyperlink xmlns:r="http://schemas.openxmlformats.org/officeDocument/2006/relationships" ref="K821" r:id="rId2559"/>
    <hyperlink xmlns:r="http://schemas.openxmlformats.org/officeDocument/2006/relationships" ref="N821" r:id="rId2560"/>
    <hyperlink xmlns:r="http://schemas.openxmlformats.org/officeDocument/2006/relationships" ref="H822" r:id="rId2561"/>
    <hyperlink xmlns:r="http://schemas.openxmlformats.org/officeDocument/2006/relationships" ref="I822" r:id="rId2562"/>
    <hyperlink xmlns:r="http://schemas.openxmlformats.org/officeDocument/2006/relationships" ref="K822" r:id="rId2563"/>
    <hyperlink xmlns:r="http://schemas.openxmlformats.org/officeDocument/2006/relationships" ref="N822" r:id="rId2564"/>
    <hyperlink xmlns:r="http://schemas.openxmlformats.org/officeDocument/2006/relationships" ref="H823" r:id="rId2565"/>
    <hyperlink xmlns:r="http://schemas.openxmlformats.org/officeDocument/2006/relationships" ref="I823" r:id="rId2566"/>
    <hyperlink xmlns:r="http://schemas.openxmlformats.org/officeDocument/2006/relationships" ref="K823" r:id="rId2567"/>
    <hyperlink xmlns:r="http://schemas.openxmlformats.org/officeDocument/2006/relationships" ref="N823" r:id="rId2568"/>
    <hyperlink xmlns:r="http://schemas.openxmlformats.org/officeDocument/2006/relationships" ref="I824" r:id="rId2569"/>
    <hyperlink xmlns:r="http://schemas.openxmlformats.org/officeDocument/2006/relationships" ref="K824" r:id="rId2570"/>
    <hyperlink xmlns:r="http://schemas.openxmlformats.org/officeDocument/2006/relationships" ref="N824" r:id="rId2571"/>
    <hyperlink xmlns:r="http://schemas.openxmlformats.org/officeDocument/2006/relationships" ref="I825" r:id="rId2572"/>
    <hyperlink xmlns:r="http://schemas.openxmlformats.org/officeDocument/2006/relationships" ref="K825" r:id="rId2573"/>
    <hyperlink xmlns:r="http://schemas.openxmlformats.org/officeDocument/2006/relationships" ref="N825" r:id="rId2574"/>
    <hyperlink xmlns:r="http://schemas.openxmlformats.org/officeDocument/2006/relationships" ref="H826" r:id="rId2575"/>
    <hyperlink xmlns:r="http://schemas.openxmlformats.org/officeDocument/2006/relationships" ref="I826" r:id="rId2576"/>
    <hyperlink xmlns:r="http://schemas.openxmlformats.org/officeDocument/2006/relationships" ref="K826" r:id="rId2577"/>
    <hyperlink xmlns:r="http://schemas.openxmlformats.org/officeDocument/2006/relationships" ref="N826" r:id="rId2578"/>
    <hyperlink xmlns:r="http://schemas.openxmlformats.org/officeDocument/2006/relationships" ref="H827" r:id="rId2579"/>
    <hyperlink xmlns:r="http://schemas.openxmlformats.org/officeDocument/2006/relationships" ref="I827" r:id="rId2580"/>
    <hyperlink xmlns:r="http://schemas.openxmlformats.org/officeDocument/2006/relationships" ref="K827" r:id="rId2581"/>
    <hyperlink xmlns:r="http://schemas.openxmlformats.org/officeDocument/2006/relationships" ref="N827" r:id="rId2582"/>
    <hyperlink xmlns:r="http://schemas.openxmlformats.org/officeDocument/2006/relationships" ref="H828" r:id="rId2583"/>
    <hyperlink xmlns:r="http://schemas.openxmlformats.org/officeDocument/2006/relationships" ref="I828" r:id="rId2584"/>
    <hyperlink xmlns:r="http://schemas.openxmlformats.org/officeDocument/2006/relationships" ref="K828" r:id="rId2585"/>
    <hyperlink xmlns:r="http://schemas.openxmlformats.org/officeDocument/2006/relationships" ref="N828" r:id="rId2586"/>
    <hyperlink xmlns:r="http://schemas.openxmlformats.org/officeDocument/2006/relationships" ref="H829" r:id="rId2587"/>
    <hyperlink xmlns:r="http://schemas.openxmlformats.org/officeDocument/2006/relationships" ref="K829" r:id="rId2588"/>
    <hyperlink xmlns:r="http://schemas.openxmlformats.org/officeDocument/2006/relationships" ref="N829" r:id="rId2589"/>
    <hyperlink xmlns:r="http://schemas.openxmlformats.org/officeDocument/2006/relationships" ref="H830" r:id="rId2590"/>
    <hyperlink xmlns:r="http://schemas.openxmlformats.org/officeDocument/2006/relationships" ref="I830" r:id="rId2591"/>
    <hyperlink xmlns:r="http://schemas.openxmlformats.org/officeDocument/2006/relationships" ref="K830" r:id="rId2592"/>
    <hyperlink xmlns:r="http://schemas.openxmlformats.org/officeDocument/2006/relationships" ref="N830" r:id="rId2593"/>
    <hyperlink xmlns:r="http://schemas.openxmlformats.org/officeDocument/2006/relationships" ref="H831" r:id="rId2594"/>
    <hyperlink xmlns:r="http://schemas.openxmlformats.org/officeDocument/2006/relationships" ref="I831" r:id="rId2595"/>
    <hyperlink xmlns:r="http://schemas.openxmlformats.org/officeDocument/2006/relationships" ref="K831" r:id="rId2596"/>
    <hyperlink xmlns:r="http://schemas.openxmlformats.org/officeDocument/2006/relationships" ref="N831" r:id="rId2597"/>
    <hyperlink xmlns:r="http://schemas.openxmlformats.org/officeDocument/2006/relationships" ref="I832" r:id="rId2598"/>
    <hyperlink xmlns:r="http://schemas.openxmlformats.org/officeDocument/2006/relationships" ref="K832" r:id="rId2599"/>
    <hyperlink xmlns:r="http://schemas.openxmlformats.org/officeDocument/2006/relationships" ref="N832" r:id="rId2600"/>
    <hyperlink xmlns:r="http://schemas.openxmlformats.org/officeDocument/2006/relationships" ref="H833" r:id="rId2601"/>
    <hyperlink xmlns:r="http://schemas.openxmlformats.org/officeDocument/2006/relationships" ref="I833" r:id="rId2602"/>
    <hyperlink xmlns:r="http://schemas.openxmlformats.org/officeDocument/2006/relationships" ref="K833" r:id="rId2603"/>
    <hyperlink xmlns:r="http://schemas.openxmlformats.org/officeDocument/2006/relationships" ref="N833" r:id="rId2604"/>
    <hyperlink xmlns:r="http://schemas.openxmlformats.org/officeDocument/2006/relationships" ref="H834" r:id="rId2605"/>
    <hyperlink xmlns:r="http://schemas.openxmlformats.org/officeDocument/2006/relationships" ref="I834" r:id="rId2606"/>
    <hyperlink xmlns:r="http://schemas.openxmlformats.org/officeDocument/2006/relationships" ref="K834" r:id="rId2607"/>
    <hyperlink xmlns:r="http://schemas.openxmlformats.org/officeDocument/2006/relationships" ref="N834" r:id="rId2608"/>
    <hyperlink xmlns:r="http://schemas.openxmlformats.org/officeDocument/2006/relationships" ref="H835" r:id="rId2609"/>
    <hyperlink xmlns:r="http://schemas.openxmlformats.org/officeDocument/2006/relationships" ref="I835" r:id="rId2610"/>
    <hyperlink xmlns:r="http://schemas.openxmlformats.org/officeDocument/2006/relationships" ref="K835" r:id="rId2611"/>
    <hyperlink xmlns:r="http://schemas.openxmlformats.org/officeDocument/2006/relationships" ref="N835" r:id="rId2612"/>
    <hyperlink xmlns:r="http://schemas.openxmlformats.org/officeDocument/2006/relationships" ref="H836" r:id="rId2613"/>
    <hyperlink xmlns:r="http://schemas.openxmlformats.org/officeDocument/2006/relationships" ref="I836" r:id="rId2614"/>
    <hyperlink xmlns:r="http://schemas.openxmlformats.org/officeDocument/2006/relationships" ref="K836" r:id="rId2615"/>
    <hyperlink xmlns:r="http://schemas.openxmlformats.org/officeDocument/2006/relationships" ref="N836" r:id="rId2616"/>
    <hyperlink xmlns:r="http://schemas.openxmlformats.org/officeDocument/2006/relationships" ref="H837" r:id="rId2617"/>
    <hyperlink xmlns:r="http://schemas.openxmlformats.org/officeDocument/2006/relationships" ref="I837" r:id="rId2618"/>
    <hyperlink xmlns:r="http://schemas.openxmlformats.org/officeDocument/2006/relationships" ref="K837" r:id="rId2619"/>
    <hyperlink xmlns:r="http://schemas.openxmlformats.org/officeDocument/2006/relationships" ref="N837" r:id="rId2620"/>
    <hyperlink xmlns:r="http://schemas.openxmlformats.org/officeDocument/2006/relationships" ref="H838" r:id="rId2621"/>
    <hyperlink xmlns:r="http://schemas.openxmlformats.org/officeDocument/2006/relationships" ref="I838" r:id="rId2622"/>
    <hyperlink xmlns:r="http://schemas.openxmlformats.org/officeDocument/2006/relationships" ref="K838" r:id="rId2623"/>
    <hyperlink xmlns:r="http://schemas.openxmlformats.org/officeDocument/2006/relationships" ref="N838" r:id="rId2624"/>
    <hyperlink xmlns:r="http://schemas.openxmlformats.org/officeDocument/2006/relationships" ref="I839" r:id="rId2625"/>
    <hyperlink xmlns:r="http://schemas.openxmlformats.org/officeDocument/2006/relationships" ref="K839" r:id="rId2626"/>
    <hyperlink xmlns:r="http://schemas.openxmlformats.org/officeDocument/2006/relationships" ref="N839" r:id="rId2627"/>
    <hyperlink xmlns:r="http://schemas.openxmlformats.org/officeDocument/2006/relationships" ref="I840" r:id="rId2628"/>
    <hyperlink xmlns:r="http://schemas.openxmlformats.org/officeDocument/2006/relationships" ref="K840" r:id="rId2629"/>
    <hyperlink xmlns:r="http://schemas.openxmlformats.org/officeDocument/2006/relationships" ref="N840" r:id="rId2630"/>
    <hyperlink xmlns:r="http://schemas.openxmlformats.org/officeDocument/2006/relationships" ref="I841" r:id="rId2631"/>
    <hyperlink xmlns:r="http://schemas.openxmlformats.org/officeDocument/2006/relationships" ref="K841" r:id="rId2632"/>
    <hyperlink xmlns:r="http://schemas.openxmlformats.org/officeDocument/2006/relationships" ref="N841" r:id="rId2633"/>
    <hyperlink xmlns:r="http://schemas.openxmlformats.org/officeDocument/2006/relationships" ref="I842" r:id="rId2634"/>
    <hyperlink xmlns:r="http://schemas.openxmlformats.org/officeDocument/2006/relationships" ref="K842" r:id="rId2635"/>
    <hyperlink xmlns:r="http://schemas.openxmlformats.org/officeDocument/2006/relationships" ref="N842" r:id="rId2636"/>
    <hyperlink xmlns:r="http://schemas.openxmlformats.org/officeDocument/2006/relationships" ref="H843" r:id="rId2637"/>
    <hyperlink xmlns:r="http://schemas.openxmlformats.org/officeDocument/2006/relationships" ref="I843" r:id="rId2638"/>
    <hyperlink xmlns:r="http://schemas.openxmlformats.org/officeDocument/2006/relationships" ref="K843" r:id="rId2639"/>
    <hyperlink xmlns:r="http://schemas.openxmlformats.org/officeDocument/2006/relationships" ref="N843" r:id="rId2640"/>
    <hyperlink xmlns:r="http://schemas.openxmlformats.org/officeDocument/2006/relationships" ref="H844" r:id="rId2641"/>
    <hyperlink xmlns:r="http://schemas.openxmlformats.org/officeDocument/2006/relationships" ref="I844" r:id="rId2642"/>
    <hyperlink xmlns:r="http://schemas.openxmlformats.org/officeDocument/2006/relationships" ref="K844" r:id="rId2643"/>
    <hyperlink xmlns:r="http://schemas.openxmlformats.org/officeDocument/2006/relationships" ref="N844" r:id="rId2644"/>
    <hyperlink xmlns:r="http://schemas.openxmlformats.org/officeDocument/2006/relationships" ref="H845" r:id="rId2645"/>
    <hyperlink xmlns:r="http://schemas.openxmlformats.org/officeDocument/2006/relationships" ref="I845" r:id="rId2646"/>
    <hyperlink xmlns:r="http://schemas.openxmlformats.org/officeDocument/2006/relationships" ref="K845" r:id="rId2647"/>
    <hyperlink xmlns:r="http://schemas.openxmlformats.org/officeDocument/2006/relationships" ref="N845" r:id="rId2648"/>
    <hyperlink xmlns:r="http://schemas.openxmlformats.org/officeDocument/2006/relationships" ref="I846" r:id="rId2649"/>
    <hyperlink xmlns:r="http://schemas.openxmlformats.org/officeDocument/2006/relationships" ref="K846" r:id="rId2650"/>
    <hyperlink xmlns:r="http://schemas.openxmlformats.org/officeDocument/2006/relationships" ref="N846" r:id="rId2651"/>
    <hyperlink xmlns:r="http://schemas.openxmlformats.org/officeDocument/2006/relationships" ref="I847" r:id="rId2652"/>
    <hyperlink xmlns:r="http://schemas.openxmlformats.org/officeDocument/2006/relationships" ref="K847" r:id="rId2653"/>
    <hyperlink xmlns:r="http://schemas.openxmlformats.org/officeDocument/2006/relationships" ref="N847" r:id="rId2654"/>
    <hyperlink xmlns:r="http://schemas.openxmlformats.org/officeDocument/2006/relationships" ref="H848" r:id="rId2655"/>
    <hyperlink xmlns:r="http://schemas.openxmlformats.org/officeDocument/2006/relationships" ref="I848" r:id="rId2656"/>
    <hyperlink xmlns:r="http://schemas.openxmlformats.org/officeDocument/2006/relationships" ref="K848" r:id="rId2657"/>
    <hyperlink xmlns:r="http://schemas.openxmlformats.org/officeDocument/2006/relationships" ref="N848" r:id="rId2658"/>
    <hyperlink xmlns:r="http://schemas.openxmlformats.org/officeDocument/2006/relationships" ref="H849" r:id="rId2659"/>
    <hyperlink xmlns:r="http://schemas.openxmlformats.org/officeDocument/2006/relationships" ref="I849" r:id="rId2660"/>
    <hyperlink xmlns:r="http://schemas.openxmlformats.org/officeDocument/2006/relationships" ref="K849" r:id="rId2661"/>
    <hyperlink xmlns:r="http://schemas.openxmlformats.org/officeDocument/2006/relationships" ref="N849" r:id="rId2662"/>
    <hyperlink xmlns:r="http://schemas.openxmlformats.org/officeDocument/2006/relationships" ref="H850" r:id="rId2663"/>
    <hyperlink xmlns:r="http://schemas.openxmlformats.org/officeDocument/2006/relationships" ref="I850" r:id="rId2664"/>
    <hyperlink xmlns:r="http://schemas.openxmlformats.org/officeDocument/2006/relationships" ref="K850" r:id="rId2665"/>
    <hyperlink xmlns:r="http://schemas.openxmlformats.org/officeDocument/2006/relationships" ref="N850" r:id="rId2666"/>
    <hyperlink xmlns:r="http://schemas.openxmlformats.org/officeDocument/2006/relationships" ref="H851" r:id="rId2667"/>
    <hyperlink xmlns:r="http://schemas.openxmlformats.org/officeDocument/2006/relationships" ref="K851" r:id="rId2668"/>
    <hyperlink xmlns:r="http://schemas.openxmlformats.org/officeDocument/2006/relationships" ref="N851" r:id="rId2669"/>
    <hyperlink xmlns:r="http://schemas.openxmlformats.org/officeDocument/2006/relationships" ref="H852" r:id="rId2670"/>
    <hyperlink xmlns:r="http://schemas.openxmlformats.org/officeDocument/2006/relationships" ref="K852" r:id="rId2671"/>
    <hyperlink xmlns:r="http://schemas.openxmlformats.org/officeDocument/2006/relationships" ref="N852" r:id="rId2672"/>
    <hyperlink xmlns:r="http://schemas.openxmlformats.org/officeDocument/2006/relationships" ref="H853" r:id="rId2673"/>
    <hyperlink xmlns:r="http://schemas.openxmlformats.org/officeDocument/2006/relationships" ref="I853" r:id="rId2674"/>
    <hyperlink xmlns:r="http://schemas.openxmlformats.org/officeDocument/2006/relationships" ref="K853" r:id="rId2675"/>
    <hyperlink xmlns:r="http://schemas.openxmlformats.org/officeDocument/2006/relationships" ref="N853" r:id="rId2676"/>
    <hyperlink xmlns:r="http://schemas.openxmlformats.org/officeDocument/2006/relationships" ref="H854" r:id="rId2677"/>
    <hyperlink xmlns:r="http://schemas.openxmlformats.org/officeDocument/2006/relationships" ref="I854" r:id="rId2678"/>
    <hyperlink xmlns:r="http://schemas.openxmlformats.org/officeDocument/2006/relationships" ref="K854" r:id="rId2679"/>
    <hyperlink xmlns:r="http://schemas.openxmlformats.org/officeDocument/2006/relationships" ref="N854" r:id="rId2680"/>
    <hyperlink xmlns:r="http://schemas.openxmlformats.org/officeDocument/2006/relationships" ref="H855" r:id="rId2681"/>
    <hyperlink xmlns:r="http://schemas.openxmlformats.org/officeDocument/2006/relationships" ref="I855" r:id="rId2682"/>
    <hyperlink xmlns:r="http://schemas.openxmlformats.org/officeDocument/2006/relationships" ref="K855" r:id="rId2683"/>
    <hyperlink xmlns:r="http://schemas.openxmlformats.org/officeDocument/2006/relationships" ref="N855" r:id="rId2684"/>
    <hyperlink xmlns:r="http://schemas.openxmlformats.org/officeDocument/2006/relationships" ref="H856" r:id="rId2685"/>
    <hyperlink xmlns:r="http://schemas.openxmlformats.org/officeDocument/2006/relationships" ref="I856" r:id="rId2686"/>
    <hyperlink xmlns:r="http://schemas.openxmlformats.org/officeDocument/2006/relationships" ref="K856" r:id="rId2687"/>
    <hyperlink xmlns:r="http://schemas.openxmlformats.org/officeDocument/2006/relationships" ref="N856" r:id="rId2688"/>
    <hyperlink xmlns:r="http://schemas.openxmlformats.org/officeDocument/2006/relationships" ref="H857" r:id="rId2689"/>
    <hyperlink xmlns:r="http://schemas.openxmlformats.org/officeDocument/2006/relationships" ref="I857" r:id="rId2690"/>
    <hyperlink xmlns:r="http://schemas.openxmlformats.org/officeDocument/2006/relationships" ref="K857" r:id="rId2691"/>
    <hyperlink xmlns:r="http://schemas.openxmlformats.org/officeDocument/2006/relationships" ref="N857" r:id="rId2692"/>
    <hyperlink xmlns:r="http://schemas.openxmlformats.org/officeDocument/2006/relationships" ref="H858" r:id="rId2693"/>
    <hyperlink xmlns:r="http://schemas.openxmlformats.org/officeDocument/2006/relationships" ref="I858" r:id="rId2694"/>
    <hyperlink xmlns:r="http://schemas.openxmlformats.org/officeDocument/2006/relationships" ref="K858" r:id="rId2695"/>
    <hyperlink xmlns:r="http://schemas.openxmlformats.org/officeDocument/2006/relationships" ref="N858" r:id="rId2696"/>
    <hyperlink xmlns:r="http://schemas.openxmlformats.org/officeDocument/2006/relationships" ref="H859" r:id="rId2697"/>
    <hyperlink xmlns:r="http://schemas.openxmlformats.org/officeDocument/2006/relationships" ref="I859" r:id="rId2698"/>
    <hyperlink xmlns:r="http://schemas.openxmlformats.org/officeDocument/2006/relationships" ref="K859" r:id="rId2699"/>
    <hyperlink xmlns:r="http://schemas.openxmlformats.org/officeDocument/2006/relationships" ref="N859" r:id="rId2700"/>
    <hyperlink xmlns:r="http://schemas.openxmlformats.org/officeDocument/2006/relationships" ref="H860" r:id="rId2701"/>
    <hyperlink xmlns:r="http://schemas.openxmlformats.org/officeDocument/2006/relationships" ref="I860" r:id="rId2702"/>
    <hyperlink xmlns:r="http://schemas.openxmlformats.org/officeDocument/2006/relationships" ref="K860" r:id="rId2703"/>
    <hyperlink xmlns:r="http://schemas.openxmlformats.org/officeDocument/2006/relationships" ref="N860" r:id="rId2704"/>
    <hyperlink xmlns:r="http://schemas.openxmlformats.org/officeDocument/2006/relationships" ref="H861" r:id="rId2705"/>
    <hyperlink xmlns:r="http://schemas.openxmlformats.org/officeDocument/2006/relationships" ref="I861" r:id="rId2706"/>
    <hyperlink xmlns:r="http://schemas.openxmlformats.org/officeDocument/2006/relationships" ref="K861" r:id="rId2707"/>
    <hyperlink xmlns:r="http://schemas.openxmlformats.org/officeDocument/2006/relationships" ref="N861" r:id="rId2708"/>
    <hyperlink xmlns:r="http://schemas.openxmlformats.org/officeDocument/2006/relationships" ref="H862" r:id="rId2709"/>
    <hyperlink xmlns:r="http://schemas.openxmlformats.org/officeDocument/2006/relationships" ref="I862" r:id="rId2710"/>
    <hyperlink xmlns:r="http://schemas.openxmlformats.org/officeDocument/2006/relationships" ref="K862" r:id="rId2711"/>
    <hyperlink xmlns:r="http://schemas.openxmlformats.org/officeDocument/2006/relationships" ref="N862" r:id="rId2712"/>
    <hyperlink xmlns:r="http://schemas.openxmlformats.org/officeDocument/2006/relationships" ref="I863" r:id="rId2713"/>
    <hyperlink xmlns:r="http://schemas.openxmlformats.org/officeDocument/2006/relationships" ref="K863" r:id="rId2714"/>
    <hyperlink xmlns:r="http://schemas.openxmlformats.org/officeDocument/2006/relationships" ref="N863" r:id="rId2715"/>
    <hyperlink xmlns:r="http://schemas.openxmlformats.org/officeDocument/2006/relationships" ref="H864" r:id="rId2716"/>
    <hyperlink xmlns:r="http://schemas.openxmlformats.org/officeDocument/2006/relationships" ref="I864" r:id="rId2717"/>
    <hyperlink xmlns:r="http://schemas.openxmlformats.org/officeDocument/2006/relationships" ref="K864" r:id="rId2718"/>
    <hyperlink xmlns:r="http://schemas.openxmlformats.org/officeDocument/2006/relationships" ref="N864" r:id="rId2719"/>
    <hyperlink xmlns:r="http://schemas.openxmlformats.org/officeDocument/2006/relationships" ref="H865" r:id="rId2720"/>
    <hyperlink xmlns:r="http://schemas.openxmlformats.org/officeDocument/2006/relationships" ref="I865" r:id="rId2721"/>
    <hyperlink xmlns:r="http://schemas.openxmlformats.org/officeDocument/2006/relationships" ref="K865" r:id="rId2722"/>
    <hyperlink xmlns:r="http://schemas.openxmlformats.org/officeDocument/2006/relationships" ref="N865" r:id="rId2723"/>
    <hyperlink xmlns:r="http://schemas.openxmlformats.org/officeDocument/2006/relationships" ref="H866" r:id="rId2724"/>
    <hyperlink xmlns:r="http://schemas.openxmlformats.org/officeDocument/2006/relationships" ref="K866" r:id="rId2725"/>
    <hyperlink xmlns:r="http://schemas.openxmlformats.org/officeDocument/2006/relationships" ref="N866" r:id="rId2726"/>
    <hyperlink xmlns:r="http://schemas.openxmlformats.org/officeDocument/2006/relationships" ref="I867" r:id="rId2727"/>
    <hyperlink xmlns:r="http://schemas.openxmlformats.org/officeDocument/2006/relationships" ref="K867" r:id="rId2728"/>
    <hyperlink xmlns:r="http://schemas.openxmlformats.org/officeDocument/2006/relationships" ref="N867" r:id="rId2729"/>
    <hyperlink xmlns:r="http://schemas.openxmlformats.org/officeDocument/2006/relationships" ref="H868" r:id="rId2730"/>
    <hyperlink xmlns:r="http://schemas.openxmlformats.org/officeDocument/2006/relationships" ref="I868" r:id="rId2731"/>
    <hyperlink xmlns:r="http://schemas.openxmlformats.org/officeDocument/2006/relationships" ref="K868" r:id="rId2732"/>
    <hyperlink xmlns:r="http://schemas.openxmlformats.org/officeDocument/2006/relationships" ref="N868" r:id="rId2733"/>
    <hyperlink xmlns:r="http://schemas.openxmlformats.org/officeDocument/2006/relationships" ref="I869" r:id="rId2734"/>
    <hyperlink xmlns:r="http://schemas.openxmlformats.org/officeDocument/2006/relationships" ref="K869" r:id="rId2735"/>
    <hyperlink xmlns:r="http://schemas.openxmlformats.org/officeDocument/2006/relationships" ref="N869" r:id="rId2736"/>
    <hyperlink xmlns:r="http://schemas.openxmlformats.org/officeDocument/2006/relationships" ref="H870" r:id="rId2737"/>
    <hyperlink xmlns:r="http://schemas.openxmlformats.org/officeDocument/2006/relationships" ref="I870" r:id="rId2738"/>
    <hyperlink xmlns:r="http://schemas.openxmlformats.org/officeDocument/2006/relationships" ref="K870" r:id="rId2739"/>
    <hyperlink xmlns:r="http://schemas.openxmlformats.org/officeDocument/2006/relationships" ref="N870" r:id="rId2740"/>
    <hyperlink xmlns:r="http://schemas.openxmlformats.org/officeDocument/2006/relationships" ref="H871" r:id="rId2741"/>
    <hyperlink xmlns:r="http://schemas.openxmlformats.org/officeDocument/2006/relationships" ref="I871" r:id="rId2742"/>
    <hyperlink xmlns:r="http://schemas.openxmlformats.org/officeDocument/2006/relationships" ref="K871" r:id="rId2743"/>
    <hyperlink xmlns:r="http://schemas.openxmlformats.org/officeDocument/2006/relationships" ref="N871" r:id="rId2744"/>
    <hyperlink xmlns:r="http://schemas.openxmlformats.org/officeDocument/2006/relationships" ref="H872" r:id="rId2745"/>
    <hyperlink xmlns:r="http://schemas.openxmlformats.org/officeDocument/2006/relationships" ref="I872" r:id="rId2746"/>
    <hyperlink xmlns:r="http://schemas.openxmlformats.org/officeDocument/2006/relationships" ref="K872" r:id="rId2747"/>
    <hyperlink xmlns:r="http://schemas.openxmlformats.org/officeDocument/2006/relationships" ref="N872" r:id="rId2748"/>
    <hyperlink xmlns:r="http://schemas.openxmlformats.org/officeDocument/2006/relationships" ref="H873" r:id="rId2749"/>
    <hyperlink xmlns:r="http://schemas.openxmlformats.org/officeDocument/2006/relationships" ref="I873" r:id="rId2750"/>
    <hyperlink xmlns:r="http://schemas.openxmlformats.org/officeDocument/2006/relationships" ref="K873" r:id="rId2751"/>
    <hyperlink xmlns:r="http://schemas.openxmlformats.org/officeDocument/2006/relationships" ref="N873" r:id="rId2752"/>
    <hyperlink xmlns:r="http://schemas.openxmlformats.org/officeDocument/2006/relationships" ref="H874" r:id="rId2753"/>
    <hyperlink xmlns:r="http://schemas.openxmlformats.org/officeDocument/2006/relationships" ref="I874" r:id="rId2754"/>
    <hyperlink xmlns:r="http://schemas.openxmlformats.org/officeDocument/2006/relationships" ref="K874" r:id="rId2755"/>
    <hyperlink xmlns:r="http://schemas.openxmlformats.org/officeDocument/2006/relationships" ref="N874" r:id="rId2756"/>
    <hyperlink xmlns:r="http://schemas.openxmlformats.org/officeDocument/2006/relationships" ref="I875" r:id="rId2757"/>
    <hyperlink xmlns:r="http://schemas.openxmlformats.org/officeDocument/2006/relationships" ref="K875" r:id="rId2758"/>
    <hyperlink xmlns:r="http://schemas.openxmlformats.org/officeDocument/2006/relationships" ref="N875" r:id="rId2759"/>
    <hyperlink xmlns:r="http://schemas.openxmlformats.org/officeDocument/2006/relationships" ref="I876" r:id="rId2760"/>
    <hyperlink xmlns:r="http://schemas.openxmlformats.org/officeDocument/2006/relationships" ref="K876" r:id="rId2761"/>
    <hyperlink xmlns:r="http://schemas.openxmlformats.org/officeDocument/2006/relationships" ref="N876" r:id="rId2762"/>
    <hyperlink xmlns:r="http://schemas.openxmlformats.org/officeDocument/2006/relationships" ref="H877" r:id="rId2763"/>
    <hyperlink xmlns:r="http://schemas.openxmlformats.org/officeDocument/2006/relationships" ref="I877" r:id="rId2764"/>
    <hyperlink xmlns:r="http://schemas.openxmlformats.org/officeDocument/2006/relationships" ref="K877" r:id="rId2765"/>
    <hyperlink xmlns:r="http://schemas.openxmlformats.org/officeDocument/2006/relationships" ref="N877" r:id="rId2766"/>
    <hyperlink xmlns:r="http://schemas.openxmlformats.org/officeDocument/2006/relationships" ref="H878" r:id="rId2767"/>
    <hyperlink xmlns:r="http://schemas.openxmlformats.org/officeDocument/2006/relationships" ref="I878" r:id="rId2768"/>
    <hyperlink xmlns:r="http://schemas.openxmlformats.org/officeDocument/2006/relationships" ref="K878" r:id="rId2769"/>
    <hyperlink xmlns:r="http://schemas.openxmlformats.org/officeDocument/2006/relationships" ref="N878" r:id="rId2770"/>
    <hyperlink xmlns:r="http://schemas.openxmlformats.org/officeDocument/2006/relationships" ref="I879" r:id="rId2771"/>
    <hyperlink xmlns:r="http://schemas.openxmlformats.org/officeDocument/2006/relationships" ref="K879" r:id="rId2772"/>
    <hyperlink xmlns:r="http://schemas.openxmlformats.org/officeDocument/2006/relationships" ref="N879" r:id="rId2773"/>
    <hyperlink xmlns:r="http://schemas.openxmlformats.org/officeDocument/2006/relationships" ref="H880" r:id="rId2774"/>
    <hyperlink xmlns:r="http://schemas.openxmlformats.org/officeDocument/2006/relationships" ref="I880" r:id="rId2775"/>
    <hyperlink xmlns:r="http://schemas.openxmlformats.org/officeDocument/2006/relationships" ref="K880" r:id="rId2776"/>
    <hyperlink xmlns:r="http://schemas.openxmlformats.org/officeDocument/2006/relationships" ref="N880" r:id="rId2777"/>
    <hyperlink xmlns:r="http://schemas.openxmlformats.org/officeDocument/2006/relationships" ref="H881" r:id="rId2778"/>
    <hyperlink xmlns:r="http://schemas.openxmlformats.org/officeDocument/2006/relationships" ref="I881" r:id="rId2779"/>
    <hyperlink xmlns:r="http://schemas.openxmlformats.org/officeDocument/2006/relationships" ref="K881" r:id="rId2780"/>
    <hyperlink xmlns:r="http://schemas.openxmlformats.org/officeDocument/2006/relationships" ref="N881" r:id="rId2781"/>
    <hyperlink xmlns:r="http://schemas.openxmlformats.org/officeDocument/2006/relationships" ref="I882" r:id="rId2782"/>
    <hyperlink xmlns:r="http://schemas.openxmlformats.org/officeDocument/2006/relationships" ref="K882" r:id="rId2783"/>
    <hyperlink xmlns:r="http://schemas.openxmlformats.org/officeDocument/2006/relationships" ref="N882" r:id="rId2784"/>
    <hyperlink xmlns:r="http://schemas.openxmlformats.org/officeDocument/2006/relationships" ref="H883" r:id="rId2785"/>
    <hyperlink xmlns:r="http://schemas.openxmlformats.org/officeDocument/2006/relationships" ref="I883" r:id="rId2786"/>
    <hyperlink xmlns:r="http://schemas.openxmlformats.org/officeDocument/2006/relationships" ref="K883" r:id="rId2787"/>
    <hyperlink xmlns:r="http://schemas.openxmlformats.org/officeDocument/2006/relationships" ref="N883" r:id="rId2788"/>
    <hyperlink xmlns:r="http://schemas.openxmlformats.org/officeDocument/2006/relationships" ref="I884" r:id="rId2789"/>
    <hyperlink xmlns:r="http://schemas.openxmlformats.org/officeDocument/2006/relationships" ref="K884" r:id="rId2790"/>
    <hyperlink xmlns:r="http://schemas.openxmlformats.org/officeDocument/2006/relationships" ref="N884" r:id="rId2791"/>
    <hyperlink xmlns:r="http://schemas.openxmlformats.org/officeDocument/2006/relationships" ref="I885" r:id="rId2792"/>
    <hyperlink xmlns:r="http://schemas.openxmlformats.org/officeDocument/2006/relationships" ref="K885" r:id="rId2793"/>
    <hyperlink xmlns:r="http://schemas.openxmlformats.org/officeDocument/2006/relationships" ref="N885" r:id="rId2794"/>
    <hyperlink xmlns:r="http://schemas.openxmlformats.org/officeDocument/2006/relationships" ref="I886" r:id="rId2795"/>
    <hyperlink xmlns:r="http://schemas.openxmlformats.org/officeDocument/2006/relationships" ref="K886" r:id="rId2796"/>
    <hyperlink xmlns:r="http://schemas.openxmlformats.org/officeDocument/2006/relationships" ref="N886" r:id="rId2797"/>
    <hyperlink xmlns:r="http://schemas.openxmlformats.org/officeDocument/2006/relationships" ref="H887" r:id="rId2798"/>
    <hyperlink xmlns:r="http://schemas.openxmlformats.org/officeDocument/2006/relationships" ref="I887" r:id="rId2799"/>
    <hyperlink xmlns:r="http://schemas.openxmlformats.org/officeDocument/2006/relationships" ref="K887" r:id="rId2800"/>
    <hyperlink xmlns:r="http://schemas.openxmlformats.org/officeDocument/2006/relationships" ref="N887" r:id="rId2801"/>
    <hyperlink xmlns:r="http://schemas.openxmlformats.org/officeDocument/2006/relationships" ref="H888" r:id="rId2802"/>
    <hyperlink xmlns:r="http://schemas.openxmlformats.org/officeDocument/2006/relationships" ref="I888" r:id="rId2803"/>
    <hyperlink xmlns:r="http://schemas.openxmlformats.org/officeDocument/2006/relationships" ref="K888" r:id="rId2804"/>
    <hyperlink xmlns:r="http://schemas.openxmlformats.org/officeDocument/2006/relationships" ref="N888" r:id="rId2805"/>
    <hyperlink xmlns:r="http://schemas.openxmlformats.org/officeDocument/2006/relationships" ref="H889" r:id="rId2806"/>
    <hyperlink xmlns:r="http://schemas.openxmlformats.org/officeDocument/2006/relationships" ref="I889" r:id="rId2807"/>
    <hyperlink xmlns:r="http://schemas.openxmlformats.org/officeDocument/2006/relationships" ref="K889" r:id="rId2808"/>
    <hyperlink xmlns:r="http://schemas.openxmlformats.org/officeDocument/2006/relationships" ref="N889" r:id="rId2809"/>
    <hyperlink xmlns:r="http://schemas.openxmlformats.org/officeDocument/2006/relationships" ref="H890" r:id="rId2810"/>
    <hyperlink xmlns:r="http://schemas.openxmlformats.org/officeDocument/2006/relationships" ref="I890" r:id="rId2811"/>
    <hyperlink xmlns:r="http://schemas.openxmlformats.org/officeDocument/2006/relationships" ref="K890" r:id="rId2812"/>
    <hyperlink xmlns:r="http://schemas.openxmlformats.org/officeDocument/2006/relationships" ref="N890" r:id="rId2813"/>
    <hyperlink xmlns:r="http://schemas.openxmlformats.org/officeDocument/2006/relationships" ref="H891" r:id="rId2814"/>
    <hyperlink xmlns:r="http://schemas.openxmlformats.org/officeDocument/2006/relationships" ref="I891" r:id="rId2815"/>
    <hyperlink xmlns:r="http://schemas.openxmlformats.org/officeDocument/2006/relationships" ref="K891" r:id="rId2816"/>
    <hyperlink xmlns:r="http://schemas.openxmlformats.org/officeDocument/2006/relationships" ref="N891" r:id="rId2817"/>
    <hyperlink xmlns:r="http://schemas.openxmlformats.org/officeDocument/2006/relationships" ref="H892" r:id="rId2818"/>
    <hyperlink xmlns:r="http://schemas.openxmlformats.org/officeDocument/2006/relationships" ref="I892" r:id="rId2819"/>
    <hyperlink xmlns:r="http://schemas.openxmlformats.org/officeDocument/2006/relationships" ref="K892" r:id="rId2820"/>
    <hyperlink xmlns:r="http://schemas.openxmlformats.org/officeDocument/2006/relationships" ref="N892" r:id="rId2821"/>
    <hyperlink xmlns:r="http://schemas.openxmlformats.org/officeDocument/2006/relationships" ref="H893" r:id="rId2822"/>
    <hyperlink xmlns:r="http://schemas.openxmlformats.org/officeDocument/2006/relationships" ref="I893" r:id="rId2823"/>
    <hyperlink xmlns:r="http://schemas.openxmlformats.org/officeDocument/2006/relationships" ref="K893" r:id="rId2824"/>
    <hyperlink xmlns:r="http://schemas.openxmlformats.org/officeDocument/2006/relationships" ref="N893" r:id="rId2825"/>
    <hyperlink xmlns:r="http://schemas.openxmlformats.org/officeDocument/2006/relationships" ref="H894" r:id="rId2826"/>
    <hyperlink xmlns:r="http://schemas.openxmlformats.org/officeDocument/2006/relationships" ref="I894" r:id="rId2827"/>
    <hyperlink xmlns:r="http://schemas.openxmlformats.org/officeDocument/2006/relationships" ref="K894" r:id="rId2828"/>
    <hyperlink xmlns:r="http://schemas.openxmlformats.org/officeDocument/2006/relationships" ref="N894" r:id="rId2829"/>
    <hyperlink xmlns:r="http://schemas.openxmlformats.org/officeDocument/2006/relationships" ref="H895" r:id="rId2830"/>
    <hyperlink xmlns:r="http://schemas.openxmlformats.org/officeDocument/2006/relationships" ref="I895" r:id="rId2831"/>
    <hyperlink xmlns:r="http://schemas.openxmlformats.org/officeDocument/2006/relationships" ref="K895" r:id="rId2832"/>
    <hyperlink xmlns:r="http://schemas.openxmlformats.org/officeDocument/2006/relationships" ref="N895" r:id="rId2833"/>
    <hyperlink xmlns:r="http://schemas.openxmlformats.org/officeDocument/2006/relationships" ref="H896" r:id="rId2834"/>
    <hyperlink xmlns:r="http://schemas.openxmlformats.org/officeDocument/2006/relationships" ref="I896" r:id="rId2835"/>
    <hyperlink xmlns:r="http://schemas.openxmlformats.org/officeDocument/2006/relationships" ref="K896" r:id="rId2836"/>
    <hyperlink xmlns:r="http://schemas.openxmlformats.org/officeDocument/2006/relationships" ref="N896" r:id="rId2837"/>
    <hyperlink xmlns:r="http://schemas.openxmlformats.org/officeDocument/2006/relationships" ref="I897" r:id="rId2838"/>
    <hyperlink xmlns:r="http://schemas.openxmlformats.org/officeDocument/2006/relationships" ref="K897" r:id="rId2839"/>
    <hyperlink xmlns:r="http://schemas.openxmlformats.org/officeDocument/2006/relationships" ref="N897" r:id="rId2840"/>
    <hyperlink xmlns:r="http://schemas.openxmlformats.org/officeDocument/2006/relationships" ref="I898" r:id="rId2841"/>
    <hyperlink xmlns:r="http://schemas.openxmlformats.org/officeDocument/2006/relationships" ref="K898" r:id="rId2842"/>
    <hyperlink xmlns:r="http://schemas.openxmlformats.org/officeDocument/2006/relationships" ref="N898" r:id="rId2843"/>
    <hyperlink xmlns:r="http://schemas.openxmlformats.org/officeDocument/2006/relationships" ref="I899" r:id="rId2844"/>
    <hyperlink xmlns:r="http://schemas.openxmlformats.org/officeDocument/2006/relationships" ref="K899" r:id="rId2845"/>
    <hyperlink xmlns:r="http://schemas.openxmlformats.org/officeDocument/2006/relationships" ref="N899" r:id="rId2846"/>
    <hyperlink xmlns:r="http://schemas.openxmlformats.org/officeDocument/2006/relationships" ref="H900" r:id="rId2847"/>
    <hyperlink xmlns:r="http://schemas.openxmlformats.org/officeDocument/2006/relationships" ref="I900" r:id="rId2848"/>
    <hyperlink xmlns:r="http://schemas.openxmlformats.org/officeDocument/2006/relationships" ref="K900" r:id="rId2849"/>
    <hyperlink xmlns:r="http://schemas.openxmlformats.org/officeDocument/2006/relationships" ref="N900" r:id="rId2850"/>
    <hyperlink xmlns:r="http://schemas.openxmlformats.org/officeDocument/2006/relationships" ref="H901" r:id="rId2851"/>
    <hyperlink xmlns:r="http://schemas.openxmlformats.org/officeDocument/2006/relationships" ref="I901" r:id="rId2852"/>
    <hyperlink xmlns:r="http://schemas.openxmlformats.org/officeDocument/2006/relationships" ref="K901" r:id="rId2853"/>
    <hyperlink xmlns:r="http://schemas.openxmlformats.org/officeDocument/2006/relationships" ref="N901" r:id="rId2854"/>
    <hyperlink xmlns:r="http://schemas.openxmlformats.org/officeDocument/2006/relationships" ref="H902" r:id="rId2855"/>
    <hyperlink xmlns:r="http://schemas.openxmlformats.org/officeDocument/2006/relationships" ref="I902" r:id="rId2856"/>
    <hyperlink xmlns:r="http://schemas.openxmlformats.org/officeDocument/2006/relationships" ref="K902" r:id="rId2857"/>
    <hyperlink xmlns:r="http://schemas.openxmlformats.org/officeDocument/2006/relationships" ref="N902" r:id="rId2858"/>
    <hyperlink xmlns:r="http://schemas.openxmlformats.org/officeDocument/2006/relationships" ref="H903" r:id="rId2859"/>
    <hyperlink xmlns:r="http://schemas.openxmlformats.org/officeDocument/2006/relationships" ref="I903" r:id="rId2860"/>
    <hyperlink xmlns:r="http://schemas.openxmlformats.org/officeDocument/2006/relationships" ref="K903" r:id="rId2861"/>
    <hyperlink xmlns:r="http://schemas.openxmlformats.org/officeDocument/2006/relationships" ref="N903" r:id="rId2862"/>
    <hyperlink xmlns:r="http://schemas.openxmlformats.org/officeDocument/2006/relationships" ref="H904" r:id="rId2863"/>
    <hyperlink xmlns:r="http://schemas.openxmlformats.org/officeDocument/2006/relationships" ref="I904" r:id="rId2864"/>
    <hyperlink xmlns:r="http://schemas.openxmlformats.org/officeDocument/2006/relationships" ref="K904" r:id="rId2865"/>
    <hyperlink xmlns:r="http://schemas.openxmlformats.org/officeDocument/2006/relationships" ref="N904" r:id="rId2866"/>
    <hyperlink xmlns:r="http://schemas.openxmlformats.org/officeDocument/2006/relationships" ref="H905" r:id="rId2867"/>
    <hyperlink xmlns:r="http://schemas.openxmlformats.org/officeDocument/2006/relationships" ref="I905" r:id="rId2868"/>
    <hyperlink xmlns:r="http://schemas.openxmlformats.org/officeDocument/2006/relationships" ref="K905" r:id="rId2869"/>
    <hyperlink xmlns:r="http://schemas.openxmlformats.org/officeDocument/2006/relationships" ref="N905" r:id="rId2870"/>
    <hyperlink xmlns:r="http://schemas.openxmlformats.org/officeDocument/2006/relationships" ref="H906" r:id="rId2871"/>
    <hyperlink xmlns:r="http://schemas.openxmlformats.org/officeDocument/2006/relationships" ref="K906" r:id="rId2872"/>
    <hyperlink xmlns:r="http://schemas.openxmlformats.org/officeDocument/2006/relationships" ref="N906" r:id="rId2873"/>
    <hyperlink xmlns:r="http://schemas.openxmlformats.org/officeDocument/2006/relationships" ref="H907" r:id="rId2874"/>
    <hyperlink xmlns:r="http://schemas.openxmlformats.org/officeDocument/2006/relationships" ref="I907" r:id="rId2875"/>
    <hyperlink xmlns:r="http://schemas.openxmlformats.org/officeDocument/2006/relationships" ref="K907" r:id="rId2876"/>
    <hyperlink xmlns:r="http://schemas.openxmlformats.org/officeDocument/2006/relationships" ref="N907" r:id="rId2877"/>
    <hyperlink xmlns:r="http://schemas.openxmlformats.org/officeDocument/2006/relationships" ref="I908" r:id="rId2878"/>
    <hyperlink xmlns:r="http://schemas.openxmlformats.org/officeDocument/2006/relationships" ref="K908" r:id="rId2879"/>
    <hyperlink xmlns:r="http://schemas.openxmlformats.org/officeDocument/2006/relationships" ref="N908" r:id="rId2880"/>
    <hyperlink xmlns:r="http://schemas.openxmlformats.org/officeDocument/2006/relationships" ref="H909" r:id="rId2881"/>
    <hyperlink xmlns:r="http://schemas.openxmlformats.org/officeDocument/2006/relationships" ref="I909" r:id="rId2882"/>
    <hyperlink xmlns:r="http://schemas.openxmlformats.org/officeDocument/2006/relationships" ref="K909" r:id="rId2883"/>
    <hyperlink xmlns:r="http://schemas.openxmlformats.org/officeDocument/2006/relationships" ref="N909" r:id="rId2884"/>
    <hyperlink xmlns:r="http://schemas.openxmlformats.org/officeDocument/2006/relationships" ref="I910" r:id="rId2885"/>
    <hyperlink xmlns:r="http://schemas.openxmlformats.org/officeDocument/2006/relationships" ref="K910" r:id="rId2886"/>
    <hyperlink xmlns:r="http://schemas.openxmlformats.org/officeDocument/2006/relationships" ref="N910" r:id="rId2887"/>
    <hyperlink xmlns:r="http://schemas.openxmlformats.org/officeDocument/2006/relationships" ref="H911" r:id="rId2888"/>
    <hyperlink xmlns:r="http://schemas.openxmlformats.org/officeDocument/2006/relationships" ref="I911" r:id="rId2889"/>
    <hyperlink xmlns:r="http://schemas.openxmlformats.org/officeDocument/2006/relationships" ref="K911" r:id="rId2890"/>
    <hyperlink xmlns:r="http://schemas.openxmlformats.org/officeDocument/2006/relationships" ref="N911" r:id="rId2891"/>
    <hyperlink xmlns:r="http://schemas.openxmlformats.org/officeDocument/2006/relationships" ref="H912" r:id="rId2892"/>
    <hyperlink xmlns:r="http://schemas.openxmlformats.org/officeDocument/2006/relationships" ref="I912" r:id="rId2893"/>
    <hyperlink xmlns:r="http://schemas.openxmlformats.org/officeDocument/2006/relationships" ref="K912" r:id="rId2894"/>
    <hyperlink xmlns:r="http://schemas.openxmlformats.org/officeDocument/2006/relationships" ref="N912" r:id="rId2895"/>
    <hyperlink xmlns:r="http://schemas.openxmlformats.org/officeDocument/2006/relationships" ref="I913" r:id="rId2896"/>
    <hyperlink xmlns:r="http://schemas.openxmlformats.org/officeDocument/2006/relationships" ref="K913" r:id="rId2897"/>
    <hyperlink xmlns:r="http://schemas.openxmlformats.org/officeDocument/2006/relationships" ref="N913" r:id="rId2898"/>
    <hyperlink xmlns:r="http://schemas.openxmlformats.org/officeDocument/2006/relationships" ref="H914" r:id="rId2899"/>
    <hyperlink xmlns:r="http://schemas.openxmlformats.org/officeDocument/2006/relationships" ref="I914" r:id="rId2900"/>
    <hyperlink xmlns:r="http://schemas.openxmlformats.org/officeDocument/2006/relationships" ref="K914" r:id="rId2901"/>
    <hyperlink xmlns:r="http://schemas.openxmlformats.org/officeDocument/2006/relationships" ref="N914" r:id="rId2902"/>
    <hyperlink xmlns:r="http://schemas.openxmlformats.org/officeDocument/2006/relationships" ref="I915" r:id="rId2903"/>
    <hyperlink xmlns:r="http://schemas.openxmlformats.org/officeDocument/2006/relationships" ref="K915" r:id="rId2904"/>
    <hyperlink xmlns:r="http://schemas.openxmlformats.org/officeDocument/2006/relationships" ref="N915" r:id="rId2905"/>
    <hyperlink xmlns:r="http://schemas.openxmlformats.org/officeDocument/2006/relationships" ref="H916" r:id="rId2906"/>
    <hyperlink xmlns:r="http://schemas.openxmlformats.org/officeDocument/2006/relationships" ref="I916" r:id="rId2907"/>
    <hyperlink xmlns:r="http://schemas.openxmlformats.org/officeDocument/2006/relationships" ref="K916" r:id="rId2908"/>
    <hyperlink xmlns:r="http://schemas.openxmlformats.org/officeDocument/2006/relationships" ref="N916" r:id="rId2909"/>
    <hyperlink xmlns:r="http://schemas.openxmlformats.org/officeDocument/2006/relationships" ref="H917" r:id="rId2910"/>
    <hyperlink xmlns:r="http://schemas.openxmlformats.org/officeDocument/2006/relationships" ref="I917" r:id="rId2911"/>
    <hyperlink xmlns:r="http://schemas.openxmlformats.org/officeDocument/2006/relationships" ref="K917" r:id="rId2912"/>
    <hyperlink xmlns:r="http://schemas.openxmlformats.org/officeDocument/2006/relationships" ref="N917" r:id="rId2913"/>
    <hyperlink xmlns:r="http://schemas.openxmlformats.org/officeDocument/2006/relationships" ref="H918" r:id="rId2914"/>
    <hyperlink xmlns:r="http://schemas.openxmlformats.org/officeDocument/2006/relationships" ref="I918" r:id="rId2915"/>
    <hyperlink xmlns:r="http://schemas.openxmlformats.org/officeDocument/2006/relationships" ref="K918" r:id="rId2916"/>
    <hyperlink xmlns:r="http://schemas.openxmlformats.org/officeDocument/2006/relationships" ref="N918" r:id="rId2917"/>
    <hyperlink xmlns:r="http://schemas.openxmlformats.org/officeDocument/2006/relationships" ref="H919" r:id="rId2918"/>
    <hyperlink xmlns:r="http://schemas.openxmlformats.org/officeDocument/2006/relationships" ref="I919" r:id="rId2919"/>
    <hyperlink xmlns:r="http://schemas.openxmlformats.org/officeDocument/2006/relationships" ref="K919" r:id="rId2920"/>
    <hyperlink xmlns:r="http://schemas.openxmlformats.org/officeDocument/2006/relationships" ref="N919" r:id="rId2921"/>
    <hyperlink xmlns:r="http://schemas.openxmlformats.org/officeDocument/2006/relationships" ref="H920" r:id="rId2922"/>
    <hyperlink xmlns:r="http://schemas.openxmlformats.org/officeDocument/2006/relationships" ref="I920" r:id="rId2923"/>
    <hyperlink xmlns:r="http://schemas.openxmlformats.org/officeDocument/2006/relationships" ref="K920" r:id="rId2924"/>
    <hyperlink xmlns:r="http://schemas.openxmlformats.org/officeDocument/2006/relationships" ref="N920" r:id="rId2925"/>
    <hyperlink xmlns:r="http://schemas.openxmlformats.org/officeDocument/2006/relationships" ref="I921" r:id="rId2926"/>
    <hyperlink xmlns:r="http://schemas.openxmlformats.org/officeDocument/2006/relationships" ref="K921" r:id="rId2927"/>
    <hyperlink xmlns:r="http://schemas.openxmlformats.org/officeDocument/2006/relationships" ref="N921" r:id="rId2928"/>
    <hyperlink xmlns:r="http://schemas.openxmlformats.org/officeDocument/2006/relationships" ref="H922" r:id="rId2929"/>
    <hyperlink xmlns:r="http://schemas.openxmlformats.org/officeDocument/2006/relationships" ref="I922" r:id="rId2930"/>
    <hyperlink xmlns:r="http://schemas.openxmlformats.org/officeDocument/2006/relationships" ref="K922" r:id="rId2931"/>
    <hyperlink xmlns:r="http://schemas.openxmlformats.org/officeDocument/2006/relationships" ref="N922" r:id="rId2932"/>
    <hyperlink xmlns:r="http://schemas.openxmlformats.org/officeDocument/2006/relationships" ref="H923" r:id="rId2933"/>
    <hyperlink xmlns:r="http://schemas.openxmlformats.org/officeDocument/2006/relationships" ref="I923" r:id="rId2934"/>
    <hyperlink xmlns:r="http://schemas.openxmlformats.org/officeDocument/2006/relationships" ref="K923" r:id="rId2935"/>
    <hyperlink xmlns:r="http://schemas.openxmlformats.org/officeDocument/2006/relationships" ref="N923" r:id="rId2936"/>
    <hyperlink xmlns:r="http://schemas.openxmlformats.org/officeDocument/2006/relationships" ref="H924" r:id="rId2937"/>
    <hyperlink xmlns:r="http://schemas.openxmlformats.org/officeDocument/2006/relationships" ref="I924" r:id="rId2938"/>
    <hyperlink xmlns:r="http://schemas.openxmlformats.org/officeDocument/2006/relationships" ref="K924" r:id="rId2939"/>
    <hyperlink xmlns:r="http://schemas.openxmlformats.org/officeDocument/2006/relationships" ref="N924" r:id="rId2940"/>
    <hyperlink xmlns:r="http://schemas.openxmlformats.org/officeDocument/2006/relationships" ref="H925" r:id="rId2941"/>
    <hyperlink xmlns:r="http://schemas.openxmlformats.org/officeDocument/2006/relationships" ref="I925" r:id="rId2942"/>
    <hyperlink xmlns:r="http://schemas.openxmlformats.org/officeDocument/2006/relationships" ref="K925" r:id="rId2943"/>
    <hyperlink xmlns:r="http://schemas.openxmlformats.org/officeDocument/2006/relationships" ref="N925" r:id="rId2944"/>
    <hyperlink xmlns:r="http://schemas.openxmlformats.org/officeDocument/2006/relationships" ref="H926" r:id="rId2945"/>
    <hyperlink xmlns:r="http://schemas.openxmlformats.org/officeDocument/2006/relationships" ref="I926" r:id="rId2946"/>
    <hyperlink xmlns:r="http://schemas.openxmlformats.org/officeDocument/2006/relationships" ref="K926" r:id="rId2947"/>
    <hyperlink xmlns:r="http://schemas.openxmlformats.org/officeDocument/2006/relationships" ref="N926" r:id="rId2948"/>
    <hyperlink xmlns:r="http://schemas.openxmlformats.org/officeDocument/2006/relationships" ref="I927" r:id="rId2949"/>
    <hyperlink xmlns:r="http://schemas.openxmlformats.org/officeDocument/2006/relationships" ref="K927" r:id="rId2950"/>
    <hyperlink xmlns:r="http://schemas.openxmlformats.org/officeDocument/2006/relationships" ref="N927" r:id="rId2951"/>
    <hyperlink xmlns:r="http://schemas.openxmlformats.org/officeDocument/2006/relationships" ref="I928" r:id="rId2952"/>
    <hyperlink xmlns:r="http://schemas.openxmlformats.org/officeDocument/2006/relationships" ref="K928" r:id="rId2953"/>
    <hyperlink xmlns:r="http://schemas.openxmlformats.org/officeDocument/2006/relationships" ref="N928" r:id="rId2954"/>
    <hyperlink xmlns:r="http://schemas.openxmlformats.org/officeDocument/2006/relationships" ref="H929" r:id="rId2955"/>
    <hyperlink xmlns:r="http://schemas.openxmlformats.org/officeDocument/2006/relationships" ref="I929" r:id="rId2956"/>
    <hyperlink xmlns:r="http://schemas.openxmlformats.org/officeDocument/2006/relationships" ref="K929" r:id="rId2957"/>
    <hyperlink xmlns:r="http://schemas.openxmlformats.org/officeDocument/2006/relationships" ref="N929" r:id="rId2958"/>
    <hyperlink xmlns:r="http://schemas.openxmlformats.org/officeDocument/2006/relationships" ref="H930" r:id="rId2959"/>
    <hyperlink xmlns:r="http://schemas.openxmlformats.org/officeDocument/2006/relationships" ref="I930" r:id="rId2960"/>
    <hyperlink xmlns:r="http://schemas.openxmlformats.org/officeDocument/2006/relationships" ref="K930" r:id="rId2961"/>
    <hyperlink xmlns:r="http://schemas.openxmlformats.org/officeDocument/2006/relationships" ref="N930" r:id="rId2962"/>
    <hyperlink xmlns:r="http://schemas.openxmlformats.org/officeDocument/2006/relationships" ref="H931" r:id="rId2963"/>
    <hyperlink xmlns:r="http://schemas.openxmlformats.org/officeDocument/2006/relationships" ref="I931" r:id="rId2964"/>
    <hyperlink xmlns:r="http://schemas.openxmlformats.org/officeDocument/2006/relationships" ref="K931" r:id="rId2965"/>
    <hyperlink xmlns:r="http://schemas.openxmlformats.org/officeDocument/2006/relationships" ref="N931" r:id="rId2966"/>
    <hyperlink xmlns:r="http://schemas.openxmlformats.org/officeDocument/2006/relationships" ref="I932" r:id="rId2967"/>
    <hyperlink xmlns:r="http://schemas.openxmlformats.org/officeDocument/2006/relationships" ref="K932" r:id="rId2968"/>
    <hyperlink xmlns:r="http://schemas.openxmlformats.org/officeDocument/2006/relationships" ref="N932" r:id="rId2969"/>
    <hyperlink xmlns:r="http://schemas.openxmlformats.org/officeDocument/2006/relationships" ref="I933" r:id="rId2970"/>
    <hyperlink xmlns:r="http://schemas.openxmlformats.org/officeDocument/2006/relationships" ref="K933" r:id="rId2971"/>
    <hyperlink xmlns:r="http://schemas.openxmlformats.org/officeDocument/2006/relationships" ref="N933" r:id="rId2972"/>
    <hyperlink xmlns:r="http://schemas.openxmlformats.org/officeDocument/2006/relationships" ref="H934" r:id="rId2973"/>
    <hyperlink xmlns:r="http://schemas.openxmlformats.org/officeDocument/2006/relationships" ref="I934" r:id="rId2974"/>
    <hyperlink xmlns:r="http://schemas.openxmlformats.org/officeDocument/2006/relationships" ref="K934" r:id="rId2975"/>
    <hyperlink xmlns:r="http://schemas.openxmlformats.org/officeDocument/2006/relationships" ref="N934" r:id="rId2976"/>
    <hyperlink xmlns:r="http://schemas.openxmlformats.org/officeDocument/2006/relationships" ref="H935" r:id="rId2977"/>
    <hyperlink xmlns:r="http://schemas.openxmlformats.org/officeDocument/2006/relationships" ref="I935" r:id="rId2978"/>
    <hyperlink xmlns:r="http://schemas.openxmlformats.org/officeDocument/2006/relationships" ref="K935" r:id="rId2979"/>
    <hyperlink xmlns:r="http://schemas.openxmlformats.org/officeDocument/2006/relationships" ref="N935" r:id="rId2980"/>
    <hyperlink xmlns:r="http://schemas.openxmlformats.org/officeDocument/2006/relationships" ref="I936" r:id="rId2981"/>
    <hyperlink xmlns:r="http://schemas.openxmlformats.org/officeDocument/2006/relationships" ref="K936" r:id="rId2982"/>
    <hyperlink xmlns:r="http://schemas.openxmlformats.org/officeDocument/2006/relationships" ref="N936" r:id="rId2983"/>
    <hyperlink xmlns:r="http://schemas.openxmlformats.org/officeDocument/2006/relationships" ref="H937" r:id="rId2984"/>
    <hyperlink xmlns:r="http://schemas.openxmlformats.org/officeDocument/2006/relationships" ref="I937" r:id="rId2985"/>
    <hyperlink xmlns:r="http://schemas.openxmlformats.org/officeDocument/2006/relationships" ref="K937" r:id="rId2986"/>
    <hyperlink xmlns:r="http://schemas.openxmlformats.org/officeDocument/2006/relationships" ref="N937" r:id="rId2987"/>
    <hyperlink xmlns:r="http://schemas.openxmlformats.org/officeDocument/2006/relationships" ref="I938" r:id="rId2988"/>
    <hyperlink xmlns:r="http://schemas.openxmlformats.org/officeDocument/2006/relationships" ref="K938" r:id="rId2989"/>
    <hyperlink xmlns:r="http://schemas.openxmlformats.org/officeDocument/2006/relationships" ref="N938" r:id="rId2990"/>
    <hyperlink xmlns:r="http://schemas.openxmlformats.org/officeDocument/2006/relationships" ref="I939" r:id="rId2991"/>
    <hyperlink xmlns:r="http://schemas.openxmlformats.org/officeDocument/2006/relationships" ref="K939" r:id="rId2992"/>
    <hyperlink xmlns:r="http://schemas.openxmlformats.org/officeDocument/2006/relationships" ref="N939" r:id="rId2993"/>
    <hyperlink xmlns:r="http://schemas.openxmlformats.org/officeDocument/2006/relationships" ref="H940" r:id="rId2994"/>
    <hyperlink xmlns:r="http://schemas.openxmlformats.org/officeDocument/2006/relationships" ref="I940" r:id="rId2995"/>
    <hyperlink xmlns:r="http://schemas.openxmlformats.org/officeDocument/2006/relationships" ref="K940" r:id="rId2996"/>
    <hyperlink xmlns:r="http://schemas.openxmlformats.org/officeDocument/2006/relationships" ref="N940" r:id="rId2997"/>
    <hyperlink xmlns:r="http://schemas.openxmlformats.org/officeDocument/2006/relationships" ref="I941" r:id="rId2998"/>
    <hyperlink xmlns:r="http://schemas.openxmlformats.org/officeDocument/2006/relationships" ref="K941" r:id="rId2999"/>
    <hyperlink xmlns:r="http://schemas.openxmlformats.org/officeDocument/2006/relationships" ref="N941" r:id="rId3000"/>
    <hyperlink xmlns:r="http://schemas.openxmlformats.org/officeDocument/2006/relationships" ref="H942" r:id="rId3001"/>
    <hyperlink xmlns:r="http://schemas.openxmlformats.org/officeDocument/2006/relationships" ref="I942" r:id="rId3002"/>
    <hyperlink xmlns:r="http://schemas.openxmlformats.org/officeDocument/2006/relationships" ref="K942" r:id="rId3003"/>
    <hyperlink xmlns:r="http://schemas.openxmlformats.org/officeDocument/2006/relationships" ref="N942" r:id="rId3004"/>
    <hyperlink xmlns:r="http://schemas.openxmlformats.org/officeDocument/2006/relationships" ref="H943" r:id="rId3005"/>
    <hyperlink xmlns:r="http://schemas.openxmlformats.org/officeDocument/2006/relationships" ref="I943" r:id="rId3006"/>
    <hyperlink xmlns:r="http://schemas.openxmlformats.org/officeDocument/2006/relationships" ref="K943" r:id="rId3007"/>
    <hyperlink xmlns:r="http://schemas.openxmlformats.org/officeDocument/2006/relationships" ref="N943" r:id="rId3008"/>
    <hyperlink xmlns:r="http://schemas.openxmlformats.org/officeDocument/2006/relationships" ref="I944" r:id="rId3009"/>
    <hyperlink xmlns:r="http://schemas.openxmlformats.org/officeDocument/2006/relationships" ref="K944" r:id="rId3010"/>
    <hyperlink xmlns:r="http://schemas.openxmlformats.org/officeDocument/2006/relationships" ref="N944" r:id="rId3011"/>
    <hyperlink xmlns:r="http://schemas.openxmlformats.org/officeDocument/2006/relationships" ref="H945" r:id="rId3012"/>
    <hyperlink xmlns:r="http://schemas.openxmlformats.org/officeDocument/2006/relationships" ref="I945" r:id="rId3013"/>
    <hyperlink xmlns:r="http://schemas.openxmlformats.org/officeDocument/2006/relationships" ref="K945" r:id="rId3014"/>
    <hyperlink xmlns:r="http://schemas.openxmlformats.org/officeDocument/2006/relationships" ref="N945" r:id="rId3015"/>
    <hyperlink xmlns:r="http://schemas.openxmlformats.org/officeDocument/2006/relationships" ref="H946" r:id="rId3016"/>
    <hyperlink xmlns:r="http://schemas.openxmlformats.org/officeDocument/2006/relationships" ref="I946" r:id="rId3017"/>
    <hyperlink xmlns:r="http://schemas.openxmlformats.org/officeDocument/2006/relationships" ref="K946" r:id="rId3018"/>
    <hyperlink xmlns:r="http://schemas.openxmlformats.org/officeDocument/2006/relationships" ref="N946" r:id="rId3019"/>
    <hyperlink xmlns:r="http://schemas.openxmlformats.org/officeDocument/2006/relationships" ref="I947" r:id="rId3020"/>
    <hyperlink xmlns:r="http://schemas.openxmlformats.org/officeDocument/2006/relationships" ref="K947" r:id="rId3021"/>
    <hyperlink xmlns:r="http://schemas.openxmlformats.org/officeDocument/2006/relationships" ref="N947" r:id="rId3022"/>
    <hyperlink xmlns:r="http://schemas.openxmlformats.org/officeDocument/2006/relationships" ref="H948" r:id="rId3023"/>
    <hyperlink xmlns:r="http://schemas.openxmlformats.org/officeDocument/2006/relationships" ref="I948" r:id="rId3024"/>
    <hyperlink xmlns:r="http://schemas.openxmlformats.org/officeDocument/2006/relationships" ref="K948" r:id="rId3025"/>
    <hyperlink xmlns:r="http://schemas.openxmlformats.org/officeDocument/2006/relationships" ref="N948" r:id="rId3026"/>
    <hyperlink xmlns:r="http://schemas.openxmlformats.org/officeDocument/2006/relationships" ref="H949" r:id="rId3027"/>
    <hyperlink xmlns:r="http://schemas.openxmlformats.org/officeDocument/2006/relationships" ref="I949" r:id="rId3028"/>
    <hyperlink xmlns:r="http://schemas.openxmlformats.org/officeDocument/2006/relationships" ref="K949" r:id="rId3029"/>
    <hyperlink xmlns:r="http://schemas.openxmlformats.org/officeDocument/2006/relationships" ref="N949" r:id="rId3030"/>
    <hyperlink xmlns:r="http://schemas.openxmlformats.org/officeDocument/2006/relationships" ref="H950" r:id="rId3031"/>
    <hyperlink xmlns:r="http://schemas.openxmlformats.org/officeDocument/2006/relationships" ref="I950" r:id="rId3032"/>
    <hyperlink xmlns:r="http://schemas.openxmlformats.org/officeDocument/2006/relationships" ref="K950" r:id="rId3033"/>
    <hyperlink xmlns:r="http://schemas.openxmlformats.org/officeDocument/2006/relationships" ref="N950" r:id="rId3034"/>
    <hyperlink xmlns:r="http://schemas.openxmlformats.org/officeDocument/2006/relationships" ref="I951" r:id="rId3035"/>
    <hyperlink xmlns:r="http://schemas.openxmlformats.org/officeDocument/2006/relationships" ref="K951" r:id="rId3036"/>
    <hyperlink xmlns:r="http://schemas.openxmlformats.org/officeDocument/2006/relationships" ref="N951" r:id="rId3037"/>
    <hyperlink xmlns:r="http://schemas.openxmlformats.org/officeDocument/2006/relationships" ref="H952" r:id="rId3038"/>
    <hyperlink xmlns:r="http://schemas.openxmlformats.org/officeDocument/2006/relationships" ref="I952" r:id="rId3039"/>
    <hyperlink xmlns:r="http://schemas.openxmlformats.org/officeDocument/2006/relationships" ref="K952" r:id="rId3040"/>
    <hyperlink xmlns:r="http://schemas.openxmlformats.org/officeDocument/2006/relationships" ref="N952" r:id="rId3041"/>
    <hyperlink xmlns:r="http://schemas.openxmlformats.org/officeDocument/2006/relationships" ref="H953" r:id="rId3042"/>
    <hyperlink xmlns:r="http://schemas.openxmlformats.org/officeDocument/2006/relationships" ref="I953" r:id="rId3043"/>
    <hyperlink xmlns:r="http://schemas.openxmlformats.org/officeDocument/2006/relationships" ref="K953" r:id="rId3044"/>
    <hyperlink xmlns:r="http://schemas.openxmlformats.org/officeDocument/2006/relationships" ref="N953" r:id="rId3045"/>
    <hyperlink xmlns:r="http://schemas.openxmlformats.org/officeDocument/2006/relationships" ref="H954" r:id="rId3046"/>
    <hyperlink xmlns:r="http://schemas.openxmlformats.org/officeDocument/2006/relationships" ref="I954" r:id="rId3047"/>
    <hyperlink xmlns:r="http://schemas.openxmlformats.org/officeDocument/2006/relationships" ref="K954" r:id="rId3048"/>
    <hyperlink xmlns:r="http://schemas.openxmlformats.org/officeDocument/2006/relationships" ref="N954" r:id="rId3049"/>
    <hyperlink xmlns:r="http://schemas.openxmlformats.org/officeDocument/2006/relationships" ref="H955" r:id="rId3050"/>
    <hyperlink xmlns:r="http://schemas.openxmlformats.org/officeDocument/2006/relationships" ref="I955" r:id="rId3051"/>
    <hyperlink xmlns:r="http://schemas.openxmlformats.org/officeDocument/2006/relationships" ref="K955" r:id="rId3052"/>
    <hyperlink xmlns:r="http://schemas.openxmlformats.org/officeDocument/2006/relationships" ref="N955" r:id="rId3053"/>
    <hyperlink xmlns:r="http://schemas.openxmlformats.org/officeDocument/2006/relationships" ref="H956" r:id="rId3054"/>
    <hyperlink xmlns:r="http://schemas.openxmlformats.org/officeDocument/2006/relationships" ref="I956" r:id="rId3055"/>
    <hyperlink xmlns:r="http://schemas.openxmlformats.org/officeDocument/2006/relationships" ref="K956" r:id="rId3056"/>
    <hyperlink xmlns:r="http://schemas.openxmlformats.org/officeDocument/2006/relationships" ref="N956" r:id="rId3057"/>
    <hyperlink xmlns:r="http://schemas.openxmlformats.org/officeDocument/2006/relationships" ref="H957" r:id="rId3058"/>
    <hyperlink xmlns:r="http://schemas.openxmlformats.org/officeDocument/2006/relationships" ref="I957" r:id="rId3059"/>
    <hyperlink xmlns:r="http://schemas.openxmlformats.org/officeDocument/2006/relationships" ref="K957" r:id="rId3060"/>
    <hyperlink xmlns:r="http://schemas.openxmlformats.org/officeDocument/2006/relationships" ref="N957" r:id="rId3061"/>
    <hyperlink xmlns:r="http://schemas.openxmlformats.org/officeDocument/2006/relationships" ref="I958" r:id="rId3062"/>
    <hyperlink xmlns:r="http://schemas.openxmlformats.org/officeDocument/2006/relationships" ref="K958" r:id="rId3063"/>
    <hyperlink xmlns:r="http://schemas.openxmlformats.org/officeDocument/2006/relationships" ref="N958" r:id="rId3064"/>
    <hyperlink xmlns:r="http://schemas.openxmlformats.org/officeDocument/2006/relationships" ref="I959" r:id="rId3065"/>
    <hyperlink xmlns:r="http://schemas.openxmlformats.org/officeDocument/2006/relationships" ref="K959" r:id="rId3066"/>
    <hyperlink xmlns:r="http://schemas.openxmlformats.org/officeDocument/2006/relationships" ref="N959" r:id="rId3067"/>
    <hyperlink xmlns:r="http://schemas.openxmlformats.org/officeDocument/2006/relationships" ref="I960" r:id="rId3068"/>
    <hyperlink xmlns:r="http://schemas.openxmlformats.org/officeDocument/2006/relationships" ref="K960" r:id="rId3069"/>
    <hyperlink xmlns:r="http://schemas.openxmlformats.org/officeDocument/2006/relationships" ref="N960" r:id="rId3070"/>
    <hyperlink xmlns:r="http://schemas.openxmlformats.org/officeDocument/2006/relationships" ref="I961" r:id="rId3071"/>
    <hyperlink xmlns:r="http://schemas.openxmlformats.org/officeDocument/2006/relationships" ref="K961" r:id="rId3072"/>
    <hyperlink xmlns:r="http://schemas.openxmlformats.org/officeDocument/2006/relationships" ref="N961" r:id="rId3073"/>
    <hyperlink xmlns:r="http://schemas.openxmlformats.org/officeDocument/2006/relationships" ref="H962" r:id="rId3074"/>
    <hyperlink xmlns:r="http://schemas.openxmlformats.org/officeDocument/2006/relationships" ref="I962" r:id="rId3075"/>
    <hyperlink xmlns:r="http://schemas.openxmlformats.org/officeDocument/2006/relationships" ref="K962" r:id="rId3076"/>
    <hyperlink xmlns:r="http://schemas.openxmlformats.org/officeDocument/2006/relationships" ref="N962" r:id="rId3077"/>
    <hyperlink xmlns:r="http://schemas.openxmlformats.org/officeDocument/2006/relationships" ref="H963" r:id="rId3078"/>
    <hyperlink xmlns:r="http://schemas.openxmlformats.org/officeDocument/2006/relationships" ref="I963" r:id="rId3079"/>
    <hyperlink xmlns:r="http://schemas.openxmlformats.org/officeDocument/2006/relationships" ref="K963" r:id="rId3080"/>
    <hyperlink xmlns:r="http://schemas.openxmlformats.org/officeDocument/2006/relationships" ref="N963" r:id="rId3081"/>
    <hyperlink xmlns:r="http://schemas.openxmlformats.org/officeDocument/2006/relationships" ref="H964" r:id="rId3082"/>
    <hyperlink xmlns:r="http://schemas.openxmlformats.org/officeDocument/2006/relationships" ref="I964" r:id="rId3083"/>
    <hyperlink xmlns:r="http://schemas.openxmlformats.org/officeDocument/2006/relationships" ref="K964" r:id="rId3084"/>
    <hyperlink xmlns:r="http://schemas.openxmlformats.org/officeDocument/2006/relationships" ref="N964" r:id="rId3085"/>
    <hyperlink xmlns:r="http://schemas.openxmlformats.org/officeDocument/2006/relationships" ref="I965" r:id="rId3086"/>
    <hyperlink xmlns:r="http://schemas.openxmlformats.org/officeDocument/2006/relationships" ref="K965" r:id="rId3087"/>
    <hyperlink xmlns:r="http://schemas.openxmlformats.org/officeDocument/2006/relationships" ref="N965" r:id="rId3088"/>
    <hyperlink xmlns:r="http://schemas.openxmlformats.org/officeDocument/2006/relationships" ref="H966" r:id="rId3089"/>
    <hyperlink xmlns:r="http://schemas.openxmlformats.org/officeDocument/2006/relationships" ref="I966" r:id="rId3090"/>
    <hyperlink xmlns:r="http://schemas.openxmlformats.org/officeDocument/2006/relationships" ref="K966" r:id="rId3091"/>
    <hyperlink xmlns:r="http://schemas.openxmlformats.org/officeDocument/2006/relationships" ref="N966" r:id="rId3092"/>
    <hyperlink xmlns:r="http://schemas.openxmlformats.org/officeDocument/2006/relationships" ref="I967" r:id="rId3093"/>
    <hyperlink xmlns:r="http://schemas.openxmlformats.org/officeDocument/2006/relationships" ref="K967" r:id="rId3094"/>
    <hyperlink xmlns:r="http://schemas.openxmlformats.org/officeDocument/2006/relationships" ref="N967" r:id="rId3095"/>
    <hyperlink xmlns:r="http://schemas.openxmlformats.org/officeDocument/2006/relationships" ref="H968" r:id="rId3096"/>
    <hyperlink xmlns:r="http://schemas.openxmlformats.org/officeDocument/2006/relationships" ref="I968" r:id="rId3097"/>
    <hyperlink xmlns:r="http://schemas.openxmlformats.org/officeDocument/2006/relationships" ref="K968" r:id="rId3098"/>
    <hyperlink xmlns:r="http://schemas.openxmlformats.org/officeDocument/2006/relationships" ref="N968" r:id="rId3099"/>
    <hyperlink xmlns:r="http://schemas.openxmlformats.org/officeDocument/2006/relationships" ref="H969" r:id="rId3100"/>
    <hyperlink xmlns:r="http://schemas.openxmlformats.org/officeDocument/2006/relationships" ref="I969" r:id="rId3101"/>
    <hyperlink xmlns:r="http://schemas.openxmlformats.org/officeDocument/2006/relationships" ref="K969" r:id="rId3102"/>
    <hyperlink xmlns:r="http://schemas.openxmlformats.org/officeDocument/2006/relationships" ref="N969" r:id="rId3103"/>
    <hyperlink xmlns:r="http://schemas.openxmlformats.org/officeDocument/2006/relationships" ref="H970" r:id="rId3104"/>
    <hyperlink xmlns:r="http://schemas.openxmlformats.org/officeDocument/2006/relationships" ref="I970" r:id="rId3105"/>
    <hyperlink xmlns:r="http://schemas.openxmlformats.org/officeDocument/2006/relationships" ref="K970" r:id="rId3106"/>
    <hyperlink xmlns:r="http://schemas.openxmlformats.org/officeDocument/2006/relationships" ref="N970" r:id="rId3107"/>
    <hyperlink xmlns:r="http://schemas.openxmlformats.org/officeDocument/2006/relationships" ref="H971" r:id="rId3108"/>
    <hyperlink xmlns:r="http://schemas.openxmlformats.org/officeDocument/2006/relationships" ref="I971" r:id="rId3109"/>
    <hyperlink xmlns:r="http://schemas.openxmlformats.org/officeDocument/2006/relationships" ref="K971" r:id="rId3110"/>
    <hyperlink xmlns:r="http://schemas.openxmlformats.org/officeDocument/2006/relationships" ref="N971" r:id="rId3111"/>
    <hyperlink xmlns:r="http://schemas.openxmlformats.org/officeDocument/2006/relationships" ref="H972" r:id="rId3112"/>
    <hyperlink xmlns:r="http://schemas.openxmlformats.org/officeDocument/2006/relationships" ref="I972" r:id="rId3113"/>
    <hyperlink xmlns:r="http://schemas.openxmlformats.org/officeDocument/2006/relationships" ref="K972" r:id="rId3114"/>
    <hyperlink xmlns:r="http://schemas.openxmlformats.org/officeDocument/2006/relationships" ref="N972" r:id="rId3115"/>
    <hyperlink xmlns:r="http://schemas.openxmlformats.org/officeDocument/2006/relationships" ref="H973" r:id="rId3116"/>
    <hyperlink xmlns:r="http://schemas.openxmlformats.org/officeDocument/2006/relationships" ref="I973" r:id="rId3117"/>
    <hyperlink xmlns:r="http://schemas.openxmlformats.org/officeDocument/2006/relationships" ref="K973" r:id="rId3118"/>
    <hyperlink xmlns:r="http://schemas.openxmlformats.org/officeDocument/2006/relationships" ref="N973" r:id="rId3119"/>
    <hyperlink xmlns:r="http://schemas.openxmlformats.org/officeDocument/2006/relationships" ref="H974" r:id="rId3120"/>
    <hyperlink xmlns:r="http://schemas.openxmlformats.org/officeDocument/2006/relationships" ref="K974" r:id="rId3121"/>
    <hyperlink xmlns:r="http://schemas.openxmlformats.org/officeDocument/2006/relationships" ref="N974" r:id="rId3122"/>
    <hyperlink xmlns:r="http://schemas.openxmlformats.org/officeDocument/2006/relationships" ref="H975" r:id="rId3123"/>
    <hyperlink xmlns:r="http://schemas.openxmlformats.org/officeDocument/2006/relationships" ref="I975" r:id="rId3124"/>
    <hyperlink xmlns:r="http://schemas.openxmlformats.org/officeDocument/2006/relationships" ref="K975" r:id="rId3125"/>
    <hyperlink xmlns:r="http://schemas.openxmlformats.org/officeDocument/2006/relationships" ref="N975" r:id="rId3126"/>
    <hyperlink xmlns:r="http://schemas.openxmlformats.org/officeDocument/2006/relationships" ref="H976" r:id="rId3127"/>
    <hyperlink xmlns:r="http://schemas.openxmlformats.org/officeDocument/2006/relationships" ref="I976" r:id="rId3128"/>
    <hyperlink xmlns:r="http://schemas.openxmlformats.org/officeDocument/2006/relationships" ref="K976" r:id="rId3129"/>
    <hyperlink xmlns:r="http://schemas.openxmlformats.org/officeDocument/2006/relationships" ref="N976" r:id="rId3130"/>
    <hyperlink xmlns:r="http://schemas.openxmlformats.org/officeDocument/2006/relationships" ref="I977" r:id="rId3131"/>
    <hyperlink xmlns:r="http://schemas.openxmlformats.org/officeDocument/2006/relationships" ref="K977" r:id="rId3132"/>
    <hyperlink xmlns:r="http://schemas.openxmlformats.org/officeDocument/2006/relationships" ref="N977" r:id="rId3133"/>
    <hyperlink xmlns:r="http://schemas.openxmlformats.org/officeDocument/2006/relationships" ref="I978" r:id="rId3134"/>
    <hyperlink xmlns:r="http://schemas.openxmlformats.org/officeDocument/2006/relationships" ref="K978" r:id="rId3135"/>
    <hyperlink xmlns:r="http://schemas.openxmlformats.org/officeDocument/2006/relationships" ref="N978" r:id="rId3136"/>
    <hyperlink xmlns:r="http://schemas.openxmlformats.org/officeDocument/2006/relationships" ref="H979" r:id="rId3137"/>
    <hyperlink xmlns:r="http://schemas.openxmlformats.org/officeDocument/2006/relationships" ref="I979" r:id="rId3138"/>
    <hyperlink xmlns:r="http://schemas.openxmlformats.org/officeDocument/2006/relationships" ref="K979" r:id="rId3139"/>
    <hyperlink xmlns:r="http://schemas.openxmlformats.org/officeDocument/2006/relationships" ref="N979" r:id="rId3140"/>
    <hyperlink xmlns:r="http://schemas.openxmlformats.org/officeDocument/2006/relationships" ref="I980" r:id="rId3141"/>
    <hyperlink xmlns:r="http://schemas.openxmlformats.org/officeDocument/2006/relationships" ref="K980" r:id="rId3142"/>
    <hyperlink xmlns:r="http://schemas.openxmlformats.org/officeDocument/2006/relationships" ref="N980" r:id="rId3143"/>
    <hyperlink xmlns:r="http://schemas.openxmlformats.org/officeDocument/2006/relationships" ref="H981" r:id="rId3144"/>
    <hyperlink xmlns:r="http://schemas.openxmlformats.org/officeDocument/2006/relationships" ref="K981" r:id="rId3145"/>
    <hyperlink xmlns:r="http://schemas.openxmlformats.org/officeDocument/2006/relationships" ref="N981" r:id="rId3146"/>
    <hyperlink xmlns:r="http://schemas.openxmlformats.org/officeDocument/2006/relationships" ref="I982" r:id="rId3147"/>
    <hyperlink xmlns:r="http://schemas.openxmlformats.org/officeDocument/2006/relationships" ref="K982" r:id="rId3148"/>
    <hyperlink xmlns:r="http://schemas.openxmlformats.org/officeDocument/2006/relationships" ref="N982" r:id="rId3149"/>
    <hyperlink xmlns:r="http://schemas.openxmlformats.org/officeDocument/2006/relationships" ref="H983" r:id="rId3150"/>
    <hyperlink xmlns:r="http://schemas.openxmlformats.org/officeDocument/2006/relationships" ref="I983" r:id="rId3151"/>
    <hyperlink xmlns:r="http://schemas.openxmlformats.org/officeDocument/2006/relationships" ref="K983" r:id="rId3152"/>
    <hyperlink xmlns:r="http://schemas.openxmlformats.org/officeDocument/2006/relationships" ref="N983" r:id="rId3153"/>
    <hyperlink xmlns:r="http://schemas.openxmlformats.org/officeDocument/2006/relationships" ref="I984" r:id="rId3154"/>
    <hyperlink xmlns:r="http://schemas.openxmlformats.org/officeDocument/2006/relationships" ref="K984" r:id="rId3155"/>
    <hyperlink xmlns:r="http://schemas.openxmlformats.org/officeDocument/2006/relationships" ref="N984" r:id="rId3156"/>
    <hyperlink xmlns:r="http://schemas.openxmlformats.org/officeDocument/2006/relationships" ref="I985" r:id="rId3157"/>
    <hyperlink xmlns:r="http://schemas.openxmlformats.org/officeDocument/2006/relationships" ref="K985" r:id="rId3158"/>
    <hyperlink xmlns:r="http://schemas.openxmlformats.org/officeDocument/2006/relationships" ref="N985" r:id="rId3159"/>
    <hyperlink xmlns:r="http://schemas.openxmlformats.org/officeDocument/2006/relationships" ref="H986" r:id="rId3160"/>
    <hyperlink xmlns:r="http://schemas.openxmlformats.org/officeDocument/2006/relationships" ref="I986" r:id="rId3161"/>
    <hyperlink xmlns:r="http://schemas.openxmlformats.org/officeDocument/2006/relationships" ref="K986" r:id="rId3162"/>
    <hyperlink xmlns:r="http://schemas.openxmlformats.org/officeDocument/2006/relationships" ref="N986" r:id="rId3163"/>
    <hyperlink xmlns:r="http://schemas.openxmlformats.org/officeDocument/2006/relationships" ref="H987" r:id="rId3164"/>
    <hyperlink xmlns:r="http://schemas.openxmlformats.org/officeDocument/2006/relationships" ref="I987" r:id="rId3165"/>
    <hyperlink xmlns:r="http://schemas.openxmlformats.org/officeDocument/2006/relationships" ref="K987" r:id="rId3166"/>
    <hyperlink xmlns:r="http://schemas.openxmlformats.org/officeDocument/2006/relationships" ref="N987" r:id="rId3167"/>
    <hyperlink xmlns:r="http://schemas.openxmlformats.org/officeDocument/2006/relationships" ref="H988" r:id="rId3168"/>
    <hyperlink xmlns:r="http://schemas.openxmlformats.org/officeDocument/2006/relationships" ref="I988" r:id="rId3169"/>
    <hyperlink xmlns:r="http://schemas.openxmlformats.org/officeDocument/2006/relationships" ref="K988" r:id="rId3170"/>
    <hyperlink xmlns:r="http://schemas.openxmlformats.org/officeDocument/2006/relationships" ref="N988" r:id="rId3171"/>
    <hyperlink xmlns:r="http://schemas.openxmlformats.org/officeDocument/2006/relationships" ref="I989" r:id="rId3172"/>
    <hyperlink xmlns:r="http://schemas.openxmlformats.org/officeDocument/2006/relationships" ref="K989" r:id="rId3173"/>
    <hyperlink xmlns:r="http://schemas.openxmlformats.org/officeDocument/2006/relationships" ref="N989" r:id="rId3174"/>
    <hyperlink xmlns:r="http://schemas.openxmlformats.org/officeDocument/2006/relationships" ref="H990" r:id="rId3175"/>
    <hyperlink xmlns:r="http://schemas.openxmlformats.org/officeDocument/2006/relationships" ref="I990" r:id="rId3176"/>
    <hyperlink xmlns:r="http://schemas.openxmlformats.org/officeDocument/2006/relationships" ref="K990" r:id="rId3177"/>
    <hyperlink xmlns:r="http://schemas.openxmlformats.org/officeDocument/2006/relationships" ref="N990" r:id="rId3178"/>
    <hyperlink xmlns:r="http://schemas.openxmlformats.org/officeDocument/2006/relationships" ref="I991" r:id="rId3179"/>
    <hyperlink xmlns:r="http://schemas.openxmlformats.org/officeDocument/2006/relationships" ref="K991" r:id="rId3180"/>
    <hyperlink xmlns:r="http://schemas.openxmlformats.org/officeDocument/2006/relationships" ref="N991" r:id="rId3181"/>
    <hyperlink xmlns:r="http://schemas.openxmlformats.org/officeDocument/2006/relationships" ref="I992" r:id="rId3182"/>
    <hyperlink xmlns:r="http://schemas.openxmlformats.org/officeDocument/2006/relationships" ref="K992" r:id="rId3183"/>
    <hyperlink xmlns:r="http://schemas.openxmlformats.org/officeDocument/2006/relationships" ref="N992" r:id="rId3184"/>
    <hyperlink xmlns:r="http://schemas.openxmlformats.org/officeDocument/2006/relationships" ref="H993" r:id="rId3185"/>
    <hyperlink xmlns:r="http://schemas.openxmlformats.org/officeDocument/2006/relationships" ref="I993" r:id="rId3186"/>
    <hyperlink xmlns:r="http://schemas.openxmlformats.org/officeDocument/2006/relationships" ref="K993" r:id="rId3187"/>
    <hyperlink xmlns:r="http://schemas.openxmlformats.org/officeDocument/2006/relationships" ref="N993" r:id="rId3188"/>
    <hyperlink xmlns:r="http://schemas.openxmlformats.org/officeDocument/2006/relationships" ref="I994" r:id="rId3189"/>
    <hyperlink xmlns:r="http://schemas.openxmlformats.org/officeDocument/2006/relationships" ref="K994" r:id="rId3190"/>
    <hyperlink xmlns:r="http://schemas.openxmlformats.org/officeDocument/2006/relationships" ref="N994" r:id="rId3191"/>
    <hyperlink xmlns:r="http://schemas.openxmlformats.org/officeDocument/2006/relationships" ref="H995" r:id="rId3192"/>
    <hyperlink xmlns:r="http://schemas.openxmlformats.org/officeDocument/2006/relationships" ref="I995" r:id="rId3193"/>
    <hyperlink xmlns:r="http://schemas.openxmlformats.org/officeDocument/2006/relationships" ref="K995" r:id="rId3194"/>
    <hyperlink xmlns:r="http://schemas.openxmlformats.org/officeDocument/2006/relationships" ref="N995" r:id="rId3195"/>
    <hyperlink xmlns:r="http://schemas.openxmlformats.org/officeDocument/2006/relationships" ref="H996" r:id="rId3196"/>
    <hyperlink xmlns:r="http://schemas.openxmlformats.org/officeDocument/2006/relationships" ref="I996" r:id="rId3197"/>
    <hyperlink xmlns:r="http://schemas.openxmlformats.org/officeDocument/2006/relationships" ref="K996" r:id="rId3198"/>
    <hyperlink xmlns:r="http://schemas.openxmlformats.org/officeDocument/2006/relationships" ref="N996" r:id="rId3199"/>
    <hyperlink xmlns:r="http://schemas.openxmlformats.org/officeDocument/2006/relationships" ref="H997" r:id="rId3200"/>
    <hyperlink xmlns:r="http://schemas.openxmlformats.org/officeDocument/2006/relationships" ref="I997" r:id="rId3201"/>
    <hyperlink xmlns:r="http://schemas.openxmlformats.org/officeDocument/2006/relationships" ref="K997" r:id="rId3202"/>
    <hyperlink xmlns:r="http://schemas.openxmlformats.org/officeDocument/2006/relationships" ref="N997" r:id="rId3203"/>
    <hyperlink xmlns:r="http://schemas.openxmlformats.org/officeDocument/2006/relationships" ref="H998" r:id="rId3204"/>
    <hyperlink xmlns:r="http://schemas.openxmlformats.org/officeDocument/2006/relationships" ref="I998" r:id="rId3205"/>
    <hyperlink xmlns:r="http://schemas.openxmlformats.org/officeDocument/2006/relationships" ref="K998" r:id="rId3206"/>
    <hyperlink xmlns:r="http://schemas.openxmlformats.org/officeDocument/2006/relationships" ref="N998" r:id="rId3207"/>
    <hyperlink xmlns:r="http://schemas.openxmlformats.org/officeDocument/2006/relationships" ref="H999" r:id="rId3208"/>
    <hyperlink xmlns:r="http://schemas.openxmlformats.org/officeDocument/2006/relationships" ref="I999" r:id="rId3209"/>
    <hyperlink xmlns:r="http://schemas.openxmlformats.org/officeDocument/2006/relationships" ref="K999" r:id="rId3210"/>
    <hyperlink xmlns:r="http://schemas.openxmlformats.org/officeDocument/2006/relationships" ref="N999" r:id="rId3211"/>
    <hyperlink xmlns:r="http://schemas.openxmlformats.org/officeDocument/2006/relationships" ref="H1000" r:id="rId3212"/>
    <hyperlink xmlns:r="http://schemas.openxmlformats.org/officeDocument/2006/relationships" ref="I1000" r:id="rId3213"/>
    <hyperlink xmlns:r="http://schemas.openxmlformats.org/officeDocument/2006/relationships" ref="K1000" r:id="rId3214"/>
    <hyperlink xmlns:r="http://schemas.openxmlformats.org/officeDocument/2006/relationships" ref="N1000" r:id="rId3215"/>
    <hyperlink xmlns:r="http://schemas.openxmlformats.org/officeDocument/2006/relationships" ref="I1001" r:id="rId3216"/>
    <hyperlink xmlns:r="http://schemas.openxmlformats.org/officeDocument/2006/relationships" ref="K1001" r:id="rId3217"/>
    <hyperlink xmlns:r="http://schemas.openxmlformats.org/officeDocument/2006/relationships" ref="N1001" r:id="rId3218"/>
    <hyperlink xmlns:r="http://schemas.openxmlformats.org/officeDocument/2006/relationships" ref="H1002" r:id="rId3219"/>
    <hyperlink xmlns:r="http://schemas.openxmlformats.org/officeDocument/2006/relationships" ref="I1002" r:id="rId3220"/>
    <hyperlink xmlns:r="http://schemas.openxmlformats.org/officeDocument/2006/relationships" ref="K1002" r:id="rId3221"/>
    <hyperlink xmlns:r="http://schemas.openxmlformats.org/officeDocument/2006/relationships" ref="N1002" r:id="rId3222"/>
    <hyperlink xmlns:r="http://schemas.openxmlformats.org/officeDocument/2006/relationships" ref="I1003" r:id="rId3223"/>
    <hyperlink xmlns:r="http://schemas.openxmlformats.org/officeDocument/2006/relationships" ref="K1003" r:id="rId3224"/>
    <hyperlink xmlns:r="http://schemas.openxmlformats.org/officeDocument/2006/relationships" ref="N1003" r:id="rId3225"/>
    <hyperlink xmlns:r="http://schemas.openxmlformats.org/officeDocument/2006/relationships" ref="H1004" r:id="rId3226"/>
    <hyperlink xmlns:r="http://schemas.openxmlformats.org/officeDocument/2006/relationships" ref="I1004" r:id="rId3227"/>
    <hyperlink xmlns:r="http://schemas.openxmlformats.org/officeDocument/2006/relationships" ref="K1004" r:id="rId3228"/>
    <hyperlink xmlns:r="http://schemas.openxmlformats.org/officeDocument/2006/relationships" ref="N1004" r:id="rId3229"/>
    <hyperlink xmlns:r="http://schemas.openxmlformats.org/officeDocument/2006/relationships" ref="I1005" r:id="rId3230"/>
    <hyperlink xmlns:r="http://schemas.openxmlformats.org/officeDocument/2006/relationships" ref="K1005" r:id="rId3231"/>
    <hyperlink xmlns:r="http://schemas.openxmlformats.org/officeDocument/2006/relationships" ref="N1005" r:id="rId3232"/>
    <hyperlink xmlns:r="http://schemas.openxmlformats.org/officeDocument/2006/relationships" ref="H1006" r:id="rId3233"/>
    <hyperlink xmlns:r="http://schemas.openxmlformats.org/officeDocument/2006/relationships" ref="I1006" r:id="rId3234"/>
    <hyperlink xmlns:r="http://schemas.openxmlformats.org/officeDocument/2006/relationships" ref="K1006" r:id="rId3235"/>
    <hyperlink xmlns:r="http://schemas.openxmlformats.org/officeDocument/2006/relationships" ref="N1006" r:id="rId3236"/>
    <hyperlink xmlns:r="http://schemas.openxmlformats.org/officeDocument/2006/relationships" ref="H1007" r:id="rId3237"/>
    <hyperlink xmlns:r="http://schemas.openxmlformats.org/officeDocument/2006/relationships" ref="I1007" r:id="rId3238"/>
    <hyperlink xmlns:r="http://schemas.openxmlformats.org/officeDocument/2006/relationships" ref="K1007" r:id="rId3239"/>
    <hyperlink xmlns:r="http://schemas.openxmlformats.org/officeDocument/2006/relationships" ref="N1007" r:id="rId3240"/>
    <hyperlink xmlns:r="http://schemas.openxmlformats.org/officeDocument/2006/relationships" ref="I1008" r:id="rId3241"/>
    <hyperlink xmlns:r="http://schemas.openxmlformats.org/officeDocument/2006/relationships" ref="K1008" r:id="rId3242"/>
    <hyperlink xmlns:r="http://schemas.openxmlformats.org/officeDocument/2006/relationships" ref="N1008" r:id="rId3243"/>
    <hyperlink xmlns:r="http://schemas.openxmlformats.org/officeDocument/2006/relationships" ref="I1009" r:id="rId3244"/>
    <hyperlink xmlns:r="http://schemas.openxmlformats.org/officeDocument/2006/relationships" ref="K1009" r:id="rId3245"/>
    <hyperlink xmlns:r="http://schemas.openxmlformats.org/officeDocument/2006/relationships" ref="N1009" r:id="rId3246"/>
    <hyperlink xmlns:r="http://schemas.openxmlformats.org/officeDocument/2006/relationships" ref="H1010" r:id="rId3247"/>
    <hyperlink xmlns:r="http://schemas.openxmlformats.org/officeDocument/2006/relationships" ref="I1010" r:id="rId3248"/>
    <hyperlink xmlns:r="http://schemas.openxmlformats.org/officeDocument/2006/relationships" ref="K1010" r:id="rId3249"/>
    <hyperlink xmlns:r="http://schemas.openxmlformats.org/officeDocument/2006/relationships" ref="N1010" r:id="rId3250"/>
    <hyperlink xmlns:r="http://schemas.openxmlformats.org/officeDocument/2006/relationships" ref="H1011" r:id="rId3251"/>
    <hyperlink xmlns:r="http://schemas.openxmlformats.org/officeDocument/2006/relationships" ref="K1011" r:id="rId3252"/>
    <hyperlink xmlns:r="http://schemas.openxmlformats.org/officeDocument/2006/relationships" ref="N1011" r:id="rId3253"/>
    <hyperlink xmlns:r="http://schemas.openxmlformats.org/officeDocument/2006/relationships" ref="H1012" r:id="rId3254"/>
    <hyperlink xmlns:r="http://schemas.openxmlformats.org/officeDocument/2006/relationships" ref="I1012" r:id="rId3255"/>
    <hyperlink xmlns:r="http://schemas.openxmlformats.org/officeDocument/2006/relationships" ref="K1012" r:id="rId3256"/>
    <hyperlink xmlns:r="http://schemas.openxmlformats.org/officeDocument/2006/relationships" ref="N1012" r:id="rId3257"/>
    <hyperlink xmlns:r="http://schemas.openxmlformats.org/officeDocument/2006/relationships" ref="I1013" r:id="rId3258"/>
    <hyperlink xmlns:r="http://schemas.openxmlformats.org/officeDocument/2006/relationships" ref="K1013" r:id="rId3259"/>
    <hyperlink xmlns:r="http://schemas.openxmlformats.org/officeDocument/2006/relationships" ref="N1013" r:id="rId3260"/>
    <hyperlink xmlns:r="http://schemas.openxmlformats.org/officeDocument/2006/relationships" ref="H1014" r:id="rId3261"/>
    <hyperlink xmlns:r="http://schemas.openxmlformats.org/officeDocument/2006/relationships" ref="I1014" r:id="rId3262"/>
    <hyperlink xmlns:r="http://schemas.openxmlformats.org/officeDocument/2006/relationships" ref="K1014" r:id="rId3263"/>
    <hyperlink xmlns:r="http://schemas.openxmlformats.org/officeDocument/2006/relationships" ref="N1014" r:id="rId3264"/>
    <hyperlink xmlns:r="http://schemas.openxmlformats.org/officeDocument/2006/relationships" ref="I1015" r:id="rId3265"/>
    <hyperlink xmlns:r="http://schemas.openxmlformats.org/officeDocument/2006/relationships" ref="K1015" r:id="rId3266"/>
    <hyperlink xmlns:r="http://schemas.openxmlformats.org/officeDocument/2006/relationships" ref="N1015" r:id="rId32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7" t="inlineStr">
        <is>
          <t>Pipeline</t>
        </is>
      </c>
      <c r="B1" s="7" t="inlineStr">
        <is>
          <t>Leads</t>
        </is>
      </c>
    </row>
    <row r="2">
      <c r="A2" t="inlineStr">
        <is>
          <t>Not contacted</t>
        </is>
      </c>
      <c r="B2">
        <f>COUNTIF(Leads!O:O,"Not contacted")</f>
        <v/>
      </c>
    </row>
    <row r="3">
      <c r="A3" t="inlineStr">
        <is>
          <t>DM sent</t>
        </is>
      </c>
      <c r="B3">
        <f>COUNTIF(Leads!O:O,"DM sent")</f>
        <v/>
      </c>
    </row>
    <row r="4">
      <c r="A4" t="inlineStr">
        <is>
          <t>Replied</t>
        </is>
      </c>
      <c r="B4">
        <f>COUNTIF(Leads!O:O,"Replied")</f>
        <v/>
      </c>
    </row>
    <row r="5">
      <c r="A5" t="inlineStr">
        <is>
          <t>Preview sent</t>
        </is>
      </c>
      <c r="B5">
        <f>COUNTIF(Leads!O:O,"Preview sent")</f>
        <v/>
      </c>
    </row>
    <row r="6">
      <c r="A6" t="inlineStr">
        <is>
          <t>Meeting booked</t>
        </is>
      </c>
      <c r="B6">
        <f>COUNTIF(Leads!O:O,"Meeting booked")</f>
        <v/>
      </c>
    </row>
    <row r="7">
      <c r="A7" t="inlineStr">
        <is>
          <t>Won</t>
        </is>
      </c>
      <c r="B7">
        <f>COUNTIF(Leads!O:O,"Won")</f>
        <v/>
      </c>
    </row>
    <row r="8">
      <c r="A8" t="inlineStr">
        <is>
          <t>Not interested</t>
        </is>
      </c>
      <c r="B8">
        <f>COUNTIF(Leads!O:O,"Not interested")</f>
        <v/>
      </c>
    </row>
    <row r="9">
      <c r="A9" t="inlineStr">
        <is>
          <t>Business closed</t>
        </is>
      </c>
      <c r="B9">
        <f>COUNTIF(Leads!O:O,"Business closed")</f>
        <v/>
      </c>
    </row>
    <row r="11">
      <c r="A11" t="inlineStr">
        <is>
          <t>Reply rate (Replied or later / DMs sent)</t>
        </is>
      </c>
      <c r="B11" s="8">
        <f>IFERROR((B4+B5+B6+B7+B8)/(B3+B4+B5+B6+B7+B8),0)</f>
        <v/>
      </c>
    </row>
    <row r="12">
      <c r="A12" s="9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  <row r="17">
      <c r="A17" s="9" t="inlineStr">
        <is>
          <t>Leads per region</t>
        </is>
      </c>
      <c r="B17" t="inlineStr"/>
    </row>
    <row r="18">
      <c r="A18" t="inlineStr">
        <is>
          <t>Airlie Beach</t>
        </is>
      </c>
      <c r="B18">
        <f>COUNTIF(Leads!F:F,"Airlie Beach")</f>
        <v/>
      </c>
    </row>
    <row r="19">
      <c r="A19" t="inlineStr">
        <is>
          <t>Brisbane</t>
        </is>
      </c>
      <c r="B19">
        <f>COUNTIF(Leads!F:F,"Brisbane")</f>
        <v/>
      </c>
    </row>
    <row r="20">
      <c r="A20" t="inlineStr">
        <is>
          <t>Bundaberg</t>
        </is>
      </c>
      <c r="B20">
        <f>COUNTIF(Leads!F:F,"Bundaberg")</f>
        <v/>
      </c>
    </row>
    <row r="21">
      <c r="A21" t="inlineStr">
        <is>
          <t>Cairns</t>
        </is>
      </c>
      <c r="B21">
        <f>COUNTIF(Leads!F:F,"Cairns")</f>
        <v/>
      </c>
    </row>
    <row r="22">
      <c r="A22" t="inlineStr">
        <is>
          <t>Gladstone</t>
        </is>
      </c>
      <c r="B22">
        <f>COUNTIF(Leads!F:F,"Gladstone")</f>
        <v/>
      </c>
    </row>
    <row r="23">
      <c r="A23" t="inlineStr">
        <is>
          <t>Gold Coast</t>
        </is>
      </c>
      <c r="B23">
        <f>COUNTIF(Leads!F:F,"Gold Coast")</f>
        <v/>
      </c>
    </row>
    <row r="24">
      <c r="A24" t="inlineStr">
        <is>
          <t>Gympie</t>
        </is>
      </c>
      <c r="B24">
        <f>COUNTIF(Leads!F:F,"Gympie")</f>
        <v/>
      </c>
    </row>
    <row r="25">
      <c r="A25" t="inlineStr">
        <is>
          <t>Hervey Bay</t>
        </is>
      </c>
      <c r="B25">
        <f>COUNTIF(Leads!F:F,"Hervey Bay")</f>
        <v/>
      </c>
    </row>
    <row r="26">
      <c r="A26" t="inlineStr">
        <is>
          <t>Ipswich</t>
        </is>
      </c>
      <c r="B26">
        <f>COUNTIF(Leads!F:F,"Ipswich")</f>
        <v/>
      </c>
    </row>
    <row r="27">
      <c r="A27" t="inlineStr">
        <is>
          <t>Mackay</t>
        </is>
      </c>
      <c r="B27">
        <f>COUNTIF(Leads!F:F,"Mackay")</f>
        <v/>
      </c>
    </row>
    <row r="28">
      <c r="A28" t="inlineStr">
        <is>
          <t>Maryborough</t>
        </is>
      </c>
      <c r="B28">
        <f>COUNTIF(Leads!F:F,"Maryborough")</f>
        <v/>
      </c>
    </row>
    <row r="29">
      <c r="A29" t="inlineStr">
        <is>
          <t>Moreton Bay</t>
        </is>
      </c>
      <c r="B29">
        <f>COUNTIF(Leads!F:F,"Moreton Bay")</f>
        <v/>
      </c>
    </row>
    <row r="30">
      <c r="A30" t="inlineStr">
        <is>
          <t>Redlands</t>
        </is>
      </c>
      <c r="B30">
        <f>COUNTIF(Leads!F:F,"Redlands")</f>
        <v/>
      </c>
    </row>
    <row r="31">
      <c r="A31" t="inlineStr">
        <is>
          <t>Rockhampton</t>
        </is>
      </c>
      <c r="B31">
        <f>COUNTIF(Leads!F:F,"Rockhampton")</f>
        <v/>
      </c>
    </row>
    <row r="32">
      <c r="A32" t="inlineStr">
        <is>
          <t>Sunshine Coast</t>
        </is>
      </c>
      <c r="B32">
        <f>COUNTIF(Leads!F:F,"Sunshine Coast")</f>
        <v/>
      </c>
    </row>
    <row r="33">
      <c r="A33" t="inlineStr">
        <is>
          <t>Toowoomba</t>
        </is>
      </c>
      <c r="B33">
        <f>COUNTIF(Leads!F:F,"Toowoomba")</f>
        <v/>
      </c>
    </row>
    <row r="34">
      <c r="A34" t="inlineStr">
        <is>
          <t>Townsville</t>
        </is>
      </c>
      <c r="B34">
        <f>COUNTIF(Leads!F:F,"Townsville")</f>
        <v/>
      </c>
    </row>
    <row r="35">
      <c r="A35" t="inlineStr">
        <is>
          <t>Warwick</t>
        </is>
      </c>
      <c r="B35">
        <f>COUNTIF(Leads!F:F,"Warwick")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AceAds: Instagram / Facebook outreach, Queensland</t>
        </is>
      </c>
    </row>
    <row r="2">
      <c r="A2" t="inlineStr"/>
    </row>
    <row r="3">
      <c r="A3" s="11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>
        <is>
          <t>4. 'Slow to load' was timed from an overseas server. Open the site on your own phone first; if it loads fine, skip that point.</t>
        </is>
      </c>
    </row>
    <row r="9">
      <c r="A9" t="inlineStr"/>
    </row>
    <row r="10">
      <c r="A10" s="11" t="inlineStr">
        <is>
          <t>Sending</t>
        </is>
      </c>
    </row>
    <row r="11">
      <c r="A11" t="inlineStr">
        <is>
          <t>5. Send from the AceAds business account, by hand. Max 20 new DMs per account per day.</t>
        </is>
      </c>
    </row>
    <row r="12">
      <c r="A12" t="inlineStr">
        <is>
          <t>6. Never paste the identical message twice in a row. Personalise every one; Meta limits accounts that send copy-paste DMs.</t>
        </is>
      </c>
    </row>
    <row r="13">
      <c r="A13" t="inlineStr">
        <is>
          <t>7. If they reply yes, ask AceAds for their preview (mockups/ in the repo), then send the screenshot and link.</t>
        </is>
      </c>
    </row>
    <row r="14">
      <c r="A14" t="inlineStr">
        <is>
          <t xml:space="preserve">   Set Status to 'Preview sent'.</t>
        </is>
      </c>
    </row>
    <row r="15">
      <c r="A15" t="inlineStr">
        <is>
          <t>8. One polite follow-up after 4-5 days, only if there was no reply. Then stop.</t>
        </is>
      </c>
    </row>
    <row r="16">
      <c r="A16" t="inlineStr">
        <is>
          <t>9. If anyone says no or asks us to stop, set 'Not interested' and never contact them again.</t>
        </is>
      </c>
    </row>
    <row r="17">
      <c r="A17" t="inlineStr"/>
    </row>
    <row r="18">
      <c r="A18" s="11" t="inlineStr">
        <is>
          <t>Do not</t>
        </is>
      </c>
    </row>
    <row r="19">
      <c r="A19" t="inlineStr">
        <is>
          <t>- Do not add these businesses to bulk email or automated DM tools.</t>
        </is>
      </c>
    </row>
    <row r="20">
      <c r="A20" t="inlineStr">
        <is>
          <t>- Email only to an address the business publishes on its own website, copied by hand. Say who we are, keep it</t>
        </is>
      </c>
    </row>
    <row r="21">
      <c r="A21" t="inlineStr">
        <is>
          <t xml:space="preserve">  about their website, and end with: 'Not interested? Reply STOP and we won't contact you again.'</t>
        </is>
      </c>
    </row>
    <row r="22">
      <c r="A22" t="inlineStr">
        <is>
          <t>- Do not claim anything about their business you have not checked.</t>
        </is>
      </c>
    </row>
    <row r="23">
      <c r="A23" t="inlineStr"/>
    </row>
    <row r="24">
      <c r="A24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2026-10-06T23:43:32Z</dcterms:created>
  <dcterms:modified xsi:type="dcterms:W3CDTF">2026-10-06T23:43:33Z</dcterms:modified>
</cp:coreProperties>
</file>