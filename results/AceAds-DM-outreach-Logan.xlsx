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Tracker" sheetId="2" state="visible" r:id="rId2"/>
    <sheet name="How to work this list" sheetId="3" state="visible" r:id="rId3"/>
  </sheets>
  <definedNames>
    <definedName name="_xlnm._FilterDatabase" localSheetId="0" hidden="1">'Leads'!$A$1:$S$10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3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5" borderId="0" pivotButton="0" quotePrefix="0" xfId="0"/>
    <xf numFmtId="9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A9D08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FlagstoneBakery/" TargetMode="External" Id="rId1" /><Relationship Type="http://schemas.openxmlformats.org/officeDocument/2006/relationships/hyperlink" Target="https://www.facebook.com/FlagstoneBakery/" TargetMode="External" Id="rId2" /><Relationship Type="http://schemas.openxmlformats.org/officeDocument/2006/relationships/hyperlink" Target="https://www.google.com/maps/search/?api=1&amp;query=Flagstone+Bakery" TargetMode="External" Id="rId3" /><Relationship Type="http://schemas.openxmlformats.org/officeDocument/2006/relationships/hyperlink" Target="https://www.facebook.com/p/Harris-Motors-100057890070112/" TargetMode="External" Id="rId4" /><Relationship Type="http://schemas.openxmlformats.org/officeDocument/2006/relationships/hyperlink" Target="https://www.facebook.com/p/Harris-Motors-100057890070112/" TargetMode="External" Id="rId5" /><Relationship Type="http://schemas.openxmlformats.org/officeDocument/2006/relationships/hyperlink" Target="https://www.google.com/maps/search/?api=1&amp;query=Harris+Motors" TargetMode="External" Id="rId6" /><Relationship Type="http://schemas.openxmlformats.org/officeDocument/2006/relationships/hyperlink" Target="https://www.facebook.com/allaussieautomotive" TargetMode="External" Id="rId7" /><Relationship Type="http://schemas.openxmlformats.org/officeDocument/2006/relationships/hyperlink" Target="https://www.facebook.com/allaussieautomotive" TargetMode="External" Id="rId8" /><Relationship Type="http://schemas.openxmlformats.org/officeDocument/2006/relationships/hyperlink" Target="https://www.google.com/maps/search/?api=1&amp;query=All+Aussie+Automotive+34+Old+Pacific+Highway+Yatala" TargetMode="External" Id="rId9" /><Relationship Type="http://schemas.openxmlformats.org/officeDocument/2006/relationships/hyperlink" Target="https://www.instagram.com/miaalashes_/?igshid=YmMyMTA2M2Y=" TargetMode="External" Id="rId10" /><Relationship Type="http://schemas.openxmlformats.org/officeDocument/2006/relationships/hyperlink" Target="https://www.google.com/maps/search/?api=1&amp;query=Mia%C3%A1+Lashes+4+Centurion+Circuit" TargetMode="External" Id="rId11" /><Relationship Type="http://schemas.openxmlformats.org/officeDocument/2006/relationships/hyperlink" Target="https://www.instagram.com/coolabahtreecafe" TargetMode="External" Id="rId12" /><Relationship Type="http://schemas.openxmlformats.org/officeDocument/2006/relationships/hyperlink" Target="https://www.facebook.com/CoolabahTreeCafe" TargetMode="External" Id="rId13" /><Relationship Type="http://schemas.openxmlformats.org/officeDocument/2006/relationships/hyperlink" Target="https://www.ctcafe.com.au/" TargetMode="External" Id="rId14" /><Relationship Type="http://schemas.openxmlformats.org/officeDocument/2006/relationships/hyperlink" Target="https://www.google.com/maps/search/?api=1&amp;query=Coolabah+Tree+Cafe+Stapylton" TargetMode="External" Id="rId15" /><Relationship Type="http://schemas.openxmlformats.org/officeDocument/2006/relationships/hyperlink" Target="https://www.instagram.com/seedlingsand.co" TargetMode="External" Id="rId16" /><Relationship Type="http://schemas.openxmlformats.org/officeDocument/2006/relationships/hyperlink" Target="https://www.facebook.com/seedlingsandco" TargetMode="External" Id="rId17" /><Relationship Type="http://schemas.openxmlformats.org/officeDocument/2006/relationships/hyperlink" Target="https://seedlingsand.co" TargetMode="External" Id="rId18" /><Relationship Type="http://schemas.openxmlformats.org/officeDocument/2006/relationships/hyperlink" Target="https://www.google.com/maps/search/?api=1&amp;query=Seedlings+%26+Co.+197+School+Road+Logan+Reserve" TargetMode="External" Id="rId19" /><Relationship Type="http://schemas.openxmlformats.org/officeDocument/2006/relationships/hyperlink" Target="https://www.facebook.com/profile.php?id=61560313291063" TargetMode="External" Id="rId20" /><Relationship Type="http://schemas.openxmlformats.org/officeDocument/2006/relationships/hyperlink" Target="http://www.beenleighvethospital.com.au/" TargetMode="External" Id="rId21" /><Relationship Type="http://schemas.openxmlformats.org/officeDocument/2006/relationships/hyperlink" Target="https://www.google.com/maps/search/?api=1&amp;query=Beenleigh+Veterinary+Hospital+63+George+Street+Beenleigh" TargetMode="External" Id="rId22" /><Relationship Type="http://schemas.openxmlformats.org/officeDocument/2006/relationships/hyperlink" Target="https://www.facebook.com/jimboombahouse/" TargetMode="External" Id="rId23" /><Relationship Type="http://schemas.openxmlformats.org/officeDocument/2006/relationships/hyperlink" Target="https://jimboombahouse.com.au/" TargetMode="External" Id="rId24" /><Relationship Type="http://schemas.openxmlformats.org/officeDocument/2006/relationships/hyperlink" Target="https://www.google.com/maps/search/?api=1&amp;query=Jimboomba+House+Restaurant" TargetMode="External" Id="rId25" /><Relationship Type="http://schemas.openxmlformats.org/officeDocument/2006/relationships/hyperlink" Target="https://www.instagram.com/originkebabs" TargetMode="External" Id="rId26" /><Relationship Type="http://schemas.openxmlformats.org/officeDocument/2006/relationships/hyperlink" Target="https://www.facebook.com/OriginKebabs" TargetMode="External" Id="rId27" /><Relationship Type="http://schemas.openxmlformats.org/officeDocument/2006/relationships/hyperlink" Target="https://originkebabs.com.au" TargetMode="External" Id="rId28" /><Relationship Type="http://schemas.openxmlformats.org/officeDocument/2006/relationships/hyperlink" Target="https://www.google.com/maps/search/?api=1&amp;query=Origin+Kebabs+-+Eagleby+1-29+River+Hills+Road+Eagleby" TargetMode="External" Id="rId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8" customWidth="1" min="3" max="3"/>
    <col width="28" customWidth="1" min="4" max="4"/>
    <col width="16" customWidth="1" min="5" max="5"/>
    <col width="14" customWidth="1" min="6" max="6"/>
    <col width="11" customWidth="1" min="7" max="7"/>
    <col width="30" customWidth="1" min="8" max="8"/>
    <col width="30" customWidth="1" min="9" max="9"/>
    <col width="16" customWidth="1" min="10" max="10"/>
    <col width="30" customWidth="1" min="11" max="11"/>
    <col width="40" customWidth="1" min="12" max="12"/>
    <col width="70" customWidth="1" min="13" max="13"/>
    <col width="22" customWidth="1" min="14" max="14"/>
    <col width="16" customWidth="1" min="15" max="15"/>
    <col width="14" customWidth="1" min="16" max="16"/>
    <col width="14" customWidth="1" min="17" max="17"/>
    <col width="14" customWidth="1" min="18" max="18"/>
    <col width="30" customWidth="1" min="19" max="19"/>
  </cols>
  <sheetData>
    <row r="1">
      <c r="A1" s="1" t="inlineStr">
        <is>
          <t>#</t>
        </is>
      </c>
      <c r="B1" s="1" t="inlineStr">
        <is>
          <t>Priority</t>
        </is>
      </c>
      <c r="C1" s="1" t="inlineStr">
        <is>
          <t>Lead type</t>
        </is>
      </c>
      <c r="D1" s="1" t="inlineStr">
        <is>
          <t>Business</t>
        </is>
      </c>
      <c r="E1" s="1" t="inlineStr">
        <is>
          <t>Category</t>
        </is>
      </c>
      <c r="F1" s="1" t="inlineStr">
        <is>
          <t>Region</t>
        </is>
      </c>
      <c r="G1" s="1" t="inlineStr">
        <is>
          <t>DM on</t>
        </is>
      </c>
      <c r="H1" s="1" t="inlineStr">
        <is>
          <t>Instagram</t>
        </is>
      </c>
      <c r="I1" s="1" t="inlineStr">
        <is>
          <t>Facebook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What we found</t>
        </is>
      </c>
      <c r="M1" s="1" t="inlineStr">
        <is>
          <t>Suggested first DM (fill the [bracket] first)</t>
        </is>
      </c>
      <c r="N1" s="1" t="inlineStr">
        <is>
          <t>Check on Google Maps</t>
        </is>
      </c>
      <c r="O1" s="1" t="inlineStr">
        <is>
          <t>Status</t>
        </is>
      </c>
      <c r="P1" s="1" t="inlineStr">
        <is>
          <t>Assigned to</t>
        </is>
      </c>
      <c r="Q1" s="1" t="inlineStr">
        <is>
          <t>Date contacted</t>
        </is>
      </c>
      <c r="R1" s="1" t="inlineStr">
        <is>
          <t>Follow-up date</t>
        </is>
      </c>
      <c r="S1" s="1" t="inlineStr">
        <is>
          <t>Notes</t>
        </is>
      </c>
    </row>
    <row r="2">
      <c r="A2" s="2" t="n">
        <v>1</v>
      </c>
      <c r="B2" s="3" t="inlineStr">
        <is>
          <t>HIGH</t>
        </is>
      </c>
      <c r="C2" s="2" t="inlineStr">
        <is>
          <t>No own website</t>
        </is>
      </c>
      <c r="D2" s="2" t="inlineStr">
        <is>
          <t>Flagstone Bakery</t>
        </is>
      </c>
      <c r="E2" s="2" t="inlineStr">
        <is>
          <t>bakery</t>
        </is>
      </c>
      <c r="F2" s="2" t="inlineStr">
        <is>
          <t>Logan</t>
        </is>
      </c>
      <c r="G2" s="2" t="inlineStr">
        <is>
          <t>Facebook</t>
        </is>
      </c>
      <c r="H2" s="2" t="inlineStr"/>
      <c r="I2" s="4" t="inlineStr">
        <is>
          <t>https://www.facebook.com/FlagstoneBakery/</t>
        </is>
      </c>
      <c r="J2" s="2" t="inlineStr">
        <is>
          <t>+61 7 5546 9959</t>
        </is>
      </c>
      <c r="K2" s="4" t="inlineStr">
        <is>
          <t>https://www.facebook.com/FlagstoneBakery/</t>
        </is>
      </c>
      <c r="L2" s="2" t="inlineStr">
        <is>
          <t>no real website (uses www.facebook.com)</t>
        </is>
      </c>
      <c r="M2" s="2" t="inlineStr">
        <is>
          <t>Hi Flagstone Bakery team! [one real detail from their page]. We're AceAds, a web design studio. We noticed that when people in Logan search for a bakery on Google, they only find your Facebook, not a website of your own. We'd be happy to make you a free preview of what a website could look like. Want one? No cost, no obligation.</t>
        </is>
      </c>
      <c r="N2" s="4" t="inlineStr">
        <is>
          <t>Open map</t>
        </is>
      </c>
      <c r="O2" s="2" t="inlineStr">
        <is>
          <t>Not contacted</t>
        </is>
      </c>
      <c r="P2" s="2" t="inlineStr"/>
      <c r="Q2" s="2" t="inlineStr"/>
      <c r="R2" s="2" t="inlineStr"/>
      <c r="S2" s="2" t="inlineStr"/>
    </row>
    <row r="3">
      <c r="A3" s="2" t="n">
        <v>2</v>
      </c>
      <c r="B3" s="3" t="inlineStr">
        <is>
          <t>HIGH</t>
        </is>
      </c>
      <c r="C3" s="2" t="inlineStr">
        <is>
          <t>No own website</t>
        </is>
      </c>
      <c r="D3" s="2" t="inlineStr">
        <is>
          <t>Harris Motors</t>
        </is>
      </c>
      <c r="E3" s="2" t="inlineStr">
        <is>
          <t>car or bike shop</t>
        </is>
      </c>
      <c r="F3" s="2" t="inlineStr">
        <is>
          <t>Logan</t>
        </is>
      </c>
      <c r="G3" s="2" t="inlineStr">
        <is>
          <t>Facebook</t>
        </is>
      </c>
      <c r="H3" s="2" t="inlineStr"/>
      <c r="I3" s="4" t="inlineStr">
        <is>
          <t>https://www.facebook.com/p/Harris-Motors-100057890070112/</t>
        </is>
      </c>
      <c r="J3" s="2" t="inlineStr"/>
      <c r="K3" s="4" t="inlineStr">
        <is>
          <t>https://www.facebook.com/p/Harris-Motors-100057890070112/</t>
        </is>
      </c>
      <c r="L3" s="2" t="inlineStr">
        <is>
          <t>no real website (uses www.facebook.com)</t>
        </is>
      </c>
      <c r="M3" s="2" t="inlineStr">
        <is>
          <t>Hi Harris Motors team! [one real detail from their page]. We're AceAds, a web design studio. We noticed that when people in Logan search for a car or bike shop on Google, they only find your Facebook, not a website of your own. We'd be happy to make you a free preview of what a website could look like. Want one? No cost, no obligation.</t>
        </is>
      </c>
      <c r="N3" s="4" t="inlineStr">
        <is>
          <t>Open map</t>
        </is>
      </c>
      <c r="O3" s="2" t="inlineStr">
        <is>
          <t>Not contacted</t>
        </is>
      </c>
      <c r="P3" s="2" t="inlineStr"/>
      <c r="Q3" s="2" t="inlineStr"/>
      <c r="R3" s="2" t="inlineStr"/>
      <c r="S3" s="2" t="inlineStr"/>
    </row>
    <row r="4">
      <c r="A4" s="2" t="n">
        <v>3</v>
      </c>
      <c r="B4" s="3" t="inlineStr">
        <is>
          <t>HIGH</t>
        </is>
      </c>
      <c r="C4" s="2" t="inlineStr">
        <is>
          <t>No own website</t>
        </is>
      </c>
      <c r="D4" s="2" t="inlineStr">
        <is>
          <t>All Aussie Automotive</t>
        </is>
      </c>
      <c r="E4" s="2" t="inlineStr">
        <is>
          <t>mechanic</t>
        </is>
      </c>
      <c r="F4" s="2" t="inlineStr">
        <is>
          <t>Logan</t>
        </is>
      </c>
      <c r="G4" s="2" t="inlineStr">
        <is>
          <t>Facebook</t>
        </is>
      </c>
      <c r="H4" s="2" t="inlineStr"/>
      <c r="I4" s="4" t="inlineStr">
        <is>
          <t>https://www.facebook.com/allaussieautomotive</t>
        </is>
      </c>
      <c r="J4" s="2" t="inlineStr">
        <is>
          <t>+61 401 442 629</t>
        </is>
      </c>
      <c r="K4" s="4" t="inlineStr">
        <is>
          <t>https://www.facebook.com/allaussieautomotive</t>
        </is>
      </c>
      <c r="L4" s="2" t="inlineStr">
        <is>
          <t>no real website (uses www.facebook.com)</t>
        </is>
      </c>
      <c r="M4" s="2" t="inlineStr">
        <is>
          <t>Hi All Aussie Automotive team! [one real detail from their page]. We're AceAds, a web design studio. We noticed that when people in Logan search for a mechanic on Google, they only find your Facebook, not a website of your own. We'd be happy to make you a free preview of what a website could look like. Want one? No cost, no obligation.</t>
        </is>
      </c>
      <c r="N4" s="4" t="inlineStr">
        <is>
          <t>Open map</t>
        </is>
      </c>
      <c r="O4" s="2" t="inlineStr">
        <is>
          <t>Not contacted</t>
        </is>
      </c>
      <c r="P4" s="2" t="inlineStr"/>
      <c r="Q4" s="2" t="inlineStr"/>
      <c r="R4" s="2" t="inlineStr"/>
      <c r="S4" s="2" t="inlineStr"/>
    </row>
    <row r="5">
      <c r="A5" s="2" t="n">
        <v>4</v>
      </c>
      <c r="B5" s="5" t="inlineStr">
        <is>
          <t>VERIFY FIRST</t>
        </is>
      </c>
      <c r="C5" s="2" t="inlineStr">
        <is>
          <t>No website found</t>
        </is>
      </c>
      <c r="D5" s="2" t="inlineStr">
        <is>
          <t>Miaá Lashes</t>
        </is>
      </c>
      <c r="E5" s="2" t="inlineStr">
        <is>
          <t>beauty salon</t>
        </is>
      </c>
      <c r="F5" s="2" t="inlineStr">
        <is>
          <t>Logan</t>
        </is>
      </c>
      <c r="G5" s="2" t="inlineStr">
        <is>
          <t>Instagram</t>
        </is>
      </c>
      <c r="H5" s="4" t="inlineStr">
        <is>
          <t>https://www.instagram.com/miaalashes_/?igshid=YmMyMTA2M2Y=</t>
        </is>
      </c>
      <c r="I5" s="2" t="inlineStr"/>
      <c r="J5" s="2" t="inlineStr">
        <is>
          <t>+61 413 430 741</t>
        </is>
      </c>
      <c r="K5" s="2" t="inlineStr"/>
      <c r="L5" s="2" t="inlineStr">
        <is>
          <t>no website listed, only social media (verify on Google Maps)</t>
        </is>
      </c>
      <c r="M5" s="2" t="inlineStr">
        <is>
          <t>Hi Miaá Lashes team! [one real detail from their page]. We're AceAds, a web design studio. We couldn't find a website for Miaá Lashes, only your Instagram. We'd be happy to make you a free preview of what a website could look like. Want one? No cost, no obligation.</t>
        </is>
      </c>
      <c r="N5" s="4" t="inlineStr">
        <is>
          <t>Open map</t>
        </is>
      </c>
      <c r="O5" s="2" t="inlineStr">
        <is>
          <t>Not contacted</t>
        </is>
      </c>
      <c r="P5" s="2" t="inlineStr"/>
      <c r="Q5" s="2" t="inlineStr"/>
      <c r="R5" s="2" t="inlineStr"/>
      <c r="S5" s="2" t="inlineStr"/>
    </row>
    <row r="6">
      <c r="A6" s="2" t="n">
        <v>5</v>
      </c>
      <c r="B6" s="6" t="inlineStr">
        <is>
          <t>MEDIUM</t>
        </is>
      </c>
      <c r="C6" s="2" t="inlineStr">
        <is>
          <t>Weak website</t>
        </is>
      </c>
      <c r="D6" s="2" t="inlineStr">
        <is>
          <t>Coolabah Tree Cafe Stapylton</t>
        </is>
      </c>
      <c r="E6" s="2" t="inlineStr">
        <is>
          <t>cafe</t>
        </is>
      </c>
      <c r="F6" s="2" t="inlineStr">
        <is>
          <t>Logan</t>
        </is>
      </c>
      <c r="G6" s="2" t="inlineStr">
        <is>
          <t>Instagram</t>
        </is>
      </c>
      <c r="H6" s="4" t="inlineStr">
        <is>
          <t>https://www.instagram.com/coolabahtreecafe</t>
        </is>
      </c>
      <c r="I6" s="4" t="inlineStr">
        <is>
          <t>https://www.facebook.com/CoolabahTreeCafe</t>
        </is>
      </c>
      <c r="J6" s="2" t="inlineStr"/>
      <c r="K6" s="4" t="inlineStr">
        <is>
          <t>https://www.ctcafe.com.au/</t>
        </is>
      </c>
      <c r="L6" s="2" t="inlineStr">
        <is>
          <t>slow to load (4.3s)</t>
        </is>
      </c>
      <c r="M6" s="2" t="inlineStr">
        <is>
          <t>Hi Coolabah Tree Cafe Stapylton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6" s="4" t="inlineStr">
        <is>
          <t>Open map</t>
        </is>
      </c>
      <c r="O6" s="2" t="inlineStr">
        <is>
          <t>Not contacted</t>
        </is>
      </c>
      <c r="P6" s="2" t="inlineStr"/>
      <c r="Q6" s="2" t="inlineStr"/>
      <c r="R6" s="2" t="inlineStr"/>
      <c r="S6" s="2" t="inlineStr"/>
    </row>
    <row r="7">
      <c r="A7" s="2" t="n">
        <v>6</v>
      </c>
      <c r="B7" s="6" t="inlineStr">
        <is>
          <t>MEDIUM</t>
        </is>
      </c>
      <c r="C7" s="2" t="inlineStr">
        <is>
          <t>Weak website</t>
        </is>
      </c>
      <c r="D7" s="2" t="inlineStr">
        <is>
          <t>Seedlings &amp; Co.</t>
        </is>
      </c>
      <c r="E7" s="2" t="inlineStr">
        <is>
          <t>childcare</t>
        </is>
      </c>
      <c r="F7" s="2" t="inlineStr">
        <is>
          <t>Logan</t>
        </is>
      </c>
      <c r="G7" s="2" t="inlineStr">
        <is>
          <t>Instagram</t>
        </is>
      </c>
      <c r="H7" s="4" t="inlineStr">
        <is>
          <t>https://www.instagram.com/seedlingsand.co</t>
        </is>
      </c>
      <c r="I7" s="4" t="inlineStr">
        <is>
          <t>https://www.facebook.com/seedlingsandco</t>
        </is>
      </c>
      <c r="J7" s="2" t="inlineStr"/>
      <c r="K7" s="4" t="inlineStr">
        <is>
          <t>https://seedlingsand.co</t>
        </is>
      </c>
      <c r="L7" s="2" t="inlineStr">
        <is>
          <t>missing meta description</t>
        </is>
      </c>
      <c r="M7" s="2" t="inlineStr">
        <is>
          <t>Hi Seedlings &amp; Co.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7" s="4" t="inlineStr">
        <is>
          <t>Open map</t>
        </is>
      </c>
      <c r="O7" s="2" t="inlineStr">
        <is>
          <t>Not contacted</t>
        </is>
      </c>
      <c r="P7" s="2" t="inlineStr"/>
      <c r="Q7" s="2" t="inlineStr"/>
      <c r="R7" s="2" t="inlineStr"/>
      <c r="S7" s="2" t="inlineStr"/>
    </row>
    <row r="8">
      <c r="A8" s="2" t="n">
        <v>7</v>
      </c>
      <c r="B8" s="6" t="inlineStr">
        <is>
          <t>MEDIUM</t>
        </is>
      </c>
      <c r="C8" s="2" t="inlineStr">
        <is>
          <t>Weak website</t>
        </is>
      </c>
      <c r="D8" s="2" t="inlineStr">
        <is>
          <t>Beenleigh Veterinary Hospital</t>
        </is>
      </c>
      <c r="E8" s="2" t="inlineStr">
        <is>
          <t>pet business</t>
        </is>
      </c>
      <c r="F8" s="2" t="inlineStr">
        <is>
          <t>Logan</t>
        </is>
      </c>
      <c r="G8" s="2" t="inlineStr">
        <is>
          <t>Facebook</t>
        </is>
      </c>
      <c r="H8" s="2" t="inlineStr"/>
      <c r="I8" s="4" t="inlineStr">
        <is>
          <t>https://www.facebook.com/profile.php?id=61560313291063</t>
        </is>
      </c>
      <c r="J8" s="2" t="inlineStr"/>
      <c r="K8" s="4" t="inlineStr">
        <is>
          <t>http://www.beenleighvethospital.com.au/</t>
        </is>
      </c>
      <c r="L8" s="2" t="inlineStr">
        <is>
          <t>no HTTPS (browser shows 'Not secure'); missing meta description</t>
        </is>
      </c>
      <c r="M8" s="2" t="inlineStr">
        <is>
          <t>Hi Beenleigh Veterinary Hospital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8" s="4" t="inlineStr">
        <is>
          <t>Open map</t>
        </is>
      </c>
      <c r="O8" s="2" t="inlineStr">
        <is>
          <t>Not contacted</t>
        </is>
      </c>
      <c r="P8" s="2" t="inlineStr"/>
      <c r="Q8" s="2" t="inlineStr"/>
      <c r="R8" s="2" t="inlineStr"/>
      <c r="S8" s="2" t="inlineStr"/>
    </row>
    <row r="9">
      <c r="A9" s="2" t="n">
        <v>8</v>
      </c>
      <c r="B9" s="6" t="inlineStr">
        <is>
          <t>MEDIUM</t>
        </is>
      </c>
      <c r="C9" s="2" t="inlineStr">
        <is>
          <t>Weak website</t>
        </is>
      </c>
      <c r="D9" s="2" t="inlineStr">
        <is>
          <t>Jimboomba House Restaurant</t>
        </is>
      </c>
      <c r="E9" s="2" t="inlineStr">
        <is>
          <t>restaurant</t>
        </is>
      </c>
      <c r="F9" s="2" t="inlineStr">
        <is>
          <t>Logan</t>
        </is>
      </c>
      <c r="G9" s="2" t="inlineStr">
        <is>
          <t>Facebook</t>
        </is>
      </c>
      <c r="H9" s="2" t="inlineStr"/>
      <c r="I9" s="4" t="inlineStr">
        <is>
          <t>https://www.facebook.com/jimboombahouse/</t>
        </is>
      </c>
      <c r="J9" s="2" t="inlineStr">
        <is>
          <t>+61 7 5547 9605</t>
        </is>
      </c>
      <c r="K9" s="4" t="inlineStr">
        <is>
          <t>https://jimboombahouse.com.au/</t>
        </is>
      </c>
      <c r="L9" s="2" t="inlineStr">
        <is>
          <t>missing meta description</t>
        </is>
      </c>
      <c r="M9" s="2" t="inlineStr">
        <is>
          <t>Hi Jimboomba House Restaurant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9" s="4" t="inlineStr">
        <is>
          <t>Open map</t>
        </is>
      </c>
      <c r="O9" s="2" t="inlineStr">
        <is>
          <t>Not contacted</t>
        </is>
      </c>
      <c r="P9" s="2" t="inlineStr"/>
      <c r="Q9" s="2" t="inlineStr"/>
      <c r="R9" s="2" t="inlineStr"/>
      <c r="S9" s="2" t="inlineStr"/>
    </row>
    <row r="10">
      <c r="A10" s="2" t="n">
        <v>9</v>
      </c>
      <c r="B10" s="6" t="inlineStr">
        <is>
          <t>MEDIUM</t>
        </is>
      </c>
      <c r="C10" s="2" t="inlineStr">
        <is>
          <t>Weak website</t>
        </is>
      </c>
      <c r="D10" s="2" t="inlineStr">
        <is>
          <t>Origin Kebabs - Eagleby</t>
        </is>
      </c>
      <c r="E10" s="2" t="inlineStr">
        <is>
          <t>takeaway</t>
        </is>
      </c>
      <c r="F10" s="2" t="inlineStr">
        <is>
          <t>Logan</t>
        </is>
      </c>
      <c r="G10" s="2" t="inlineStr">
        <is>
          <t>Instagram</t>
        </is>
      </c>
      <c r="H10" s="4" t="inlineStr">
        <is>
          <t>https://www.instagram.com/originkebabs</t>
        </is>
      </c>
      <c r="I10" s="4" t="inlineStr">
        <is>
          <t>https://www.facebook.com/OriginKebabs</t>
        </is>
      </c>
      <c r="J10" s="2" t="inlineStr"/>
      <c r="K10" s="4" t="inlineStr">
        <is>
          <t>https://originkebabs.com.au</t>
        </is>
      </c>
      <c r="L10" s="2" t="inlineStr">
        <is>
          <t>slow to load (5.4s)</t>
        </is>
      </c>
      <c r="M10" s="2" t="inlineStr">
        <is>
          <t>Hi Origin Kebabs - Eagleby team! [one real detail from their page]. We're AceAds, a web design studio. We noticed your website takes a while to load on a phone, which is where most people will first see it. We'd be happy to make you a free preview of what a website could look like. Want one? No cost, no obligation.</t>
        </is>
      </c>
      <c r="N10" s="4" t="inlineStr">
        <is>
          <t>Open map</t>
        </is>
      </c>
      <c r="O10" s="2" t="inlineStr">
        <is>
          <t>Not contacted</t>
        </is>
      </c>
      <c r="P10" s="2" t="inlineStr"/>
      <c r="Q10" s="2" t="inlineStr"/>
      <c r="R10" s="2" t="inlineStr"/>
      <c r="S10" s="2" t="inlineStr"/>
    </row>
  </sheetData>
  <autoFilter ref="A1:S10"/>
  <conditionalFormatting sqref="A2:S10">
    <cfRule type="expression" priority="1" dxfId="0">
      <formula>$O2="Won"</formula>
    </cfRule>
    <cfRule type="expression" priority="2" dxfId="1">
      <formula>$O2="Meeting booked"</formula>
    </cfRule>
    <cfRule type="expression" priority="3" dxfId="2">
      <formula>$O2="Replied"</formula>
    </cfRule>
    <cfRule type="expression" priority="4" dxfId="3">
      <formula>$O2="Not interested"</formula>
    </cfRule>
    <cfRule type="expression" priority="5" dxfId="3">
      <formula>$O2="Business closed"</formula>
    </cfRule>
  </conditionalFormatting>
  <dataValidations count="2">
    <dataValidation sqref="O2:O10" showDropDown="0" showInputMessage="0" showErrorMessage="0" allowBlank="1" type="list">
      <formula1>"Not contacted,DM sent,Replied,Preview sent,Meeting booked,Won,Not interested,Business closed"</formula1>
    </dataValidation>
    <dataValidation sqref="Q2:R10" showDropDown="0" showInputMessage="0" showErrorMessage="0" allowBlank="1" type="date"/>
  </dataValidations>
  <hyperlinks>
    <hyperlink xmlns:r="http://schemas.openxmlformats.org/officeDocument/2006/relationships" ref="I2" r:id="rId1"/>
    <hyperlink xmlns:r="http://schemas.openxmlformats.org/officeDocument/2006/relationships" ref="K2" r:id="rId2"/>
    <hyperlink xmlns:r="http://schemas.openxmlformats.org/officeDocument/2006/relationships" ref="N2" r:id="rId3"/>
    <hyperlink xmlns:r="http://schemas.openxmlformats.org/officeDocument/2006/relationships" ref="I3" r:id="rId4"/>
    <hyperlink xmlns:r="http://schemas.openxmlformats.org/officeDocument/2006/relationships" ref="K3" r:id="rId5"/>
    <hyperlink xmlns:r="http://schemas.openxmlformats.org/officeDocument/2006/relationships" ref="N3" r:id="rId6"/>
    <hyperlink xmlns:r="http://schemas.openxmlformats.org/officeDocument/2006/relationships" ref="I4" r:id="rId7"/>
    <hyperlink xmlns:r="http://schemas.openxmlformats.org/officeDocument/2006/relationships" ref="K4" r:id="rId8"/>
    <hyperlink xmlns:r="http://schemas.openxmlformats.org/officeDocument/2006/relationships" ref="N4" r:id="rId9"/>
    <hyperlink xmlns:r="http://schemas.openxmlformats.org/officeDocument/2006/relationships" ref="H5" r:id="rId10"/>
    <hyperlink xmlns:r="http://schemas.openxmlformats.org/officeDocument/2006/relationships" ref="N5" r:id="rId11"/>
    <hyperlink xmlns:r="http://schemas.openxmlformats.org/officeDocument/2006/relationships" ref="H6" r:id="rId12"/>
    <hyperlink xmlns:r="http://schemas.openxmlformats.org/officeDocument/2006/relationships" ref="I6" r:id="rId13"/>
    <hyperlink xmlns:r="http://schemas.openxmlformats.org/officeDocument/2006/relationships" ref="K6" r:id="rId14"/>
    <hyperlink xmlns:r="http://schemas.openxmlformats.org/officeDocument/2006/relationships" ref="N6" r:id="rId15"/>
    <hyperlink xmlns:r="http://schemas.openxmlformats.org/officeDocument/2006/relationships" ref="H7" r:id="rId16"/>
    <hyperlink xmlns:r="http://schemas.openxmlformats.org/officeDocument/2006/relationships" ref="I7" r:id="rId17"/>
    <hyperlink xmlns:r="http://schemas.openxmlformats.org/officeDocument/2006/relationships" ref="K7" r:id="rId18"/>
    <hyperlink xmlns:r="http://schemas.openxmlformats.org/officeDocument/2006/relationships" ref="N7" r:id="rId19"/>
    <hyperlink xmlns:r="http://schemas.openxmlformats.org/officeDocument/2006/relationships" ref="I8" r:id="rId20"/>
    <hyperlink xmlns:r="http://schemas.openxmlformats.org/officeDocument/2006/relationships" ref="K8" r:id="rId21"/>
    <hyperlink xmlns:r="http://schemas.openxmlformats.org/officeDocument/2006/relationships" ref="N8" r:id="rId22"/>
    <hyperlink xmlns:r="http://schemas.openxmlformats.org/officeDocument/2006/relationships" ref="I9" r:id="rId23"/>
    <hyperlink xmlns:r="http://schemas.openxmlformats.org/officeDocument/2006/relationships" ref="K9" r:id="rId24"/>
    <hyperlink xmlns:r="http://schemas.openxmlformats.org/officeDocument/2006/relationships" ref="N9" r:id="rId25"/>
    <hyperlink xmlns:r="http://schemas.openxmlformats.org/officeDocument/2006/relationships" ref="H10" r:id="rId26"/>
    <hyperlink xmlns:r="http://schemas.openxmlformats.org/officeDocument/2006/relationships" ref="I10" r:id="rId27"/>
    <hyperlink xmlns:r="http://schemas.openxmlformats.org/officeDocument/2006/relationships" ref="K10" r:id="rId28"/>
    <hyperlink xmlns:r="http://schemas.openxmlformats.org/officeDocument/2006/relationships" ref="N10" r:id="rId2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7" t="inlineStr">
        <is>
          <t>Pipeline</t>
        </is>
      </c>
      <c r="B1" s="7" t="inlineStr">
        <is>
          <t>Leads</t>
        </is>
      </c>
    </row>
    <row r="2">
      <c r="A2" t="inlineStr">
        <is>
          <t>Not contacted</t>
        </is>
      </c>
      <c r="B2">
        <f>COUNTIF(Leads!O:O,"Not contacted")</f>
        <v/>
      </c>
    </row>
    <row r="3">
      <c r="A3" t="inlineStr">
        <is>
          <t>DM sent</t>
        </is>
      </c>
      <c r="B3">
        <f>COUNTIF(Leads!O:O,"DM sent")</f>
        <v/>
      </c>
    </row>
    <row r="4">
      <c r="A4" t="inlineStr">
        <is>
          <t>Replied</t>
        </is>
      </c>
      <c r="B4">
        <f>COUNTIF(Leads!O:O,"Replied")</f>
        <v/>
      </c>
    </row>
    <row r="5">
      <c r="A5" t="inlineStr">
        <is>
          <t>Preview sent</t>
        </is>
      </c>
      <c r="B5">
        <f>COUNTIF(Leads!O:O,"Preview sent")</f>
        <v/>
      </c>
    </row>
    <row r="6">
      <c r="A6" t="inlineStr">
        <is>
          <t>Meeting booked</t>
        </is>
      </c>
      <c r="B6">
        <f>COUNTIF(Leads!O:O,"Meeting booked")</f>
        <v/>
      </c>
    </row>
    <row r="7">
      <c r="A7" t="inlineStr">
        <is>
          <t>Won</t>
        </is>
      </c>
      <c r="B7">
        <f>COUNTIF(Leads!O:O,"Won")</f>
        <v/>
      </c>
    </row>
    <row r="8">
      <c r="A8" t="inlineStr">
        <is>
          <t>Not interested</t>
        </is>
      </c>
      <c r="B8">
        <f>COUNTIF(Leads!O:O,"Not interested")</f>
        <v/>
      </c>
    </row>
    <row r="9">
      <c r="A9" t="inlineStr">
        <is>
          <t>Business closed</t>
        </is>
      </c>
      <c r="B9">
        <f>COUNTIF(Leads!O:O,"Business closed")</f>
        <v/>
      </c>
    </row>
    <row r="11">
      <c r="A11" t="inlineStr">
        <is>
          <t>Reply rate (Replied or later / DMs sent)</t>
        </is>
      </c>
      <c r="B11" s="8">
        <f>IFERROR((B4+B5+B6+B7+B8)/(B3+B4+B5+B6+B7+B8),0)</f>
        <v/>
      </c>
    </row>
    <row r="12">
      <c r="A12" s="9" t="inlineStr">
        <is>
          <t>Leads per priority</t>
        </is>
      </c>
      <c r="B12" t="inlineStr"/>
    </row>
    <row r="13">
      <c r="A13" t="inlineStr">
        <is>
          <t>HIGH</t>
        </is>
      </c>
      <c r="B13">
        <f>COUNTIF(Leads!B:B,"HIGH")</f>
        <v/>
      </c>
    </row>
    <row r="14">
      <c r="A14" t="inlineStr">
        <is>
          <t>VERIFY FIRST</t>
        </is>
      </c>
      <c r="B14">
        <f>COUNTIF(Leads!B:B,"VERIFY FIRST")</f>
        <v/>
      </c>
    </row>
    <row r="15">
      <c r="A15" t="inlineStr">
        <is>
          <t>MEDIUM</t>
        </is>
      </c>
      <c r="B15">
        <f>COUNTIF(Leads!B:B,"MEDIUM")</f>
        <v/>
      </c>
    </row>
    <row r="17">
      <c r="A17" s="9" t="inlineStr">
        <is>
          <t>Leads per region</t>
        </is>
      </c>
      <c r="B17" t="inlineStr"/>
    </row>
    <row r="18">
      <c r="A18" t="inlineStr">
        <is>
          <t>Logan</t>
        </is>
      </c>
      <c r="B18">
        <f>COUNTIF(Leads!F:F,"Logan")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inlineStr">
        <is>
          <t>AceAds: Instagram / Facebook outreach, Logan</t>
        </is>
      </c>
    </row>
    <row r="2">
      <c r="A2" t="inlineStr"/>
    </row>
    <row r="3">
      <c r="A3" s="11" t="inlineStr">
        <is>
          <t>Before each DM</t>
        </is>
      </c>
    </row>
    <row r="4">
      <c r="A4" t="inlineStr">
        <is>
          <t>1. Open 'Check on Google Maps'. Skip the business if it is closed or has almost no reviews.</t>
        </is>
      </c>
    </row>
    <row r="5">
      <c r="A5" t="inlineStr">
        <is>
          <t>2. Open their Instagram/Facebook. Replace [one real detail from their page] with something true and specific.</t>
        </is>
      </c>
    </row>
    <row r="6">
      <c r="A6" t="inlineStr">
        <is>
          <t>3. 'VERIFY FIRST' rows: Google the business name first. If they DO have a website, check it on your phone and</t>
        </is>
      </c>
    </row>
    <row r="7">
      <c r="A7" t="inlineStr">
        <is>
          <t xml:space="preserve">   rewrite the DM around a problem you can see yourself, or skip them. Never say they have no website unless you checked.</t>
        </is>
      </c>
    </row>
    <row r="8">
      <c r="A8" t="inlineStr">
        <is>
          <t>4. 'Slow to load' was timed from an overseas server. Open the site on your own phone first; if it loads fine, skip that point.</t>
        </is>
      </c>
    </row>
    <row r="9">
      <c r="A9" t="inlineStr"/>
    </row>
    <row r="10">
      <c r="A10" s="11" t="inlineStr">
        <is>
          <t>Sending</t>
        </is>
      </c>
    </row>
    <row r="11">
      <c r="A11" t="inlineStr">
        <is>
          <t>5. Send from the AceAds business account, by hand. Max 20 new DMs per account per day.</t>
        </is>
      </c>
    </row>
    <row r="12">
      <c r="A12" t="inlineStr">
        <is>
          <t>6. Never paste the identical message twice in a row. Personalise every one; Meta limits accounts that send copy-paste DMs.</t>
        </is>
      </c>
    </row>
    <row r="13">
      <c r="A13" t="inlineStr">
        <is>
          <t>7. If they reply yes, ask AceAds for their preview (mockups/ in the repo), then send the screenshot and link.</t>
        </is>
      </c>
    </row>
    <row r="14">
      <c r="A14" t="inlineStr">
        <is>
          <t xml:space="preserve">   Set Status to 'Preview sent'.</t>
        </is>
      </c>
    </row>
    <row r="15">
      <c r="A15" t="inlineStr">
        <is>
          <t>8. One polite follow-up after 4-5 days, only if there was no reply. Then stop.</t>
        </is>
      </c>
    </row>
    <row r="16">
      <c r="A16" t="inlineStr">
        <is>
          <t>9. If anyone says no or asks us to stop, set 'Not interested' and never contact them again.</t>
        </is>
      </c>
    </row>
    <row r="17">
      <c r="A17" t="inlineStr"/>
    </row>
    <row r="18">
      <c r="A18" s="11" t="inlineStr">
        <is>
          <t>Do not</t>
        </is>
      </c>
    </row>
    <row r="19">
      <c r="A19" t="inlineStr">
        <is>
          <t>- Do not add these businesses to bulk email or automated DM tools.</t>
        </is>
      </c>
    </row>
    <row r="20">
      <c r="A20" t="inlineStr">
        <is>
          <t>- Email only to an address the business publishes on its own website, copied by hand. Say who we are, keep it</t>
        </is>
      </c>
    </row>
    <row r="21">
      <c r="A21" t="inlineStr">
        <is>
          <t xml:space="preserve">  about their website, and end with: 'Not interested? Reply STOP and we won't contact you again.'</t>
        </is>
      </c>
    </row>
    <row r="22">
      <c r="A22" t="inlineStr">
        <is>
          <t>- Do not claim anything about their business you have not checked.</t>
        </is>
      </c>
    </row>
    <row r="23">
      <c r="A23" t="inlineStr"/>
    </row>
    <row r="24">
      <c r="A24" t="inlineStr">
        <is>
          <t>Source: OpenStreetMap (c) OpenStreetMap contributors, plus links found on the businesses' own websites.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2026-10-07T08:09:36Z</dcterms:created>
  <dcterms:modified xsi:type="dcterms:W3CDTF">2026-10-07T08:09:36Z</dcterms:modified>
</cp:coreProperties>
</file>